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ors" sheetId="1" r:id="rId4"/>
    <sheet state="visible" name="Extension" sheetId="2" r:id="rId5"/>
    <sheet state="visible" name="Changes" sheetId="3" r:id="rId6"/>
    <sheet state="visible" name="Rooms" sheetId="4" r:id="rId7"/>
    <sheet state="visible" name="Portals" sheetId="5" r:id="rId8"/>
    <sheet state="visible" name="Info" sheetId="6" r:id="rId9"/>
    <sheet state="visible" name="Kiosk" sheetId="7" r:id="rId10"/>
    <sheet state="visible" name="QR" sheetId="8" r:id="rId11"/>
    <sheet state="visible" name="QR-Arama" sheetId="9" r:id="rId12"/>
    <sheet state="visible" name="QR-Arama-Pivot" sheetId="10" r:id="rId13"/>
    <sheet state="visible" name="QR-Rota" sheetId="11" r:id="rId14"/>
    <sheet state="visible" name="QR-Rota-Pivot" sheetId="12" r:id="rId15"/>
    <sheet state="visible" name="Ofisler" sheetId="13" r:id="rId16"/>
    <sheet state="visible" name="Ofisler-2022" sheetId="14" r:id="rId17"/>
    <sheet state="visible" name="Categories" sheetId="15" r:id="rId18"/>
    <sheet state="visible" name="Broşür" sheetId="16" r:id="rId19"/>
    <sheet state="visible" name="Broşür v2" sheetId="17" r:id="rId20"/>
    <sheet state="visible" name="Broşür v3" sheetId="18" r:id="rId21"/>
  </sheets>
  <definedNames>
    <definedName hidden="1" localSheetId="0" name="_xlnm._FilterDatabase">Doors!$A$1:$M$640</definedName>
    <definedName hidden="1" localSheetId="1" name="_xlnm._FilterDatabase">Extension!$A$1:$O$55</definedName>
    <definedName hidden="1" localSheetId="6" name="_xlnm._FilterDatabase">Kiosk!$A$1:$M$28</definedName>
    <definedName hidden="1" localSheetId="15" name="_xlnm._FilterDatabase">'Broşür'!$D$1:$D$565</definedName>
    <definedName hidden="1" localSheetId="16" name="_xlnm._FilterDatabase">'Broşür v2'!$D$1:$D$565</definedName>
    <definedName hidden="1" localSheetId="15" name="Z_286D910F_B494_43B4_A0A2_71B95F9B2068_.wvu.FilterData">'Broşür'!$D$1:$D$565</definedName>
    <definedName hidden="1" localSheetId="16" name="Z_286D910F_B494_43B4_A0A2_71B95F9B2068_.wvu.FilterData">'Broşür v2'!$D$1:$D$565</definedName>
    <definedName hidden="1" localSheetId="0" name="Z_915F98FD_2C05_420E_8D9C_75502E9762D4_.wvu.FilterData">Doors!$A$1:$K$444</definedName>
  </definedNames>
  <calcPr/>
  <customWorkbookViews>
    <customWorkbookView activeSheetId="0" maximized="1" windowHeight="0" windowWidth="0" guid="{286D910F-B494-43B4-A0A2-71B95F9B2068}" name="Filter 1"/>
    <customWorkbookView activeSheetId="0" maximized="1" windowHeight="0" windowWidth="0" guid="{915F98FD-2C05-420E-8D9C-75502E9762D4}" name="Alfabetik"/>
  </customWorkbookViews>
  <pivotCaches>
    <pivotCache cacheId="0" r:id="rId22"/>
    <pivotCache cacheId="1" r:id="rId23"/>
  </pivotCaches>
  <extLst>
    <ext uri="GoogleSheetsCustomDataVersion2">
      <go:sheetsCustomData xmlns:go="http://customooxmlschemas.google.com/" r:id="rId24" roundtripDataChecksum="gfpLFTYgphWPhXMJo8Ol43tMXh6+AjvJ8TqGrLikbDQ="/>
    </ext>
  </extLst>
</workbook>
</file>

<file path=xl/sharedStrings.xml><?xml version="1.0" encoding="utf-8"?>
<sst xmlns="http://schemas.openxmlformats.org/spreadsheetml/2006/main" count="18980" uniqueCount="5820">
  <si>
    <t>ID</t>
  </si>
  <si>
    <t>Title</t>
  </si>
  <si>
    <t>Subtitle</t>
  </si>
  <si>
    <t>Location</t>
  </si>
  <si>
    <t>Floor</t>
  </si>
  <si>
    <t>Telephone</t>
  </si>
  <si>
    <t>Description</t>
  </si>
  <si>
    <t>Category</t>
  </si>
  <si>
    <t>Web</t>
  </si>
  <si>
    <t>Logo</t>
  </si>
  <si>
    <t>LogoName</t>
  </si>
  <si>
    <t>Cat_TR</t>
  </si>
  <si>
    <t>https://inmapper.com/zorlucenter/img/logo/</t>
  </si>
  <si>
    <t>carpark-301</t>
  </si>
  <si>
    <t>{“id”:”carpark”}</t>
  </si>
  <si>
    <t>-</t>
  </si>
  <si>
    <t>otopark, araç, otomobil, motosiklet, manevra, parking, vehicle, automobile, motorcycle, maneuver</t>
  </si>
  <si>
    <t>DRN Oto Yıkama</t>
  </si>
  <si>
    <t>{“id”:”floorparking”}</t>
  </si>
  <si>
    <t>+905313051112</t>
  </si>
  <si>
    <t>otomobil, yıkama, pasta, cila, temizlik, automobile, washing, cake, lacquer, cleaning</t>
  </si>
  <si>
    <t>servicestores</t>
  </si>
  <si>
    <t>www.drncarcare.com</t>
  </si>
  <si>
    <t>WILLIAMSCARCARE.png</t>
  </si>
  <si>
    <t>Hizmet Mağazaları</t>
  </si>
  <si>
    <t>entrance-301</t>
  </si>
  <si>
    <t>{“id”:”entrance”} {“id”:”floormetro”}</t>
  </si>
  <si>
    <t>giriş, çıkış, kapı, bekleme, güvenlik, entrance, exit, door, waiting, security</t>
  </si>
  <si>
    <t>entrance-302</t>
  </si>
  <si>
    <t>{“id”:”carpark”} {“id”:”entrance”} Zincirlikuyu</t>
  </si>
  <si>
    <t>entrance-303</t>
  </si>
  <si>
    <t>entrance-304</t>
  </si>
  <si>
    <t>{“id”:”carpark”} {“id”:”entrance”} Levazım</t>
  </si>
  <si>
    <t>entrance-305</t>
  </si>
  <si>
    <t>{“id”:”entrance”} {“id”:”floorparking”}</t>
  </si>
  <si>
    <t>entrance-306</t>
  </si>
  <si>
    <t>{“id”:”carpark”} {“id”:”entrance”} Eataly</t>
  </si>
  <si>
    <t>ID-301</t>
  </si>
  <si>
    <t>Etstur</t>
  </si>
  <si>
    <t>+902122820808-07</t>
  </si>
  <si>
    <t>tatil, deniz, bayram, otel, fırsat, holiday, sea, holidays, hotel, occasion</t>
  </si>
  <si>
    <t>culture_entertainment</t>
  </si>
  <si>
    <t>www.etstur.com</t>
  </si>
  <si>
    <t>ETSTUR.png</t>
  </si>
  <si>
    <t>Kültür &amp; Eğlence</t>
  </si>
  <si>
    <t>ID-302</t>
  </si>
  <si>
    <t>Levent Lostra</t>
  </si>
  <si>
    <t>+902123536303</t>
  </si>
  <si>
    <t>ayakkabı, tamir, boya, bakım, cüzdan, shoe, repair, paint, maintenance, wallet</t>
  </si>
  <si>
    <t>www.leventlostra.com.tr</t>
  </si>
  <si>
    <t>LEVENTLOSTRA.png</t>
  </si>
  <si>
    <t>ID-303</t>
  </si>
  <si>
    <t>Dry Corner</t>
  </si>
  <si>
    <t>+902123536337</t>
  </si>
  <si>
    <t>kuru temizleme, ütü, gömlek, ceket, organik, dry cleaning, ironing, shirt, jacket, organic, dıray kornır</t>
  </si>
  <si>
    <t>www.drycorner.com</t>
  </si>
  <si>
    <t>DRYCORNER.png</t>
  </si>
  <si>
    <t>ID-304</t>
  </si>
  <si>
    <t>Z Terzi</t>
  </si>
  <si>
    <t>+902123536986</t>
  </si>
  <si>
    <t>dikiş, onarım, tadilat, küçültme, büyültme, sewing, repair, modification, reduction, magnification</t>
  </si>
  <si>
    <t>www.zterzi.com</t>
  </si>
  <si>
    <t>ZTERZİ.png</t>
  </si>
  <si>
    <t>ID-306</t>
  </si>
  <si>
    <t>Rossmann</t>
  </si>
  <si>
    <t>+902123536933</t>
  </si>
  <si>
    <t>kozmetik, bakım, temizlik, makyaj, aksesuar, cosmetic, care, cleaning, makeup, accessory, rosman</t>
  </si>
  <si>
    <t>cosmetics_health</t>
  </si>
  <si>
    <t>www.rossmann.com.tr</t>
  </si>
  <si>
    <t>ROSSMANN.png</t>
  </si>
  <si>
    <t>Kozmetik &amp; Sağlık</t>
  </si>
  <si>
    <t>ID-308</t>
  </si>
  <si>
    <t>Vennüs Telefon Teknik</t>
  </si>
  <si>
    <t>+902124030025</t>
  </si>
  <si>
    <t>venüs, venus, telefon, tablet, teknik, teknoloji, mobil, phone, tablet, technic, technology, mobile</t>
  </si>
  <si>
    <t>VENNUS.png</t>
  </si>
  <si>
    <t>ID-309</t>
  </si>
  <si>
    <t>Balonika</t>
  </si>
  <si>
    <t>+902123536944</t>
  </si>
  <si>
    <t>oyuncak, parti, çocuk, bebek, baskı, oyuncak, parti, çocuk, bebek, baskı</t>
  </si>
  <si>
    <t>BALONIKA.png</t>
  </si>
  <si>
    <t>ID-310</t>
  </si>
  <si>
    <t>Usta Saat</t>
  </si>
  <si>
    <t>+902123248353</t>
  </si>
  <si>
    <t>saat, pil, kayış, kordon, kadran, watch, battery, strap, cord, dial, tamir, repair</t>
  </si>
  <si>
    <t>USTASAAT.png</t>
  </si>
  <si>
    <t>ID-312</t>
  </si>
  <si>
    <t>Uranüs</t>
  </si>
  <si>
    <t>+902123536912</t>
  </si>
  <si>
    <t>telefon, kap, ekran koruyucu, phone, cover, screen protector, mobile oufitters</t>
  </si>
  <si>
    <t>electronics</t>
  </si>
  <si>
    <t>URANUS.png</t>
  </si>
  <si>
    <t>Elektronik</t>
  </si>
  <si>
    <t>ID-313</t>
  </si>
  <si>
    <t>MediaMarkt</t>
  </si>
  <si>
    <t>+908502221500</t>
  </si>
  <si>
    <t>medyamarket, elektronik, telefon, bilgisayar, laptop, teknoloji, electronics, phone, computer, laptop, technology</t>
  </si>
  <si>
    <t>www.mediamarkt.com.tr</t>
  </si>
  <si>
    <t>MEDIAMARKT.png</t>
  </si>
  <si>
    <t>ID-314</t>
  </si>
  <si>
    <t>Eve</t>
  </si>
  <si>
    <t>www.eveshop.com.tr</t>
  </si>
  <si>
    <t>EVE.png</t>
  </si>
  <si>
    <t>ID-315</t>
  </si>
  <si>
    <t>Erkan Taş Podyum Terzi</t>
  </si>
  <si>
    <t>+905458523899</t>
  </si>
  <si>
    <t>ERKANTAS.png</t>
  </si>
  <si>
    <t>ID-316</t>
  </si>
  <si>
    <t>Yalçınlar</t>
  </si>
  <si>
    <t>+902123536700</t>
  </si>
  <si>
    <t>fotoğraf, makine, film, baskı, vesikalık, photography, machine, film, printing, mug shot</t>
  </si>
  <si>
    <t>www.fotomaks.com.tr</t>
  </si>
  <si>
    <t>YALÇINLAR.png</t>
  </si>
  <si>
    <t>ID-317</t>
  </si>
  <si>
    <t>Zorlu PSM</t>
  </si>
  <si>
    <t>{“id”:”floormetro”}</t>
  </si>
  <si>
    <t>+908502226776</t>
  </si>
  <si>
    <t>etkinlik, gösteri, tiyatro, konser, bilet, activity, show, theater, concert, ticket</t>
  </si>
  <si>
    <t>ID-318</t>
  </si>
  <si>
    <t>Penelope</t>
  </si>
  <si>
    <t>+902123536963</t>
  </si>
  <si>
    <t>yatak, uyku, yastık, kılıf, tekstil, bed, sleeping, pillow, sheath, textile, penelop</t>
  </si>
  <si>
    <t>home_decoration</t>
  </si>
  <si>
    <t>www.penelopebedroom.com</t>
  </si>
  <si>
    <t>PENELOPE.png</t>
  </si>
  <si>
    <t>Ev &amp; Dekorasyon</t>
  </si>
  <si>
    <t>locker-301</t>
  </si>
  <si>
    <t>{“id”:”locker”}</t>
  </si>
  <si>
    <t>emanet dolabı, safety deposit locker, box</t>
  </si>
  <si>
    <t>services</t>
  </si>
  <si>
    <t>metrobus-301</t>
  </si>
  <si>
    <t>{“id”:”metro”} {“id”:”metrobus”}</t>
  </si>
  <si>
    <t>metro, metrobüs, iett, otobüs, durak, subway, metrobus, iett, bus, stall</t>
  </si>
  <si>
    <t>baby-201</t>
  </si>
  <si>
    <t>{“id”:”baby”}</t>
  </si>
  <si>
    <t>bebek, oda, bakım, emzik, meme, baby, room, care, pacifier, breast</t>
  </si>
  <si>
    <t>baby-202</t>
  </si>
  <si>
    <t>ID-201</t>
  </si>
  <si>
    <t>Zor {“id”:”exchange”}</t>
  </si>
  <si>
    <t>+902123536268</t>
  </si>
  <si>
    <t>döviz, para, dolar, euro, altın, currency, currency, dollar, euro, gold</t>
  </si>
  <si>
    <t>ZORDÖVİZ.png</t>
  </si>
  <si>
    <t>ID-201A</t>
  </si>
  <si>
    <t>Paribu Cineverse</t>
  </si>
  <si>
    <t>+908502200967</t>
  </si>
  <si>
    <t>sinema, bilet, film, mısır, koltuk, cinema, ticket, movie, popcorn, seat</t>
  </si>
  <si>
    <t>www.paribucineverse.com</t>
  </si>
  <si>
    <t>PARIBUCINEVERSE.png</t>
  </si>
  <si>
    <t>ID-201B</t>
  </si>
  <si>
    <t>House of Design</t>
  </si>
  <si>
    <t>+905427330715</t>
  </si>
  <si>
    <t>tasarım, akesuar, design, accessories</t>
  </si>
  <si>
    <t>accessories_jewellery</t>
  </si>
  <si>
    <t>www.houseofdesign.store.com</t>
  </si>
  <si>
    <t>HOUSEOFDESIGN.png</t>
  </si>
  <si>
    <t>Aksesuar &amp; Mücevher</t>
  </si>
  <si>
    <t>ID-202</t>
  </si>
  <si>
    <t>Dagi</t>
  </si>
  <si>
    <t>+908502597504</t>
  </si>
  <si>
    <t>iç çamaşırı, pijama, mayo, çorap, uyku, lingerie, pajamas, swimsuit, stockings, sleeping</t>
  </si>
  <si>
    <t>fashion</t>
  </si>
  <si>
    <t>www.dagi.com.tr</t>
  </si>
  <si>
    <t>DAGİ.png</t>
  </si>
  <si>
    <t>Giyim</t>
  </si>
  <si>
    <t>ID-203</t>
  </si>
  <si>
    <t>Tartine et Chocolat</t>
  </si>
  <si>
    <t>+902123536050</t>
  </si>
  <si>
    <t>çocuk, bebek, elbise, oyuncak, yatak, child, baby, dress, toy, bed, tartin et çaklıt</t>
  </si>
  <si>
    <t>kids</t>
  </si>
  <si>
    <t>www.tartine-et-chocolat.fr</t>
  </si>
  <si>
    <t>TARTINEETCHOCOLAT.png</t>
  </si>
  <si>
    <t>Çocuk</t>
  </si>
  <si>
    <t>ID-204</t>
  </si>
  <si>
    <t>Skechers</t>
  </si>
  <si>
    <t>+902123536543</t>
  </si>
  <si>
    <t>ayakkabı, spor, sandalet, shoes, sports, sandals</t>
  </si>
  <si>
    <t>shoes_bags</t>
  </si>
  <si>
    <t>www.skechers.com</t>
  </si>
  <si>
    <t>SKECHERS.png</t>
  </si>
  <si>
    <t>Ayakkabı &amp; Çanta</t>
  </si>
  <si>
    <t>ID-205</t>
  </si>
  <si>
    <t>Starbucks</t>
  </si>
  <si>
    <t>+902123536110</t>
  </si>
  <si>
    <t>kahve, içecek, yiyecek, kek, sandviç, coffee, beverage, food, cake, sandwich, sıtarbaks</t>
  </si>
  <si>
    <t>restaurant_cafe</t>
  </si>
  <si>
    <t>www.starbucks.com.tr</t>
  </si>
  <si>
    <t>STARBUCKS.png</t>
  </si>
  <si>
    <t>Restoran &amp; Cafe</t>
  </si>
  <si>
    <t>ID-206</t>
  </si>
  <si>
    <t>House of SuperStep</t>
  </si>
  <si>
    <t>www.houseofsuperstep.com</t>
  </si>
  <si>
    <t>HOUSEOFSUPERSTEP.png</t>
  </si>
  <si>
    <t>ID-207</t>
  </si>
  <si>
    <t>Sephora</t>
  </si>
  <si>
    <t>+902127032087</t>
  </si>
  <si>
    <t>makyaj, krem, bakım, ruj, pudra, makeup, cream, care, lipstick</t>
  </si>
  <si>
    <t>www.sephora.com</t>
  </si>
  <si>
    <t>SEPHORA.png</t>
  </si>
  <si>
    <t>ID-208</t>
  </si>
  <si>
    <t>Under Armour</t>
  </si>
  <si>
    <t>+902123536544</t>
  </si>
  <si>
    <t>spor, giyim, ayakkabı, tshirt, eşofman, sport, clothing, shoes, tshirt, tracksuit, andır armor</t>
  </si>
  <si>
    <t>www.underarmour.com</t>
  </si>
  <si>
    <t>UNDERARMOUR.png</t>
  </si>
  <si>
    <t>ID-209</t>
  </si>
  <si>
    <t>Adidas</t>
  </si>
  <si>
    <t>+902123536230</t>
  </si>
  <si>
    <t>spor, giyim, ayakkabı, tshirt, eşofman, sport, clothing, shoes, tshirt, tracksuit</t>
  </si>
  <si>
    <t>www.adidas.com</t>
  </si>
  <si>
    <t>ADİDAS.png</t>
  </si>
  <si>
    <t>ID-210</t>
  </si>
  <si>
    <t>Asics</t>
  </si>
  <si>
    <t>+902123536292</t>
  </si>
  <si>
    <t>www.asicstr.com</t>
  </si>
  <si>
    <t>ASICS.png</t>
  </si>
  <si>
    <t>ID-211</t>
  </si>
  <si>
    <t>Mavi</t>
  </si>
  <si>
    <t>+902127033023</t>
  </si>
  <si>
    <t>giyim, ayakkabı, jeans, gömlek, tshirt, clothing, shoes, jeans, shirt, tshirt</t>
  </si>
  <si>
    <t>www.mavi.com</t>
  </si>
  <si>
    <t>MAVİ.png</t>
  </si>
  <si>
    <t>ID-212</t>
  </si>
  <si>
    <t>Gap</t>
  </si>
  <si>
    <t>+902123536139</t>
  </si>
  <si>
    <t>giyim, ayakkabı, jeans, gömlek, tshirt, clothing, shoes, jeans, shirt, tshirt, gep</t>
  </si>
  <si>
    <t>www.gap.com.tr</t>
  </si>
  <si>
    <t>GAP.png</t>
  </si>
  <si>
    <t>ID-213</t>
  </si>
  <si>
    <t>İpekyol</t>
  </si>
  <si>
    <t>+902123536707</t>
  </si>
  <si>
    <t>kadın, giyim, moda, aksesuar, ayakkabı, woman, clothing, fashion, accessory, shoe</t>
  </si>
  <si>
    <t>www.ipekyol.com.tr</t>
  </si>
  <si>
    <t>İPEKYOL.png</t>
  </si>
  <si>
    <t>ID-214</t>
  </si>
  <si>
    <t>Brandy's</t>
  </si>
  <si>
    <t>+902123536370</t>
  </si>
  <si>
    <t>Emporio Armani, Versace Jeans Couture, Hugo Boss, Calvin Klein, EA7 Emporio Armani, Tommy Hilfiger, Lacoste, kadın, giyim, moda, aksesuar, ayakkabı, woman, clothing, fashion, accessory, shoe</t>
  </si>
  <si>
    <t>www.brandys.com.tr</t>
  </si>
  <si>
    <t>BRANDY'S.png</t>
  </si>
  <si>
    <t>ID-215</t>
  </si>
  <si>
    <t>Nike by Levazım</t>
  </si>
  <si>
    <t>+908502236000/311</t>
  </si>
  <si>
    <t>www.nike.com.tr</t>
  </si>
  <si>
    <t>NIKE.png</t>
  </si>
  <si>
    <t>ID-216</t>
  </si>
  <si>
    <t>Victoria's Secret Pink</t>
  </si>
  <si>
    <t>+908503127055</t>
  </si>
  <si>
    <t>iç çamaşırı, mayo, pijama, çorap, uyku, lingerie, swimsuit, pajamas, stockings, sleep, viktoryas sikrıt pink</t>
  </si>
  <si>
    <t>www.victoriassecret.com.tr/pink</t>
  </si>
  <si>
    <t>ID-217</t>
  </si>
  <si>
    <t>Victoria's Secret</t>
  </si>
  <si>
    <t>iç çamaşırı, mayo, pijama, çorap, uyku, lingerie, swimsuit, pajamas, stockings, sleep, viktoryas sikrıt</t>
  </si>
  <si>
    <t>www.victoriassecret.com.tr</t>
  </si>
  <si>
    <t>VICTORIA'SSECRET.png</t>
  </si>
  <si>
    <t>ID-218</t>
  </si>
  <si>
    <t>Abdullah Kiğılı Exclusive Cut</t>
  </si>
  <si>
    <t>+902123536130</t>
  </si>
  <si>
    <t>erkek, giyim, takım, gömlek, ayakkabı, men, clothing, team, shirt, shoes, ekskulisiv kat</t>
  </si>
  <si>
    <t>www.abdullahkigili.com</t>
  </si>
  <si>
    <t>ABDULLAHKİĞILI.png</t>
  </si>
  <si>
    <t>ID-219</t>
  </si>
  <si>
    <t>Penti</t>
  </si>
  <si>
    <t>+902123536320</t>
  </si>
  <si>
    <t>çorap, iç çamaşırı, pijama, aksesuar, ev giyim, socks, lingerie, pajamas, accessories, home clothing</t>
  </si>
  <si>
    <t>www.penti.com.tr</t>
  </si>
  <si>
    <t>PENTİ.png</t>
  </si>
  <si>
    <t>ID-220</t>
  </si>
  <si>
    <t>H&amp;M</t>
  </si>
  <si>
    <t>+902123536002-03-04-05</t>
  </si>
  <si>
    <t>giyim, moda, jeans, tshirt, aksesuar, clothing, fashion, jeans, tshirt, accessory, eyç en em</t>
  </si>
  <si>
    <t>www.hm.com.tr</t>
  </si>
  <si>
    <t>H&amp;M.png</t>
  </si>
  <si>
    <t>ID-221</t>
  </si>
  <si>
    <t>Perspective</t>
  </si>
  <si>
    <t>+908504500322</t>
  </si>
  <si>
    <t>kadın, giyim, aksesuar, ayakkabı, elbise, woman, clothing, accessories, shoes, dress, perspektiv</t>
  </si>
  <si>
    <t>www.perspective.com.tr</t>
  </si>
  <si>
    <t>PERSPECTIVE.png</t>
  </si>
  <si>
    <t>ID-222</t>
  </si>
  <si>
    <t>Twist</t>
  </si>
  <si>
    <t>+902123536800</t>
  </si>
  <si>
    <t>kadın, giyim, aksesuar, ayakkabı, elbise, woman, clothing, accessories, shoes, dress, tivist</t>
  </si>
  <si>
    <t>www.twist.com.tr</t>
  </si>
  <si>
    <t>TWIST.png</t>
  </si>
  <si>
    <t>ID-223</t>
  </si>
  <si>
    <t>Aldo</t>
  </si>
  <si>
    <t>+908505024880</t>
  </si>
  <si>
    <t>ayakkabı, çanta, bot, aksesuar, sandalet, shoes, bags, boots, accessories, sandals</t>
  </si>
  <si>
    <t>www.aldoshoes.com.tr</t>
  </si>
  <si>
    <t>ALDO.png</t>
  </si>
  <si>
    <t>ID-224</t>
  </si>
  <si>
    <t>Cacharel</t>
  </si>
  <si>
    <t>+902123536221</t>
  </si>
  <si>
    <t>erkek, giyim, takım, gömlek, ayakkabı, men, clothing, team, shirt, shoes, kaşarel</t>
  </si>
  <si>
    <t>www.cacharel-tr.com</t>
  </si>
  <si>
    <t>CACHAREL.png</t>
  </si>
  <si>
    <t>ID-225</t>
  </si>
  <si>
    <t>Camper</t>
  </si>
  <si>
    <t>+902123536437</t>
  </si>
  <si>
    <t>spor, ayakkabı, sport, shoes, sneaker</t>
  </si>
  <si>
    <t>www.camper.com</t>
  </si>
  <si>
    <t>CAMPER.png</t>
  </si>
  <si>
    <t>ID-226</t>
  </si>
  <si>
    <t>Yves Rocher</t>
  </si>
  <si>
    <t>+902123536357</t>
  </si>
  <si>
    <t>bakım, makyaj, saç, parfüm, vücut, care, makeup, hair, perfume, body, iv roşe</t>
  </si>
  <si>
    <t>www.yvesrocher.com.tr</t>
  </si>
  <si>
    <t>YVESROCHER.png</t>
  </si>
  <si>
    <t>ID-227</t>
  </si>
  <si>
    <t>MAC</t>
  </si>
  <si>
    <t>+902123536910</t>
  </si>
  <si>
    <t>bakım, makyaj, ruj, pudra, allık, care, makeup, lipstick, powder, blush, mek</t>
  </si>
  <si>
    <t>www.maccosmetics.com.tr</t>
  </si>
  <si>
    <t>M.A.C.png</t>
  </si>
  <si>
    <t>ID-228</t>
  </si>
  <si>
    <t>Mango</t>
  </si>
  <si>
    <t>+902123536150</t>
  </si>
  <si>
    <t>www.mango.com</t>
  </si>
  <si>
    <t>MANGO.png</t>
  </si>
  <si>
    <t>ID-229</t>
  </si>
  <si>
    <t>US Polo Assn.</t>
  </si>
  <si>
    <t>+902123536206</t>
  </si>
  <si>
    <t>giyim, tshirt, jeans, ayakkabı, gömlek, clothing, tshirt, jeans, shoes, shirt, yu es polo asasin</t>
  </si>
  <si>
    <t>www.uspoloassn.com</t>
  </si>
  <si>
    <t>U.S.POLO ASSN.png</t>
  </si>
  <si>
    <t>ID-230</t>
  </si>
  <si>
    <t>Massimo Dutti</t>
  </si>
  <si>
    <t>+902129550420</t>
  </si>
  <si>
    <t>giyim, takım, ayakkabı, aksesuar, elbise, clothing, suit, shoes, accessory, dress</t>
  </si>
  <si>
    <t>www.massimodutti.com</t>
  </si>
  <si>
    <t>MASSIMODUTTI.png</t>
  </si>
  <si>
    <t>ID-232</t>
  </si>
  <si>
    <t>HeartBeat</t>
  </si>
  <si>
    <t>+905303990097</t>
  </si>
  <si>
    <t>ayakkabı, spor, bot, sandalet, terlik, shoes, sport, boots, sandals, slippers, süpersitep</t>
  </si>
  <si>
    <t>HEARTBEAT.png</t>
  </si>
  <si>
    <t>ID-233</t>
  </si>
  <si>
    <t>Saat &amp; Saat</t>
  </si>
  <si>
    <t>+902123536565</t>
  </si>
  <si>
    <t>saat, kayış, aksesuar, klasik, spor, watch, strap, accessory, classic, sport</t>
  </si>
  <si>
    <t>www.saatvesaat.com.tr</t>
  </si>
  <si>
    <t>SAAT&amp;SAAT.png</t>
  </si>
  <si>
    <t>ID-234</t>
  </si>
  <si>
    <t>Sneaks Up</t>
  </si>
  <si>
    <t>+905363298536</t>
  </si>
  <si>
    <t>spor, basketball, koşu, ayakkabı, giyim, sport, basketball, running, shoes, clothing, sineks ap</t>
  </si>
  <si>
    <t>www.sneaksup.com.tr</t>
  </si>
  <si>
    <t>https://inmapper.com/zorlucenter/img/logo/SNEAKS UP.png</t>
  </si>
  <si>
    <t>SNEAKS UP.png</t>
  </si>
  <si>
    <t>ID-235</t>
  </si>
  <si>
    <t>Jacadi Paris</t>
  </si>
  <si>
    <t>+902123536329</t>
  </si>
  <si>
    <t>bebek, çocuk, ayakkabı, kız, erkek, baby, child, shoes, girl, boy, cakadi</t>
  </si>
  <si>
    <t>www.jacadi.com</t>
  </si>
  <si>
    <t>JACADIPARIS.png</t>
  </si>
  <si>
    <t>ID-236</t>
  </si>
  <si>
    <t>Columbia</t>
  </si>
  <si>
    <t>+908502831797</t>
  </si>
  <si>
    <t>outdoor, giyim, ayakkabı, ekipman, polar, outdoor, clothing, shoes, equipment, fleece, kolumbiya</t>
  </si>
  <si>
    <t>www.columbia.com.tr</t>
  </si>
  <si>
    <t>COLUMBIA.png</t>
  </si>
  <si>
    <t>ID-237</t>
  </si>
  <si>
    <t>B&amp;G Store</t>
  </si>
  <si>
    <t xml:space="preserve">+902123536263 </t>
  </si>
  <si>
    <t>çocuk, bebek, giyim, kız, erkek, child, baby, clothing, girl, boy</t>
  </si>
  <si>
    <t>www.bgstoreonline.com</t>
  </si>
  <si>
    <t>B&amp;GSTORE.png</t>
  </si>
  <si>
    <t>ID-238</t>
  </si>
  <si>
    <t>Levi's</t>
  </si>
  <si>
    <t xml:space="preserve">+902123536918 </t>
  </si>
  <si>
    <t>kot pantolon, gömlek, erkek, kadın, tshirt, jeans, shirt, men, women, tshirt, livays</t>
  </si>
  <si>
    <t>www.levis.com.tr</t>
  </si>
  <si>
    <t>LEVI'S.png</t>
  </si>
  <si>
    <t>ID-239</t>
  </si>
  <si>
    <t>Minycenter Carter’s</t>
  </si>
  <si>
    <t>+902123536366</t>
  </si>
  <si>
    <t>çocuk, bebek, giyim, kız, erkek, child, baby, clothing, girl, boy, karters, carter's, oshkosh b'gosh</t>
  </si>
  <si>
    <t>www.minycenter.com.tr</t>
  </si>
  <si>
    <t>MINYCENTERCARTER'S.png</t>
  </si>
  <si>
    <t>ID-240</t>
  </si>
  <si>
    <t>Atelier Rebul</t>
  </si>
  <si>
    <t>+908505498157</t>
  </si>
  <si>
    <t>parfüm, koku, amber, kolonya, bakım, perfume, fragrance, amber, cologne, care, ateliyer</t>
  </si>
  <si>
    <t>www.atelierrebul.com</t>
  </si>
  <si>
    <t>ATELIERREBUL.png</t>
  </si>
  <si>
    <t>ID-241</t>
  </si>
  <si>
    <t>Emo Optik</t>
  </si>
  <si>
    <t>+902123536616</t>
  </si>
  <si>
    <t>gözlük, güneş, ray-ban, armani, prada, glasses, sun, ray-ban, armani, prada</t>
  </si>
  <si>
    <t>www.emooptik.com.tr</t>
  </si>
  <si>
    <t>EMOOPTİK.png</t>
  </si>
  <si>
    <t>ID-243</t>
  </si>
  <si>
    <t>Hello Sweetie</t>
  </si>
  <si>
    <t>+902123536952</t>
  </si>
  <si>
    <t>şeker, jelibon, çocuk, yiyecek, ayıcık, candy, jellybeans, child, food, teddy bear, hello siviti, haribo</t>
  </si>
  <si>
    <t>turkishdelight_confectionery</t>
  </si>
  <si>
    <t>HELLOSWEETIE.png</t>
  </si>
  <si>
    <t>Lokum &amp; Şekerleme</t>
  </si>
  <si>
    <t>ID-244</t>
  </si>
  <si>
    <t>Apple</t>
  </si>
  <si>
    <t>+902127083700</t>
  </si>
  <si>
    <t>iphone, macbook, ipad, genius bar, pro, iphone, macbook, ipad, genius bar, pro, epıl</t>
  </si>
  <si>
    <t>www.apple.com</t>
  </si>
  <si>
    <t>APPLESTORE.png</t>
  </si>
  <si>
    <t>ID-245</t>
  </si>
  <si>
    <t>Cheers Bar&amp;Bar Food</t>
  </si>
  <si>
    <t>+902129240125</t>
  </si>
  <si>
    <t>bar, psm, alkol, kokteyl, içki, bar, psm, alcohol, cocktail, drink</t>
  </si>
  <si>
    <t>Studio</t>
  </si>
  <si>
    <t>kulüp, performans, etkinlik, club, performance, event, psm</t>
  </si>
  <si>
    <t>Touche</t>
  </si>
  <si>
    <t>+902129240128</t>
  </si>
  <si>
    <t>ID-247</t>
  </si>
  <si>
    <t>Tumi</t>
  </si>
  <si>
    <t>+902126922323</t>
  </si>
  <si>
    <t>www.tumi.com.tr</t>
  </si>
  <si>
    <t>TUMI.png</t>
  </si>
  <si>
    <t>ID-248</t>
  </si>
  <si>
    <t>Dyson</t>
  </si>
  <si>
    <t>+905394701299</t>
  </si>
  <si>
    <t>daysın, süpürge, vakum, toz, vacuum cleaner, vacuum, dust, kablosuz , wireless</t>
  </si>
  <si>
    <t>www.dyson.com</t>
  </si>
  <si>
    <t>DYSON.png</t>
  </si>
  <si>
    <t>ID-248A</t>
  </si>
  <si>
    <t>Pembecida</t>
  </si>
  <si>
    <t>+908505200511</t>
  </si>
  <si>
    <t>kırtasiye, hobi, parti, ev, yaşam, stationery, hobby, party, home, life, pembesida</t>
  </si>
  <si>
    <t>www.pembecida.com</t>
  </si>
  <si>
    <t>PEMBECİDA.png</t>
  </si>
  <si>
    <t>ID-249</t>
  </si>
  <si>
    <t>Ametist</t>
  </si>
  <si>
    <t>+902123536174</t>
  </si>
  <si>
    <t>aksesuar, küpe, kolye, bileklik, yüzük, accessory, earring, necklace, wristband, ring</t>
  </si>
  <si>
    <t>www.ametististanbul.com</t>
  </si>
  <si>
    <t>AMETIST.png</t>
  </si>
  <si>
    <t>ID-250</t>
  </si>
  <si>
    <t>Lamy</t>
  </si>
  <si>
    <t>+902122586715</t>
  </si>
  <si>
    <t>lamy, kalem, dolma kalem, tükenmez kalem, versatil kalem, uçlu kalem, roller kalem, alman, lamyshop</t>
  </si>
  <si>
    <t>www.lamyshop.com.tr</t>
  </si>
  <si>
    <t>LAMY.png</t>
  </si>
  <si>
    <t>ID-253</t>
  </si>
  <si>
    <t>Maison Pereja</t>
  </si>
  <si>
    <t>pereja,kolonya,parfüm,mum,oda parfümü,diffuser, çubuklu oda kokusu, lüks koku</t>
  </si>
  <si>
    <t>www.maisonpereja.com</t>
  </si>
  <si>
    <t>MAISONPEREJA.png</t>
  </si>
  <si>
    <t>ID-254</t>
  </si>
  <si>
    <t>KIKO Milano</t>
  </si>
  <si>
    <t>+908508005456</t>
  </si>
  <si>
    <t>www.kikomilano.com.tr</t>
  </si>
  <si>
    <t>KIKOMILANO.png</t>
  </si>
  <si>
    <t>ID-255</t>
  </si>
  <si>
    <t>ID-256</t>
  </si>
  <si>
    <t>Alo Yoga</t>
  </si>
  <si>
    <t>www.aloyoga.com</t>
  </si>
  <si>
    <t>ALO.png</t>
  </si>
  <si>
    <t>infirmaryEN-201</t>
  </si>
  <si>
    <t>{“id”:”infirmary”}</t>
  </si>
  <si>
    <t>eczane, ilaç, reçete, doktor, tedavi, pharmacy, medicine, prescription, doctor, treatment</t>
  </si>
  <si>
    <t>Hizmetler</t>
  </si>
  <si>
    <t>infirmaryTR-201</t>
  </si>
  <si>
    <t>info-201</t>
  </si>
  <si>
    <t>{“id”:”infodesk”}</t>
  </si>
  <si>
    <t>+902129240124</t>
  </si>
  <si>
    <t>bilgi, danışma, soru, telefon, duyuru, information, consultation, question, phone, announcement</t>
  </si>
  <si>
    <t>wc-201</t>
  </si>
  <si>
    <t>{“id”:”wc”}</t>
  </si>
  <si>
    <t>tuvalet, lavabo, sabun, mendil, su, toilet, sink, soap, handkerchief, water</t>
  </si>
  <si>
    <t>wc-202</t>
  </si>
  <si>
    <t>baby-101</t>
  </si>
  <si>
    <t>baby-102</t>
  </si>
  <si>
    <t>entrance-101</t>
  </si>
  <si>
    <t>{“id”:”entrance”} Levazım</t>
  </si>
  <si>
    <t>ID-101</t>
  </si>
  <si>
    <t>Zara</t>
  </si>
  <si>
    <t>giyim, kadın, erkek, ayakkabı, moda, clothing, women, men, shoes, fashion</t>
  </si>
  <si>
    <t>www.zara.com</t>
  </si>
  <si>
    <t>ZARA.png</t>
  </si>
  <si>
    <t>ID-102</t>
  </si>
  <si>
    <t>Bakırkazan</t>
  </si>
  <si>
    <t>+902128060351</t>
  </si>
  <si>
    <t>yemek, tatlı, lokum, şekerleme, badem, food, sweet, turkish delight, confectionery, almond</t>
  </si>
  <si>
    <t>www.bakirkazan.com</t>
  </si>
  <si>
    <t>BAKIRKAZAN.png</t>
  </si>
  <si>
    <t>ID-104</t>
  </si>
  <si>
    <t>Watsons</t>
  </si>
  <si>
    <t>+902123536647</t>
  </si>
  <si>
    <t>kozmetik, bakım, makyaj, temizlik, banyo, cosmetic, care, makeup, cleaning, bathroom, vatsıns, vatsons</t>
  </si>
  <si>
    <t>www.watsons.com.tr</t>
  </si>
  <si>
    <t>WATSONS.png</t>
  </si>
  <si>
    <t>ID-105</t>
  </si>
  <si>
    <t>Turkcell</t>
  </si>
  <si>
    <t>+902123536200</t>
  </si>
  <si>
    <t>telefon, hat, sim, tarife, internet, phone, line, sim, tariff, internet, türksell</t>
  </si>
  <si>
    <t>www.turkcell.com.tr</t>
  </si>
  <si>
    <t>TURKCELL.png</t>
  </si>
  <si>
    <t>ID-106</t>
  </si>
  <si>
    <t>Tobacco Shop</t>
  </si>
  <si>
    <t>+902123536279</t>
  </si>
  <si>
    <t>tütün, sigara, çakmak, puro, gaz, tobacco, cigarette, lighter, cigar, gas, tobakko şop</t>
  </si>
  <si>
    <t>www.tobaccoshop.com.tr</t>
  </si>
  <si>
    <t>TOBACCOSHOP.png</t>
  </si>
  <si>
    <t>ID-107</t>
  </si>
  <si>
    <t>Plus Kitchen</t>
  </si>
  <si>
    <t>+905377788650</t>
  </si>
  <si>
    <t>kahvaltı, sandviç, wrap, meze, yemek, breakfast, sandwich, wrap, appetizer, food, pılas kiçın</t>
  </si>
  <si>
    <t>www.pluskitchen.com.tr</t>
  </si>
  <si>
    <t>PLUSKITCHEN.png</t>
  </si>
  <si>
    <t>ID-108</t>
  </si>
  <si>
    <t>Intimissimi</t>
  </si>
  <si>
    <t>+902123536117</t>
  </si>
  <si>
    <t>iç çamaşırı, erkek, kadın, sütyen, çorap, lingerie, men, women, bra, stockings</t>
  </si>
  <si>
    <t>www.intimissimi.com</t>
  </si>
  <si>
    <t>INTIMISSIMI.png</t>
  </si>
  <si>
    <t>ID-109</t>
  </si>
  <si>
    <t>Falconeri</t>
  </si>
  <si>
    <t>+902123536904</t>
  </si>
  <si>
    <t>cashmere, wool, yarn, kaşmir, yün, iplik, elbise, clothing</t>
  </si>
  <si>
    <t>www.falconeri.com</t>
  </si>
  <si>
    <t>FALCONERI.png</t>
  </si>
  <si>
    <t>ID-110</t>
  </si>
  <si>
    <t>Calzedonia</t>
  </si>
  <si>
    <t>+902123536116</t>
  </si>
  <si>
    <t>iç çamaşırı, mayo, kadın, sütyen, çorap, lingerie, swimwear, woman, bra, stockings, kaldezonya</t>
  </si>
  <si>
    <t>www.calzedonia.com/tr</t>
  </si>
  <si>
    <t>CALZEDONIA.png</t>
  </si>
  <si>
    <t>ID-111</t>
  </si>
  <si>
    <t>L'Occitane</t>
  </si>
  <si>
    <t>+902123536902</t>
  </si>
  <si>
    <t>güzellik, bakım, kozmetik, beauty, care, cosmetics</t>
  </si>
  <si>
    <t>www.loccitane.com.tr</t>
  </si>
  <si>
    <t>L'OCCITANE.png</t>
  </si>
  <si>
    <t>ID-112</t>
  </si>
  <si>
    <t>Sevil Parfümeri</t>
  </si>
  <si>
    <t>+902123536216</t>
  </si>
  <si>
    <t>koku, kolonya, parfüm, bakım, makyaj, fragrance, cologne, perfume, care, makeup</t>
  </si>
  <si>
    <t>www.sevil.com.tr</t>
  </si>
  <si>
    <t>SEVİL.png</t>
  </si>
  <si>
    <t>ID-113</t>
  </si>
  <si>
    <t>Bluemint</t>
  </si>
  <si>
    <t>www.bluemint.com</t>
  </si>
  <si>
    <t>BLUEMINT.png</t>
  </si>
  <si>
    <t>ID-114</t>
  </si>
  <si>
    <t>Divarese</t>
  </si>
  <si>
    <t>+902129244221</t>
  </si>
  <si>
    <t>kadın, erkek, çanta, ayakkabı, deri, women, men, bag, shoes, leather</t>
  </si>
  <si>
    <t>www.divarese.com.tr</t>
  </si>
  <si>
    <t>DIVARESE.png</t>
  </si>
  <si>
    <t>ID-115</t>
  </si>
  <si>
    <t>Caffe Nero</t>
  </si>
  <si>
    <t>+902123536191</t>
  </si>
  <si>
    <t>kahve, tatlı, kek, pasta, içecek, coffee, sweet, cake, cake, drink, kafe nero</t>
  </si>
  <si>
    <t>www.caffenero.com.tr</t>
  </si>
  <si>
    <t>NERO.png</t>
  </si>
  <si>
    <t>ID-116</t>
  </si>
  <si>
    <t>Günaydın Köfte &amp; Döner</t>
  </si>
  <si>
    <t>+902123536611</t>
  </si>
  <si>
    <t>et, tavuk, salata, ızgara, yemek, meat, chicken, salad, grilled, food</t>
  </si>
  <si>
    <t>fastfood</t>
  </si>
  <si>
    <t>www.gunaydinet.com</t>
  </si>
  <si>
    <t>GÜNAYDINKÖFTEDÖNER.png</t>
  </si>
  <si>
    <t>Fast Food</t>
  </si>
  <si>
    <t>ID-117</t>
  </si>
  <si>
    <t>Popeyes</t>
  </si>
  <si>
    <t>+902123536317</t>
  </si>
  <si>
    <t>tavuk, patates, fast food, yemek, nuget, chicken, potato, fast food, food, nuget, popays</t>
  </si>
  <si>
    <t>www.popeyes.com</t>
  </si>
  <si>
    <t>POPEYES.png</t>
  </si>
  <si>
    <t>ID-118</t>
  </si>
  <si>
    <t>Burger King</t>
  </si>
  <si>
    <t>+905382721679</t>
  </si>
  <si>
    <t>hamburger, patates, fast food, yemek, whooper, hamburger, potato, fast food, food, whopper, börgır king</t>
  </si>
  <si>
    <t>www.burgerking.com</t>
  </si>
  <si>
    <t>BURGERKING.png</t>
  </si>
  <si>
    <t>ID-118A</t>
  </si>
  <si>
    <t>Usta Dönerci</t>
  </si>
  <si>
    <t>www.ustadonerci.com</t>
  </si>
  <si>
    <t>USTADONERCI.png</t>
  </si>
  <si>
    <t>ID-119</t>
  </si>
  <si>
    <t>Arby's</t>
  </si>
  <si>
    <t>+902123536305</t>
  </si>
  <si>
    <t>fast food, patates, kızartma, sandviç, et, fast food, potato, roast, sandwich, meat, aybiys</t>
  </si>
  <si>
    <t>www.arbys.com.tr</t>
  </si>
  <si>
    <t>ARBYS.png</t>
  </si>
  <si>
    <t>ID-120</t>
  </si>
  <si>
    <t>Ziyafe Kayseri Mutfağı</t>
  </si>
  <si>
    <t>+902123536255</t>
  </si>
  <si>
    <t>yemek, tencere, çorba, köfte, tavuk, food, pots, soup, meatballs, chicken</t>
  </si>
  <si>
    <t>www.ziyafe.com.tr</t>
  </si>
  <si>
    <t>ZİYAFEKAYSERİMUTAFAĞI.png</t>
  </si>
  <si>
    <t>ID-121</t>
  </si>
  <si>
    <t>Ramiz</t>
  </si>
  <si>
    <t>+905326429183</t>
  </si>
  <si>
    <t>yemek, ızgara, et, food, grill, meat</t>
  </si>
  <si>
    <t>www.kofteciramiz.com</t>
  </si>
  <si>
    <t>RAMİZ.png</t>
  </si>
  <si>
    <t>ID-122</t>
  </si>
  <si>
    <t>Pidem</t>
  </si>
  <si>
    <t>+902123536717</t>
  </si>
  <si>
    <t>yemek, peynirli, kıymalı, ayran, kuşbaşı, food, cheese, minced meat, buttermilk, cubed</t>
  </si>
  <si>
    <t>www.pidem.com.tr</t>
  </si>
  <si>
    <t>PİDEM.png</t>
  </si>
  <si>
    <t>ID-123</t>
  </si>
  <si>
    <t>Really</t>
  </si>
  <si>
    <t>Fried Chicken</t>
  </si>
  <si>
    <t>+905316256924</t>
  </si>
  <si>
    <t>www.reallyfriedchicken.com</t>
  </si>
  <si>
    <t>REALLY.png</t>
  </si>
  <si>
    <t>ID-125</t>
  </si>
  <si>
    <t>Doyuyo</t>
  </si>
  <si>
    <t>www.doyuyo.com</t>
  </si>
  <si>
    <t>DOYUYO.png</t>
  </si>
  <si>
    <t>ID-126</t>
  </si>
  <si>
    <t>Dürümle</t>
  </si>
  <si>
    <t>dürüm</t>
  </si>
  <si>
    <t>www.durumle.com</t>
  </si>
  <si>
    <t>DÜRÜMLE.png</t>
  </si>
  <si>
    <t>ID-128</t>
  </si>
  <si>
    <t>Carl's Jr.</t>
  </si>
  <si>
    <t>+902123536367</t>
  </si>
  <si>
    <t>hamburger, patates, fast food, yemek, et, hamburger, potato, fast food, food, meat, karls jünyır</t>
  </si>
  <si>
    <t>www.carlsjr.com.tr</t>
  </si>
  <si>
    <t>CARL'SJUNIOR.png</t>
  </si>
  <si>
    <t>ID-130</t>
  </si>
  <si>
    <t>Tahin</t>
  </si>
  <si>
    <t xml:space="preserve">+902129997078 </t>
  </si>
  <si>
    <t>yemek, humus, falafel, lübnan, food, humus, falafel, lebanese, ızgara, grill</t>
  </si>
  <si>
    <t>www.tahin.com.tr</t>
  </si>
  <si>
    <t>TAHİN.png</t>
  </si>
  <si>
    <t>ID-131</t>
  </si>
  <si>
    <t>McDonald's</t>
  </si>
  <si>
    <t>+905337691842</t>
  </si>
  <si>
    <t>hamburger, patates, fast food, yemek, big mac, hamburger, potato, fast food, food, big mac, mekdanılds</t>
  </si>
  <si>
    <t>www.mcdonalds.com.tr</t>
  </si>
  <si>
    <t>MCDONALD'S.png</t>
  </si>
  <si>
    <t>ID-132</t>
  </si>
  <si>
    <t>Tavuk Dünyası</t>
  </si>
  <si>
    <t>+904448850</t>
  </si>
  <si>
    <t>www.tavukdunyasi.com</t>
  </si>
  <si>
    <t>ID-133</t>
  </si>
  <si>
    <t>Sosa</t>
  </si>
  <si>
    <t>+902123536280</t>
  </si>
  <si>
    <t>yemek, ızgara, salata, makarna, et, food, grilled, salad, pasta, meat</t>
  </si>
  <si>
    <t>www.sosa.com.tr</t>
  </si>
  <si>
    <t>SOSA.png</t>
  </si>
  <si>
    <t>ID-134</t>
  </si>
  <si>
    <t>Green Salads</t>
  </si>
  <si>
    <t>+902123536166</t>
  </si>
  <si>
    <t>yemek, ızgara, salata, tavuk, makarna, food, grilled, salad, chicken, pasta, gırin salats</t>
  </si>
  <si>
    <t>www.greensalads.com.tr</t>
  </si>
  <si>
    <t>GREENSALADS.png</t>
  </si>
  <si>
    <t>ID-135</t>
  </si>
  <si>
    <t>Bobbi Brown</t>
  </si>
  <si>
    <t xml:space="preserve">+902123536449 </t>
  </si>
  <si>
    <t>kozmetik, makyaj, bakım, kadın, cosmetics, makeup, care, women</t>
  </si>
  <si>
    <t>www.bobbibrown.com.tr</t>
  </si>
  <si>
    <t>BOBBIBROWN.png</t>
  </si>
  <si>
    <t>ID-135A</t>
  </si>
  <si>
    <t>Pandora</t>
  </si>
  <si>
    <t xml:space="preserve">+902123536621 </t>
  </si>
  <si>
    <t>takı, mücevher, pırlanta, yüzük, kolye, jewelry, jewel, diamond, ring, necklace</t>
  </si>
  <si>
    <t>www.pandora.net</t>
  </si>
  <si>
    <t>PANDORA.png</t>
  </si>
  <si>
    <t>ID-136</t>
  </si>
  <si>
    <t>Network</t>
  </si>
  <si>
    <t>+904443662</t>
  </si>
  <si>
    <t>giyim, kadın, erkek, ayakkabı, moda, clothing, women, men, shoes, fashion, netvörk</t>
  </si>
  <si>
    <t>www.network.com.tr</t>
  </si>
  <si>
    <t>NETWORK.png</t>
  </si>
  <si>
    <t>ID-137</t>
  </si>
  <si>
    <t>Edwards</t>
  </si>
  <si>
    <t>+902123536393</t>
  </si>
  <si>
    <t>giyim, kadın, erkek, ayakkabı, moda, clothing, women, men, shoes, fashion, edvırds</t>
  </si>
  <si>
    <t>www.edwards.com.tr</t>
  </si>
  <si>
    <t>EDWARDS.png</t>
  </si>
  <si>
    <t>ID-138</t>
  </si>
  <si>
    <t>Tommy Hilfiger</t>
  </si>
  <si>
    <t>+902123536085</t>
  </si>
  <si>
    <t>giyim, kadın, erkek, ayakkabı, moda, clothing, women, men, shoes, fashion, tomi hilfigır</t>
  </si>
  <si>
    <t>www.tommy.com</t>
  </si>
  <si>
    <t>TOMMYHILFIGER.png</t>
  </si>
  <si>
    <t>ID-139</t>
  </si>
  <si>
    <t>Beymen</t>
  </si>
  <si>
    <t>{“id”:”ID-138”}</t>
  </si>
  <si>
    <t>+902123063300</t>
  </si>
  <si>
    <t>www.beymen.com</t>
  </si>
  <si>
    <t>BEYMEN.png</t>
  </si>
  <si>
    <t>ID-140</t>
  </si>
  <si>
    <t>Twinset Milano</t>
  </si>
  <si>
    <t>+902124038865</t>
  </si>
  <si>
    <t>kadın, giyim, çanta, ayakkabı, tasarım, woman, clothing, bag, shoes, design</t>
  </si>
  <si>
    <t>www.twinset.com</t>
  </si>
  <si>
    <t>TWINSETMILANO.png</t>
  </si>
  <si>
    <t>ID-140A</t>
  </si>
  <si>
    <t>Brooks Brothers</t>
  </si>
  <si>
    <t>+908507225822</t>
  </si>
  <si>
    <t>www.brooksbrothers.com.tr</t>
  </si>
  <si>
    <t>BROOKSBROTHERS.png</t>
  </si>
  <si>
    <t>ID-140B</t>
  </si>
  <si>
    <t>Cup of Joy</t>
  </si>
  <si>
    <t>+902123536413</t>
  </si>
  <si>
    <t>kahve, tatlı, kek, pasta, içecek, coffee, sweet, cake, cake, drink, kap of coy</t>
  </si>
  <si>
    <t>www.cupofjoy.com.tr</t>
  </si>
  <si>
    <t>CUPOFJOY.png</t>
  </si>
  <si>
    <t>ID-141</t>
  </si>
  <si>
    <t>Atasay</t>
  </si>
  <si>
    <t>+902123536464</t>
  </si>
  <si>
    <t>altın, gümüş, yüzük, kolye, pırlanta, gold, silver, ring, necklace, diamond</t>
  </si>
  <si>
    <t>www.atasay.com</t>
  </si>
  <si>
    <t>ATASAY.png</t>
  </si>
  <si>
    <t>ID-142</t>
  </si>
  <si>
    <t>Pinko</t>
  </si>
  <si>
    <t>+902123536045</t>
  </si>
  <si>
    <t>www.pinkoturkey.com</t>
  </si>
  <si>
    <t>PINKO.png</t>
  </si>
  <si>
    <t>ID-143</t>
  </si>
  <si>
    <t>Machka</t>
  </si>
  <si>
    <t>+902123536869</t>
  </si>
  <si>
    <t>kadın, giyim, çanta, moda, aksesuar, woman, clothing, bag, fashion, accessory, maçka</t>
  </si>
  <si>
    <t>www.machka.com.tr</t>
  </si>
  <si>
    <t>MACHKA.png</t>
  </si>
  <si>
    <t>ID-144</t>
  </si>
  <si>
    <t>Ramsey</t>
  </si>
  <si>
    <t>+902123536667</t>
  </si>
  <si>
    <t>erkek, giyim, takım, gömlek, ayakkabı, erkek, giyim, takım, gömlek, ayakkabı</t>
  </si>
  <si>
    <t>www.ramsey.com.tr</t>
  </si>
  <si>
    <t>RAMSEY.png</t>
  </si>
  <si>
    <t>ID-145</t>
  </si>
  <si>
    <t>Calvin Klein Jeans</t>
  </si>
  <si>
    <t>+902123536973</t>
  </si>
  <si>
    <t>kadın, erkek, giyim, ayakkabı, mont, women, men, clothing, shoes, coats, kalvin kılayn</t>
  </si>
  <si>
    <t>www.calvinklein.com</t>
  </si>
  <si>
    <t>CALVINKLEINJEANS.png</t>
  </si>
  <si>
    <t>ID-146</t>
  </si>
  <si>
    <t>Vario</t>
  </si>
  <si>
    <t>+905438197043</t>
  </si>
  <si>
    <t>ayakkabı, topuklu, çizme, bot, sandalet, shoes, heels, boots, boots, sandals, varyo</t>
  </si>
  <si>
    <t>www.varioshoes.com</t>
  </si>
  <si>
    <t>VARIO.png</t>
  </si>
  <si>
    <t>ID-147</t>
  </si>
  <si>
    <t>Diesel</t>
  </si>
  <si>
    <t>+902123536070</t>
  </si>
  <si>
    <t>kadın, erkek, giyim, ayakkabı, mont, women, men, clothing, shoes, coats, dizel</t>
  </si>
  <si>
    <t>www.diesel.com</t>
  </si>
  <si>
    <t>DIESEL.png</t>
  </si>
  <si>
    <t>ID-148</t>
  </si>
  <si>
    <t>Mocassini</t>
  </si>
  <si>
    <t>+902126771180</t>
  </si>
  <si>
    <t>ayakkabı, deri, erkek, kadın, mont, shoes, leather, men, women, coats, mokassini</t>
  </si>
  <si>
    <t>www.mocassini.com.tr</t>
  </si>
  <si>
    <t>MOCASSINI.png</t>
  </si>
  <si>
    <t>ID-149</t>
  </si>
  <si>
    <t>Beymen Club</t>
  </si>
  <si>
    <t>({“id”:”renovating”})</t>
  </si>
  <si>
    <t>+902123063386</t>
  </si>
  <si>
    <t>kadın, erkek, giyim, ayakkabı, aksesuar, women, men, clothing, shoes, accessories, beymen kılap, beymen kılab</t>
  </si>
  <si>
    <t>www.beymenclub.com</t>
  </si>
  <si>
    <t>BEYMENCLUB.png</t>
  </si>
  <si>
    <t>ID-150</t>
  </si>
  <si>
    <t>Nautica</t>
  </si>
  <si>
    <t>+902123536100</t>
  </si>
  <si>
    <t>kadın, erkek, giyim, gömlek, tshirt, woman, man, clothing, shirt, tshirt, natika</t>
  </si>
  <si>
    <t>www.nautica-tr.com</t>
  </si>
  <si>
    <t>NAUTICA.png</t>
  </si>
  <si>
    <t>ID-151</t>
  </si>
  <si>
    <t>Gant</t>
  </si>
  <si>
    <t>+905305558883</t>
  </si>
  <si>
    <t>kadın, erkek, giyim, gömlek, tshirt, woman, man, clothing, shirt, tshirt, gent</t>
  </si>
  <si>
    <t>www.gant.com.tr</t>
  </si>
  <si>
    <t>GANT.png</t>
  </si>
  <si>
    <t>ID-152</t>
  </si>
  <si>
    <t>Lacoste</t>
  </si>
  <si>
    <t>+902123536066</t>
  </si>
  <si>
    <t>kadın, erkek, giyim, polo, tshirt, woman, man, clothing, polo, tshirt, lakost</t>
  </si>
  <si>
    <t>www.lacoste.com</t>
  </si>
  <si>
    <t>LACOSTE.png</t>
  </si>
  <si>
    <t>ID-153</t>
  </si>
  <si>
    <t>COS</t>
  </si>
  <si>
    <t>+902123536012</t>
  </si>
  <si>
    <t>kadın, giyim, modern, tasarım, elbise, woman, clothing, modern, design, dress, kos</t>
  </si>
  <si>
    <t>www.cosstores.com</t>
  </si>
  <si>
    <t>COS.png</t>
  </si>
  <si>
    <t>ID-154</t>
  </si>
  <si>
    <t>Baqa</t>
  </si>
  <si>
    <t>+908503338051</t>
  </si>
  <si>
    <t>www.baqa.com.tr</t>
  </si>
  <si>
    <t>BAQA.png</t>
  </si>
  <si>
    <t>ID-155</t>
  </si>
  <si>
    <t>Mapa</t>
  </si>
  <si>
    <t>+902123536500</t>
  </si>
  <si>
    <t>kadın, giyim, moda, elbise, stil, woman, clothing, fashion, dress, style</t>
  </si>
  <si>
    <t>www.mapa-boutique.com</t>
  </si>
  <si>
    <t>MAPA.png</t>
  </si>
  <si>
    <t>ID-156</t>
  </si>
  <si>
    <t>Kiehl's</t>
  </si>
  <si>
    <t>+908502213489</t>
  </si>
  <si>
    <t>krem, bakım, maske, makyaj, cilt, cream, care, mask, makeup, skin, kiels</t>
  </si>
  <si>
    <t>www.kiehls.com.tr</t>
  </si>
  <si>
    <t>KIEHL'S.png</t>
  </si>
  <si>
    <t>ID-157</t>
  </si>
  <si>
    <t>Vilebrequin</t>
  </si>
  <si>
    <t>+902123536040</t>
  </si>
  <si>
    <t>mayo, yüzme, plaj, tshirt, aksesuar, swimwear, swimming, beach, tshirt, accessory, vilbırekın</t>
  </si>
  <si>
    <t>www.vilebrequin.com</t>
  </si>
  <si>
    <t>VILEBREQUIN.png</t>
  </si>
  <si>
    <t>ID-158</t>
  </si>
  <si>
    <t>Remzi Kitabevi</t>
  </si>
  <si>
    <t>+902123536141</t>
  </si>
  <si>
    <t>kitap, kırtasiye, çok satan, dergi, gazete, book, stationery, bestselling, magazine, newspaper</t>
  </si>
  <si>
    <t>www.remzi.com.tr</t>
  </si>
  <si>
    <t>REMZİKİTABEVİ.png</t>
  </si>
  <si>
    <t>ID-159</t>
  </si>
  <si>
    <t>Swarovski</t>
  </si>
  <si>
    <t>+902123536159</t>
  </si>
  <si>
    <t>aksesuar, kristal, biblo, kolye, küpe, accessory, crystal, trinket, necklace, earring, sıvarovski</t>
  </si>
  <si>
    <t>www.swarovski.com.tr</t>
  </si>
  <si>
    <t>SWAROVSKI.png</t>
  </si>
  <si>
    <t>ID-160</t>
  </si>
  <si>
    <t>Intimissimi Uomo</t>
  </si>
  <si>
    <t>+902123536062</t>
  </si>
  <si>
    <t>www.intimissimi.com/tr/erkek/</t>
  </si>
  <si>
    <t>https://inmapper.com/zorlucenter/img/logo/INTIMISSIMIUOMO.png</t>
  </si>
  <si>
    <t>ID-161</t>
  </si>
  <si>
    <t>Yargıcı</t>
  </si>
  <si>
    <t>+902123536059</t>
  </si>
  <si>
    <t>giyim, çanta, ayakkabı, aksesuar, elbise, clothing, bags, shoes, accessories, dress</t>
  </si>
  <si>
    <t>www.yargici.com.tr</t>
  </si>
  <si>
    <t>YARGICI.png</t>
  </si>
  <si>
    <t>ID-162</t>
  </si>
  <si>
    <t>Göz Grup</t>
  </si>
  <si>
    <t>+902123536210</t>
  </si>
  <si>
    <t>www.gozgrup.com</t>
  </si>
  <si>
    <t>GÖZGRUP.png</t>
  </si>
  <si>
    <t>ID-163</t>
  </si>
  <si>
    <t>ID-165</t>
  </si>
  <si>
    <t>Vennüs Telefon Aksesuar</t>
  </si>
  <si>
    <t>telefon, tablet, kılıf, teknoloji, mobil, phone, tablet, case, technology, mobile</t>
  </si>
  <si>
    <t>ID-164</t>
  </si>
  <si>
    <t>Marie Antoinette Chocolatier</t>
  </si>
  <si>
    <t>+902123536990</t>
  </si>
  <si>
    <t>cup, truffle, praline, çikolata, tatlı, cup, truffle, praline, chocolate, dessert, mari antonet</t>
  </si>
  <si>
    <t>www.marieantoinette.com.tr</t>
  </si>
  <si>
    <t>MARIEANTOINETTECHOCOLATIER.png</t>
  </si>
  <si>
    <t>ID-166</t>
  </si>
  <si>
    <t>{“id”:”floorbosphorus”}</t>
  </si>
  <si>
    <t>%100 Pub</t>
  </si>
  <si>
    <t>Bites &amp; Beats</t>
  </si>
  <si>
    <t>bar, psm, vestel, amfi, zorlu, performans, sanatları, merkezi</t>
  </si>
  <si>
    <t>BITESANDBEATS.png</t>
  </si>
  <si>
    <t>The Grungy</t>
  </si>
  <si>
    <t>grungy, gurungi, grungi, burger, hamburger, psm, vestel, amfi, performans, sanatları, merkezi</t>
  </si>
  <si>
    <t>THEGRUNGY.png</t>
  </si>
  <si>
    <t>Ranchero</t>
  </si>
  <si>
    <t>rancero, rançero, meksika, mexico, psm, vestel, amfi, performans, sanatları, merkezi</t>
  </si>
  <si>
    <t>www.ranchero.com.tr</t>
  </si>
  <si>
    <t>RANCHERO.png</t>
  </si>
  <si>
    <t>Focamia</t>
  </si>
  <si>
    <t>italyan, italian, sandviç, sandwich, focaccia, fokaçyo, fokamia, psm, vestel, amfi, performans, sanatları, merkezi</t>
  </si>
  <si>
    <t>Ppang</t>
  </si>
  <si>
    <t>kore, korean, sandviç, sandwich, tost, toast, psm, vestel, amfi, performans, sanatları, merkezi</t>
  </si>
  <si>
    <t>PPANG.png</t>
  </si>
  <si>
    <t>Starbucks (Zorlu PSM)</t>
  </si>
  <si>
    <t>Passo Bilet Gişesi</t>
  </si>
  <si>
    <t>+902129240110</t>
  </si>
  <si>
    <t>ID-169</t>
  </si>
  <si>
    <t>Anatoli</t>
  </si>
  <si>
    <t>+902123536600</t>
  </si>
  <si>
    <t>fincan, bardak, tepsi, şişe, kutu, cup, glass, tray, bottle, box</t>
  </si>
  <si>
    <t>www.anatolihome.com</t>
  </si>
  <si>
    <t>ANATOLI.png</t>
  </si>
  <si>
    <t>ID-170</t>
  </si>
  <si>
    <t>Zara Home</t>
  </si>
  <si>
    <t>+902123536574</t>
  </si>
  <si>
    <t>ev, aksesuar, biblo, yastık, home, accessory, trinket, pillow</t>
  </si>
  <si>
    <t>www.zarahome.com/tr</t>
  </si>
  <si>
    <t>ZARAHOME.png</t>
  </si>
  <si>
    <t>ID-171</t>
  </si>
  <si>
    <t>ZES Elektrikli Araç Şarj İstasyonu</t>
  </si>
  <si>
    <t>araç, elektrik, şarj, vehicle, electric, charger</t>
  </si>
  <si>
    <t>ID-172</t>
  </si>
  <si>
    <t>Zen Pırlanta</t>
  </si>
  <si>
    <t>+905316848306</t>
  </si>
  <si>
    <t>www.zenpirlanta.com</t>
  </si>
  <si>
    <t>ZENPIRLANTA.png</t>
  </si>
  <si>
    <t>ID-173</t>
  </si>
  <si>
    <t>Walkers Bar</t>
  </si>
  <si>
    <t>+905304190130</t>
  </si>
  <si>
    <t>bar, alkol, kokteyl, içki, bar, alcohol, cocktail, drink</t>
  </si>
  <si>
    <t>www.walkersbar.com</t>
  </si>
  <si>
    <t>WALKERSBAR.png</t>
  </si>
  <si>
    <t>ID-174</t>
  </si>
  <si>
    <t>Kipling</t>
  </si>
  <si>
    <t>giyim, moda, kadın, çanta, clothing, fashion, women, bag</t>
  </si>
  <si>
    <t>www.kipling.com.tr</t>
  </si>
  <si>
    <t>KIPLING.png</t>
  </si>
  <si>
    <t>locker-101</t>
  </si>
  <si>
    <t>info-101</t>
  </si>
  <si>
    <t>lobyy-101</t>
  </si>
  <si>
    <t>A1 Capital</t>
  </si>
  <si>
    <t>TD Lobi</t>
  </si>
  <si>
    <t>offices</t>
  </si>
  <si>
    <t>Ofisler</t>
  </si>
  <si>
    <t>Artistanbul</t>
  </si>
  <si>
    <t>AI Analiz</t>
  </si>
  <si>
    <t>Ali Atay - Candan Karaca</t>
  </si>
  <si>
    <t>Armatran Group (CMA Otomotiv)</t>
  </si>
  <si>
    <t>Aslanoba Yatırım</t>
  </si>
  <si>
    <t>Bioeksim A.Ş.</t>
  </si>
  <si>
    <t>Buladı Hukuk Bürosu</t>
  </si>
  <si>
    <t>Çakmak Avukatlık</t>
  </si>
  <si>
    <t>Carmina Gayrimenkul</t>
  </si>
  <si>
    <t>Dr. Alp Mamak</t>
  </si>
  <si>
    <t>EC Gayrimenkul A.Ş.</t>
  </si>
  <si>
    <t>Emir Hukuk Müşavir. İbrahim Sapan</t>
  </si>
  <si>
    <t xml:space="preserve">Ensari Deri A.Ş.       </t>
  </si>
  <si>
    <t>Form Yapı / İnka Bilişim</t>
  </si>
  <si>
    <t>Genan İnşaat</t>
  </si>
  <si>
    <t>Global Maden Doğalgaz</t>
  </si>
  <si>
    <t>Güneyler Altın Mücevherat</t>
  </si>
  <si>
    <t>Güriş Holding</t>
  </si>
  <si>
    <t>Karaman Hukuk Bürosu</t>
  </si>
  <si>
    <t>Marubeni Itochu Steel</t>
  </si>
  <si>
    <t>Masgold Kuyumculuk</t>
  </si>
  <si>
    <t>MCD Enerji Yatırımları A.Ş.</t>
  </si>
  <si>
    <t>Metreküp Mimarlık</t>
  </si>
  <si>
    <t>Miraren A.Ş.</t>
  </si>
  <si>
    <t>Naturel Enerji A.Ş.</t>
  </si>
  <si>
    <t>Odaş Elektrik</t>
  </si>
  <si>
    <t>Opr.Dr. İskender Alkın Solmaz</t>
  </si>
  <si>
    <t>Platform Yatırım A.Ş.</t>
  </si>
  <si>
    <t>Pınar Danışmanlık</t>
  </si>
  <si>
    <t>Prof. Dr. Uğur Haklar</t>
  </si>
  <si>
    <t>Royal Innovative</t>
  </si>
  <si>
    <t>Rozak Makine San.</t>
  </si>
  <si>
    <t>Sace Spa Istanbul Representative Office</t>
  </si>
  <si>
    <t xml:space="preserve">SLPLUS Metal Maden San. Dış Tic. A.Ş.       </t>
  </si>
  <si>
    <t>SYZ Private Banking</t>
  </si>
  <si>
    <t>Universal Conselor</t>
  </si>
  <si>
    <t>Valuegene Consulting Group</t>
  </si>
  <si>
    <t>VR Gayrimenkul A.Ş.</t>
  </si>
  <si>
    <t>W Clinics</t>
  </si>
  <si>
    <t>Wipro</t>
  </si>
  <si>
    <t>Yapı Set A.Ş.</t>
  </si>
  <si>
    <t>Yazıcı Avukatlık Ortaklığı</t>
  </si>
  <si>
    <t>pharmacyEN-101</t>
  </si>
  <si>
    <t>{“id”:”pharmacy”} Zorlu Center</t>
  </si>
  <si>
    <t>+902123536333</t>
  </si>
  <si>
    <t>ilaç, hasta, bakım, reçete, nöbetçi, drug, patient, care, prescription, duty</t>
  </si>
  <si>
    <t>ZORLUCENTERECZANESİ.png</t>
  </si>
  <si>
    <t>pharmacyTR-101</t>
  </si>
  <si>
    <t>taxfree-101</t>
  </si>
  <si>
    <t>Tax Free Zone ({“id”:”infodesk”})</t>
  </si>
  <si>
    <t>+902129240100</t>
  </si>
  <si>
    <t>vergi, iade, fatura, fiş, form, tax, refund, invoice, receipt, form</t>
  </si>
  <si>
    <t>taxfree-102</t>
  </si>
  <si>
    <t>Global Blue (Beymen)</t>
  </si>
  <si>
    <t>taxi-101</t>
  </si>
  <si>
    <t>{“id”:”taxi”}</t>
  </si>
  <si>
    <t>+902125580606</t>
  </si>
  <si>
    <t>araç, taksi, yolculuk, ödeme, transfer, vehicle, taxi, journey, payment, transfer</t>
  </si>
  <si>
    <t>valet-101</t>
  </si>
  <si>
    <t>Bob {“id”:”valet”} (Levazım/Beymen)</t>
  </si>
  <si>
    <t>+908502590262</t>
  </si>
  <si>
    <t>vale, park, araba, bilet, rezervasyon, valet, parking, car, ticket, booking</t>
  </si>
  <si>
    <t>wc-101</t>
  </si>
  <si>
    <t>wc-102</t>
  </si>
  <si>
    <t>wc-103</t>
  </si>
  <si>
    <t>disabled-103</t>
  </si>
  <si>
    <t>{“id”:”disabled”}</t>
  </si>
  <si>
    <t>tuvalet, lavabo, sabun, mendil, su, toilet, sink, soap, handkerchief, water, accessible, engelli, erişilebilir</t>
  </si>
  <si>
    <t>atm001</t>
  </si>
  <si>
    <t>{“id”:”atm”}</t>
  </si>
  <si>
    <t>para, çekme, yatırma, nakit, kart, money, withdrawal, deposit, cash, card</t>
  </si>
  <si>
    <t>DenizBank</t>
  </si>
  <si>
    <t>({“id”:”atm”})</t>
  </si>
  <si>
    <t>Garanti BBVA</t>
  </si>
  <si>
    <t>Halkbank</t>
  </si>
  <si>
    <t>QNB Finansbank</t>
  </si>
  <si>
    <t>Türkiye İş Bankası</t>
  </si>
  <si>
    <t>Yapı Kredi</t>
  </si>
  <si>
    <t>baby001</t>
  </si>
  <si>
    <t>entrance001</t>
  </si>
  <si>
    <t>{“id”:”entrance”} Zincirlikuyu</t>
  </si>
  <si>
    <t>entrance002</t>
  </si>
  <si>
    <t>entrance003</t>
  </si>
  <si>
    <t>{“id”:”entrance”} Ulus</t>
  </si>
  <si>
    <t>ID001</t>
  </si>
  <si>
    <t>Sail Loft Vakkorama</t>
  </si>
  <si>
    <t>+902129423326</t>
  </si>
  <si>
    <t>kahve, tatlı, kek, içecek, pasta, coffee, dessert, cake, drink, muffin</t>
  </si>
  <si>
    <t>www.vakkorama.com.tr</t>
  </si>
  <si>
    <t>VAKKORAMACAFE.png</t>
  </si>
  <si>
    <t>ID001A</t>
  </si>
  <si>
    <t>Vakkorama</t>
  </si>
  <si>
    <t>+902129422639</t>
  </si>
  <si>
    <t>aksesuar, hediyelik, giyim, moda, ayakkabı, accessory, gift, clothing, fashion, shoes</t>
  </si>
  <si>
    <t>VAKKORAMA.png</t>
  </si>
  <si>
    <t>ID001B</t>
  </si>
  <si>
    <t>Elie Saab</t>
  </si>
  <si>
    <t>kadın, giyim, moda, woman, clothing, fashion, bridal</t>
  </si>
  <si>
    <t>www.eliesaab.com</t>
  </si>
  <si>
    <t>ELIESAAB.png</t>
  </si>
  <si>
    <t>ID002</t>
  </si>
  <si>
    <t>Golden Goose</t>
  </si>
  <si>
    <t>+902123536806</t>
  </si>
  <si>
    <t>erkek, kadın, giyim, moda, ayakkabı, man, woman, clothing, fashion, shoes</t>
  </si>
  <si>
    <t>www.goldengoose.com</t>
  </si>
  <si>
    <t>GOLDENGOOSE.png</t>
  </si>
  <si>
    <t>ID003</t>
  </si>
  <si>
    <t>Welldone</t>
  </si>
  <si>
    <t>+905304799691</t>
  </si>
  <si>
    <t>yemek, hamburger, makarna, et, salata, food, hamburger, pasta, meat, salad, veldan</t>
  </si>
  <si>
    <t>www.well-done.com.tr</t>
  </si>
  <si>
    <t>WELLDONE.png</t>
  </si>
  <si>
    <t>ID004</t>
  </si>
  <si>
    <t>Crossing</t>
  </si>
  <si>
    <t>+905372767464</t>
  </si>
  <si>
    <t>yemek, kahve, pasta, içecek, kek, food, coffee, cake, drink, muffin, krossing</t>
  </si>
  <si>
    <t>CROSSING.png</t>
  </si>
  <si>
    <t>ID005</t>
  </si>
  <si>
    <t>Vakko</t>
  </si>
  <si>
    <t>+902127083333</t>
  </si>
  <si>
    <t>giyim, moda, erkek, kadın, ayakkabı, clothing, fashion, men, women, shoes</t>
  </si>
  <si>
    <t>www.vakko.com</t>
  </si>
  <si>
    <t>VAKKO.png</t>
  </si>
  <si>
    <t>ID006</t>
  </si>
  <si>
    <t>Tod's</t>
  </si>
  <si>
    <t>+902123063388</t>
  </si>
  <si>
    <t>www.tods.com</t>
  </si>
  <si>
    <t>TOD'S.png</t>
  </si>
  <si>
    <t>ID007</t>
  </si>
  <si>
    <t>Happy Moon's</t>
  </si>
  <si>
    <t>+902123536308</t>
  </si>
  <si>
    <t>yemek, hamburger, makarna, et, salata, food, hamburger, pasta, meat, salad, hepi muns</t>
  </si>
  <si>
    <t>www.happymoons.com.tr</t>
  </si>
  <si>
    <t>HAPPYMOON'S.png</t>
  </si>
  <si>
    <t>ID008</t>
  </si>
  <si>
    <t>Celine</t>
  </si>
  <si>
    <t>+902123063390</t>
  </si>
  <si>
    <t>www.celine.com</t>
  </si>
  <si>
    <t>CELINE.png</t>
  </si>
  <si>
    <t>ID009</t>
  </si>
  <si>
    <t>Alexander McQueen</t>
  </si>
  <si>
    <t>+902123063396</t>
  </si>
  <si>
    <t>www.alexandermcqueen.com</t>
  </si>
  <si>
    <t>ALEXANDERMCQUEEN.png</t>
  </si>
  <si>
    <t>ID010</t>
  </si>
  <si>
    <t>Rolex</t>
  </si>
  <si>
    <t>+902123536898</t>
  </si>
  <si>
    <t>saat, aksesuar, kayış,watch, accessory, strap</t>
  </si>
  <si>
    <t>www.rhodium.com.tr</t>
  </si>
  <si>
    <t>ROLEX.png</t>
  </si>
  <si>
    <t>ID011</t>
  </si>
  <si>
    <t>Valentino</t>
  </si>
  <si>
    <t>+902123063392</t>
  </si>
  <si>
    <t>kadın, erkek, ayakkabı, çanta, giyim, women, men, shoes, bag, clothing</t>
  </si>
  <si>
    <t>www.valentino.com</t>
  </si>
  <si>
    <t>VALENTINO.png</t>
  </si>
  <si>
    <t>ID012</t>
  </si>
  <si>
    <t>BigChefs</t>
  </si>
  <si>
    <t>+902123536384</t>
  </si>
  <si>
    <t>burger, salata, sandviç, et, makarna, tatlı, big şefs, bigşefs</t>
  </si>
  <si>
    <t>www.bigchefs.com.tr</t>
  </si>
  <si>
    <t>BIGCHEFS.png</t>
  </si>
  <si>
    <t>ID014</t>
  </si>
  <si>
    <t>Günaydın Kasap &amp; Steakhouse</t>
  </si>
  <si>
    <t>+902123536250</t>
  </si>
  <si>
    <t>et, ızgara, hamburger, salata, köfte, soup, food, meat, grilled, olive oil</t>
  </si>
  <si>
    <t>GÜNAYDINSTEAKHOUSE.png</t>
  </si>
  <si>
    <t>ID015</t>
  </si>
  <si>
    <t>Nev İstanbul</t>
  </si>
  <si>
    <t>+902123536754-55</t>
  </si>
  <si>
    <t>meze, mezze, meze çeşitleri, sabah kahvaltı, breakfast, öğle lokanta, lunch, akşam içkili lokanta, yeni nesil lokanta, lokanta</t>
  </si>
  <si>
    <t>www.nevlokanta.com</t>
  </si>
  <si>
    <t>NEVLOKANTAMEZE.png</t>
  </si>
  <si>
    <t>ID016</t>
  </si>
  <si>
    <t>SushiCo</t>
  </si>
  <si>
    <t>+905309543168</t>
  </si>
  <si>
    <t>suşi, makarna, erişte, tatlı, balık, sushi, pasta, noodles, sweet, fish, suşiko</t>
  </si>
  <si>
    <t>www.sushico.com.tr</t>
  </si>
  <si>
    <t>SUSHICO.png</t>
  </si>
  <si>
    <t>ID017</t>
  </si>
  <si>
    <t>Saray Muhallebicisi</t>
  </si>
  <si>
    <t>+902129992810</t>
  </si>
  <si>
    <t>tatlı, döner, ızgara, içecek, çorba, sweet, doner, grilled, drink, soup</t>
  </si>
  <si>
    <t>www.saraymuhallebicisi.com</t>
  </si>
  <si>
    <t>SARAYMUHALLEBİCİSİ.png</t>
  </si>
  <si>
    <t>ID018</t>
  </si>
  <si>
    <t>Balenciaga</t>
  </si>
  <si>
    <t>+902123063394</t>
  </si>
  <si>
    <t>erkek, kadın, ayakkabı, çanta, men, women, shoe, handbag</t>
  </si>
  <si>
    <t>www.balenciaga.com</t>
  </si>
  <si>
    <t>BALENCIAGA.png</t>
  </si>
  <si>
    <t>ID019</t>
  </si>
  <si>
    <t>Dolce &amp; Gabbana</t>
  </si>
  <si>
    <t>+902123063398</t>
  </si>
  <si>
    <t>kadın, erkek, moda, giyim, gözlük, woman, man, fashion, clothing, glasses</t>
  </si>
  <si>
    <t>www.dolcegabbana.com</t>
  </si>
  <si>
    <t>DOLCE&amp;GABBANA.png</t>
  </si>
  <si>
    <t>ID020</t>
  </si>
  <si>
    <t>Burberry</t>
  </si>
  <si>
    <t>+902123536400</t>
  </si>
  <si>
    <t>giyim, moda, çanta, mont, ayakkabı, clothing, fashion, bag, coats, shoes, börbıri</t>
  </si>
  <si>
    <t>www.burberry.com</t>
  </si>
  <si>
    <t>BURBERRY.png</t>
  </si>
  <si>
    <t>ID021</t>
  </si>
  <si>
    <t>Cantinery</t>
  </si>
  <si>
    <t>+902123536365</t>
  </si>
  <si>
    <t>ızgara, pizza, salata, makarna, içecek, grill, pizza, salad, pasta, drink, kantineri</t>
  </si>
  <si>
    <t>www.cantinery.com.tr</t>
  </si>
  <si>
    <t>CANTINERY.png</t>
  </si>
  <si>
    <t>ID022</t>
  </si>
  <si>
    <t>Prada</t>
  </si>
  <si>
    <t>+902123536030</t>
  </si>
  <si>
    <t>erkek, kadın, ayakkabı, çanta, moda, men, women, shoes, bag, fashion</t>
  </si>
  <si>
    <t>www.prada.com</t>
  </si>
  <si>
    <t>PRADA.png</t>
  </si>
  <si>
    <t>ID023</t>
  </si>
  <si>
    <t>Şükrü Dudu Barber’s Club</t>
  </si>
  <si>
    <t>+902122803099</t>
  </si>
  <si>
    <t>berber, kuaför, saç, bakım, kesim, barber, barber, hair, care, cut</t>
  </si>
  <si>
    <t>cosmetics_health, servicestores</t>
  </si>
  <si>
    <t>www.sukrududu.com</t>
  </si>
  <si>
    <t>ŞÜKRÜDUDUBARBER'SCLUB.png</t>
  </si>
  <si>
    <t>ID024</t>
  </si>
  <si>
    <t>MAC/One</t>
  </si>
  <si>
    <t>+902129701652-53</t>
  </si>
  <si>
    <t>spor, üyelik, vücut geliştirme, bisiklet, koşu, sport, membership, bodybuilding, cycling, running</t>
  </si>
  <si>
    <t>fitness</t>
  </si>
  <si>
    <t>www.marsathletic.com</t>
  </si>
  <si>
    <t>MACMARSATHLETICCLUB.png</t>
  </si>
  <si>
    <t>Spor</t>
  </si>
  <si>
    <t>ID025</t>
  </si>
  <si>
    <t>Rey Organic</t>
  </si>
  <si>
    <t>+905339786253</t>
  </si>
  <si>
    <t>www.reyorganic.com</t>
  </si>
  <si>
    <t>REYORGANIC.png</t>
  </si>
  <si>
    <t>ID026</t>
  </si>
  <si>
    <t>{“id”:”ID027”}</t>
  </si>
  <si>
    <t>giyim, moda, kadın, erkek, çanta, clothing, fashion, woman, men, bag</t>
  </si>
  <si>
    <t>ID027</t>
  </si>
  <si>
    <t>Morini</t>
  </si>
  <si>
    <t>+902123536767</t>
  </si>
  <si>
    <t>yemek, ızgara, et, salata, tatlı, food, grilled, meat, salad, sweet</t>
  </si>
  <si>
    <t>www.istanbulmorini.com</t>
  </si>
  <si>
    <t>MORINI.png</t>
  </si>
  <si>
    <t>ID028</t>
  </si>
  <si>
    <t>Fauchon Paris</t>
  </si>
  <si>
    <t>+905439274699</t>
  </si>
  <si>
    <t>faşon, paris, yemek, kokteyl, pastane, bar, çay, makaron, çikolata, food, cocktail, patisserie, brasserie, bar, tea, macaron, chocolate</t>
  </si>
  <si>
    <t>www.fauchon.com</t>
  </si>
  <si>
    <t>FAUCHON.png</t>
  </si>
  <si>
    <t>ID030</t>
  </si>
  <si>
    <t>Pomellato</t>
  </si>
  <si>
    <t>+905453445510</t>
  </si>
  <si>
    <t>aksesuar, takı, yüzük, kolye, bileklik, accessory, jewelry, ring, necklace, bangle</t>
  </si>
  <si>
    <t>www.pomellato.com</t>
  </si>
  <si>
    <t>POMELLATO.png</t>
  </si>
  <si>
    <t>ID031</t>
  </si>
  <si>
    <t>Moncler</t>
  </si>
  <si>
    <t>+902123536996</t>
  </si>
  <si>
    <t>erkek, kadın, mont, palto, kaban, man, woman, coat, overcoat, coat, monkler</t>
  </si>
  <si>
    <t>www.eng.moncler.com</t>
  </si>
  <si>
    <t>MONCLER.png</t>
  </si>
  <si>
    <t>ID032</t>
  </si>
  <si>
    <t>Tiffany &amp; Co.</t>
  </si>
  <si>
    <t>+902123536260</t>
  </si>
  <si>
    <t>mücevher, pırlanta, yüzük, bileklik, kolye, jewel, diamond, ring, bracelet, necklace, tifani end ko</t>
  </si>
  <si>
    <t>www.tiffany.com</t>
  </si>
  <si>
    <t>TIFFANY&amp;CO.png</t>
  </si>
  <si>
    <t>ID033</t>
  </si>
  <si>
    <t>Haremlique Istanbul</t>
  </si>
  <si>
    <t>+902122363843</t>
  </si>
  <si>
    <t>yatak örtüsü, havlu, tabak, fincan, kılıf, bedclothes, towels, plates, cup, sheath, haremlik</t>
  </si>
  <si>
    <t>www.haremlique.com</t>
  </si>
  <si>
    <t>HAREMLIQUEISTANBUL.png</t>
  </si>
  <si>
    <t>ID034</t>
  </si>
  <si>
    <t>Sevan Bıçakçı</t>
  </si>
  <si>
    <t>+902123536699</t>
  </si>
  <si>
    <t>takı, aksesuar, yüzük, broş, kolye, jewelry, accessory, ring, brooch, necklace</t>
  </si>
  <si>
    <t>www.sevanbicakci.com</t>
  </si>
  <si>
    <t>SEVANBIÇAKÇI.png</t>
  </si>
  <si>
    <t>ID035</t>
  </si>
  <si>
    <t>Valeron</t>
  </si>
  <si>
    <t>+902123536296</t>
  </si>
  <si>
    <t>nevresim, perde, örtü, tekstil, kılıf, duvet, curtain, drape, textile, sheath</t>
  </si>
  <si>
    <t>www.valeron.com.tr</t>
  </si>
  <si>
    <t>VALERON.png</t>
  </si>
  <si>
    <t>ID036</t>
  </si>
  <si>
    <t>Rotap</t>
  </si>
  <si>
    <t>+902123536525</t>
  </si>
  <si>
    <t>saat, kalem, aksesuar, deri, bileklik, watch, pen, accessory, leather, wristband</t>
  </si>
  <si>
    <t>www.rotapsaat.com.tr</t>
  </si>
  <si>
    <t>ROTAP.png</t>
  </si>
  <si>
    <t>ID037</t>
  </si>
  <si>
    <t>Sırmaison</t>
  </si>
  <si>
    <t>+902123536414</t>
  </si>
  <si>
    <t>çatal, bıçak, bardak, aksesuar, sofra, cutlery, knife, cup, accessory, tableware</t>
  </si>
  <si>
    <t>www.sirmaison.com</t>
  </si>
  <si>
    <t>SIRMAISON.png</t>
  </si>
  <si>
    <t>ID038</t>
  </si>
  <si>
    <t>Kafkas</t>
  </si>
  <si>
    <t>+902123536350</t>
  </si>
  <si>
    <t>mücevher, aksesuar, yüzük, bileklik, kolye, jewelery, accessory, ring, bracelet, necklace</t>
  </si>
  <si>
    <t>www.kafkasjewellery.com</t>
  </si>
  <si>
    <t>KAFKAS.png</t>
  </si>
  <si>
    <t>ID039</t>
  </si>
  <si>
    <t>Greenwich</t>
  </si>
  <si>
    <t>+902123536347</t>
  </si>
  <si>
    <t>saat, kordon, tamir, pil, kadran, watch, cord, repair, battery, dial, gırinviç</t>
  </si>
  <si>
    <t>www.greenwich.com.tr</t>
  </si>
  <si>
    <t>GREENWICH.png</t>
  </si>
  <si>
    <t>ID039A</t>
  </si>
  <si>
    <t>IWC Schaffhausen</t>
  </si>
  <si>
    <t>https://inmapper.com/zorlucenter/img/logo/IWCSCHAFFHAUSEN.png</t>
  </si>
  <si>
    <t>Panerai</t>
  </si>
  <si>
    <t>https://inmapper.com/zorlucenter/img/logo/PANERAI.png</t>
  </si>
  <si>
    <t>ID039B</t>
  </si>
  <si>
    <t>Franck Muller</t>
  </si>
  <si>
    <t>saat, kordon, tamir, pil, kadran, watch, cord, repair, battery, dial, fırenk muller</t>
  </si>
  <si>
    <t>www.franckmuller.com</t>
  </si>
  <si>
    <t>FRANCKMULLER.png</t>
  </si>
  <si>
    <t>ID039C</t>
  </si>
  <si>
    <t>Le Baron</t>
  </si>
  <si>
    <t>+902123536661</t>
  </si>
  <si>
    <t>food, yemek</t>
  </si>
  <si>
    <t>LEBARON.png</t>
  </si>
  <si>
    <t>ID040</t>
  </si>
  <si>
    <t>Mer's</t>
  </si>
  <si>
    <t>+902123536409</t>
  </si>
  <si>
    <t>gümüş, aksesuar, takı, kolye, küpe, silver, accessory, jewelry, necklace, earring</t>
  </si>
  <si>
    <t>www.mers.com.tr</t>
  </si>
  <si>
    <t>MER'S.png</t>
  </si>
  <si>
    <t>ID041</t>
  </si>
  <si>
    <t>Urart</t>
  </si>
  <si>
    <t>+902123536603</t>
  </si>
  <si>
    <t>www.urart.com.tr</t>
  </si>
  <si>
    <t>URART.png</t>
  </si>
  <si>
    <t>ID042</t>
  </si>
  <si>
    <t>Anlı Jewelry</t>
  </si>
  <si>
    <t>+902125270103</t>
  </si>
  <si>
    <t>aksesuar, takı, yüzük, kolye, bileklik, accessory, jewelry, ring, necklace, bangle, jewellery, atilla, karat, atilla karat</t>
  </si>
  <si>
    <t>www.atillakarat.com</t>
  </si>
  <si>
    <t>ANLIJEWELRY.png</t>
  </si>
  <si>
    <t>ID043</t>
  </si>
  <si>
    <t>Bee Goddess</t>
  </si>
  <si>
    <t>+902123456496</t>
  </si>
  <si>
    <t>www.beegoddess.com</t>
  </si>
  <si>
    <t>https://inmapper.com/zorlucenter/img/logo/BEEGODDESS.png</t>
  </si>
  <si>
    <t>ID044</t>
  </si>
  <si>
    <t>MontBlanc</t>
  </si>
  <si>
    <t>+902123536474</t>
  </si>
  <si>
    <t>kalem, çanta, saat, aksesuar, deri, pen, bag, watch, accessory, leather</t>
  </si>
  <si>
    <t>www.montblanc.com</t>
  </si>
  <si>
    <t>MONTBLANC.png</t>
  </si>
  <si>
    <t>ID045</t>
  </si>
  <si>
    <t>Kwanpen</t>
  </si>
  <si>
    <t>+902123536354</t>
  </si>
  <si>
    <t>timsah, deri, çanta, cüzdan, ayakkabı, alligator, leather, handbag, wallet, shoes, kıvanpen</t>
  </si>
  <si>
    <t>www.kwanpen.com</t>
  </si>
  <si>
    <t>KWANPEN.png</t>
  </si>
  <si>
    <t>ID046</t>
  </si>
  <si>
    <t>Atilla Karat</t>
  </si>
  <si>
    <t>+902123536853</t>
  </si>
  <si>
    <t>ATİLLAKARAT.png</t>
  </si>
  <si>
    <t>ID047</t>
  </si>
  <si>
    <t>Sponza</t>
  </si>
  <si>
    <t>+902123536510</t>
  </si>
  <si>
    <t>aksesuar, takı, yüzük, kolye, küpe, accessory, jewelry, ring, necklace, earring, sıponza</t>
  </si>
  <si>
    <t>www.sponza.com</t>
  </si>
  <si>
    <t>SPONZA.png</t>
  </si>
  <si>
    <t>ID048</t>
  </si>
  <si>
    <t>Bvlgari</t>
  </si>
  <si>
    <t>+902129999830</t>
  </si>
  <si>
    <t>italyan, saat, takı, çanta, kolye, italian, watch, jewelry, bag, necklace, bulgari</t>
  </si>
  <si>
    <t>www.bulgari.com</t>
  </si>
  <si>
    <t>BVLGARI.png</t>
  </si>
  <si>
    <t>ID049</t>
  </si>
  <si>
    <t>Louis Vuitton</t>
  </si>
  <si>
    <t>+902123553950</t>
  </si>
  <si>
    <t>çanta, deri, erkek, kadın, giyim, bag, leather, men, women, clothing, lui viton</t>
  </si>
  <si>
    <t>www.louisvuittion.com</t>
  </si>
  <si>
    <t>LOUISVUITTON.png</t>
  </si>
  <si>
    <t>ID050</t>
  </si>
  <si>
    <t>Fendi</t>
  </si>
  <si>
    <t>+902129999810</t>
  </si>
  <si>
    <t>erkek, kadın, ayakkabı, çanta, mücevher, men, women, shoes, bag, jewel</t>
  </si>
  <si>
    <t>www.fendi.com</t>
  </si>
  <si>
    <t>FENDI.png</t>
  </si>
  <si>
    <t>ID051</t>
  </si>
  <si>
    <t>Dior</t>
  </si>
  <si>
    <t>+902123536195</t>
  </si>
  <si>
    <t>erkek, kadın, parfüm, mücevher, makyaj, man, woman, perfume, jewel, makeup</t>
  </si>
  <si>
    <t>www.dior.com</t>
  </si>
  <si>
    <t>DIOR.png</t>
  </si>
  <si>
    <t>ID052</t>
  </si>
  <si>
    <t>Parle</t>
  </si>
  <si>
    <t>+902123536343</t>
  </si>
  <si>
    <t>makarna, balık, et, salata, tatlı, pasta, fish, meat, salad, sweet</t>
  </si>
  <si>
    <t>www.d-ream.com.tr</t>
  </si>
  <si>
    <t>PARLE.png</t>
  </si>
  <si>
    <t>ID053</t>
  </si>
  <si>
    <t>Inside Flowers</t>
  </si>
  <si>
    <t>+902122342991</t>
  </si>
  <si>
    <t>çiçek, buket, çelenk, çikolata, hediye, flower, bouquet, wreath, chocolate, gift, insayd fılovırs</t>
  </si>
  <si>
    <t>www.inside.com.tr</t>
  </si>
  <si>
    <t>INSIDEFLOWERS.png</t>
  </si>
  <si>
    <t>ID054</t>
  </si>
  <si>
    <t>Five O'Clock</t>
  </si>
  <si>
    <t>+902123536900</t>
  </si>
  <si>
    <t>pasta, tatlı, çikolata, makaron, içecek, cake, dessert, chocolate, macaron, drink</t>
  </si>
  <si>
    <t>www.fiveoclock.com</t>
  </si>
  <si>
    <t>FIVEO'CLOCK.png</t>
  </si>
  <si>
    <t>ID055</t>
  </si>
  <si>
    <t>Gucci</t>
  </si>
  <si>
    <t>+902123536533</t>
  </si>
  <si>
    <t>www.gucci.com</t>
  </si>
  <si>
    <t>GUCCI.png</t>
  </si>
  <si>
    <t>ID056</t>
  </si>
  <si>
    <t>Jo Malone</t>
  </si>
  <si>
    <t>+902123536906</t>
  </si>
  <si>
    <t>bakım, kolonya, koku, vücut, el, care, cologne, fragrance, body, hand</t>
  </si>
  <si>
    <t>www.jomalone.com</t>
  </si>
  <si>
    <t>JOMALONE.png</t>
  </si>
  <si>
    <t>ID057</t>
  </si>
  <si>
    <t>Balmain</t>
  </si>
  <si>
    <t>+902129993949</t>
  </si>
  <si>
    <t>erkek, kadın, giyim, ayakkabı, çanta, men, women, clothing, shoes, bag</t>
  </si>
  <si>
    <t>www.balmain.com</t>
  </si>
  <si>
    <t>BALMAIN.png</t>
  </si>
  <si>
    <t>ID058</t>
  </si>
  <si>
    <t>Miu Miu</t>
  </si>
  <si>
    <t>+902123536028</t>
  </si>
  <si>
    <t>çanta, ayakkabı, aksesuar, gözlük, giyim, bags, shoes, accessories, glasses, clothing</t>
  </si>
  <si>
    <t>www.miumiu.com</t>
  </si>
  <si>
    <t>MIUMIU.png</t>
  </si>
  <si>
    <t>ID059</t>
  </si>
  <si>
    <t>Godiva</t>
  </si>
  <si>
    <t>+902125224435</t>
  </si>
  <si>
    <t>çikolata, tatlı, ülker, hedite, trüf, chocolate, sweet, turkish, gift, truffle</t>
  </si>
  <si>
    <t>www.godivatr.com</t>
  </si>
  <si>
    <t>GODIVA.png</t>
  </si>
  <si>
    <t>ID060</t>
  </si>
  <si>
    <t>{“id”:”floorsquare”}</t>
  </si>
  <si>
    <t>ID061</t>
  </si>
  <si>
    <t>Raffles Istanbul</t>
  </si>
  <si>
    <t>+902129240200</t>
  </si>
  <si>
    <t>otel, yatak, kahvaltı, konaklama, oda, hotel, bed, breakfast, accommodation, room, rafıls istanbul</t>
  </si>
  <si>
    <t>ID061R1</t>
  </si>
  <si>
    <t>Adamo</t>
  </si>
  <si>
    <t>+905331573828</t>
  </si>
  <si>
    <t>kürk, deri, ceket, palto, mont, fur, leather, jacket, overcoat, coats</t>
  </si>
  <si>
    <t>Isokyo</t>
  </si>
  <si>
    <t>+902129240244</t>
  </si>
  <si>
    <t>pan, asya, salata, çorba, sebze, pan, asian, salad, soup, vegetables</t>
  </si>
  <si>
    <t>Lavinia</t>
  </si>
  <si>
    <t>çay, tatlı, içki, şampanya, tatlı, tea, sweet, drink, champagne, sweet</t>
  </si>
  <si>
    <t>Long Bar</t>
  </si>
  <si>
    <t>alkol, şampanya, içki, kokteyl, şarap, alcohol, champagne, drink, cocktail, wine</t>
  </si>
  <si>
    <t>Lounge 6</t>
  </si>
  <si>
    <t>alkol, şampanya, içki, kokteyl, şarap, alcohol, champagne, drink, cocktail, wine, launc siks</t>
  </si>
  <si>
    <t>Raffles Spa</t>
  </si>
  <si>
    <t>+902129240320</t>
  </si>
  <si>
    <t>masaj, duş, bakım, güzellik, rahatlama, massage, shower, care, beauty, relaxation, rafıls sıpa</t>
  </si>
  <si>
    <t>Sabit Akkaya Hair Stylist</t>
  </si>
  <si>
    <t>+902123536878</t>
  </si>
  <si>
    <t>kuaför, saç, bakım, boya, kesim, hairdresser, hair, care, paint, cut</t>
  </si>
  <si>
    <t>ID061R2</t>
  </si>
  <si>
    <t>Sakhalin İstanbul</t>
  </si>
  <si>
    <t>+905308118888</t>
  </si>
  <si>
    <t>akdeniz, asya, suşi, mediterranean, asia, sushi</t>
  </si>
  <si>
    <t>www.sakhalin.rest/istanbul/tr</t>
  </si>
  <si>
    <t>SAKHALINISTANBUL.png</t>
  </si>
  <si>
    <t>ID062</t>
  </si>
  <si>
    <t>Concierge</t>
  </si>
  <si>
    <t>danışma, pusetli, engelli, hizmet, easy point, consultation, pushchair, disabled, service, easy point, konsiyerj</t>
  </si>
  <si>
    <t>Easy Point</t>
  </si>
  <si>
    <t>www.easypoint.com.tr</t>
  </si>
  <si>
    <t>EASYPOINT.png</t>
  </si>
  <si>
    <t>ID063</t>
  </si>
  <si>
    <t>Nespresso</t>
  </si>
  <si>
    <t>+904442021</t>
  </si>
  <si>
    <t>kahve, çekirdek, espresso, lungo, kapsül, coffee, bean, espresso, lungo, capsule</t>
  </si>
  <si>
    <t>www.buynespresso.com</t>
  </si>
  <si>
    <t>NESPRESSO.png</t>
  </si>
  <si>
    <t>ID064</t>
  </si>
  <si>
    <t>Melez Tea</t>
  </si>
  <si>
    <t>+902122292969</t>
  </si>
  <si>
    <t>çay, tea</t>
  </si>
  <si>
    <t>market</t>
  </si>
  <si>
    <t>www.meleztea.com</t>
  </si>
  <si>
    <t>MELEZTEA.png</t>
  </si>
  <si>
    <t>Market</t>
  </si>
  <si>
    <t>ID066</t>
  </si>
  <si>
    <t>Lillo</t>
  </si>
  <si>
    <t>+905016054556</t>
  </si>
  <si>
    <t>dondurma, ice cream, icecream</t>
  </si>
  <si>
    <t>www.lillo.com.tr</t>
  </si>
  <si>
    <t>LILLO.png</t>
  </si>
  <si>
    <t>ID067</t>
  </si>
  <si>
    <t>Park Alanı</t>
  </si>
  <si>
    <t>oyun, alan, çocuk, bebek, park, play, field, child, baby, park</t>
  </si>
  <si>
    <t>ID068</t>
  </si>
  <si>
    <t>Zorlu Center Açık Hava</t>
  </si>
  <si>
    <t>etkinlik, gösteri, tiyatro, konser, ücretsiz, activity, show, theater, concert, free</t>
  </si>
  <si>
    <t>ID069</t>
  </si>
  <si>
    <t>Arifoğlu</t>
  </si>
  <si>
    <t>+902123536942</t>
  </si>
  <si>
    <t>kuruyemiş, sağlık, bakliyat, baharat, bitki, nuts, health, legumes, spice, plant</t>
  </si>
  <si>
    <t>www.arifoglu.com</t>
  </si>
  <si>
    <t>ARİFOĞLU.png</t>
  </si>
  <si>
    <t>ID071</t>
  </si>
  <si>
    <t>ID072</t>
  </si>
  <si>
    <t>Chopard</t>
  </si>
  <si>
    <t>saat, watch</t>
  </si>
  <si>
    <t>www.chopard.com</t>
  </si>
  <si>
    <t>CHOPARD.png</t>
  </si>
  <si>
    <t>ID073</t>
  </si>
  <si>
    <t>Bottega Veneta</t>
  </si>
  <si>
    <t>moda, çanta, ayakkabı, aksesuar, fashion, bag, shoe, accessorie, deri, leather</t>
  </si>
  <si>
    <t>www.bottegaveneta.com</t>
  </si>
  <si>
    <t>BOTTEGAVENETA.png</t>
  </si>
  <si>
    <t>ID074</t>
  </si>
  <si>
    <t>Chanel</t>
  </si>
  <si>
    <t>+902128061818</t>
  </si>
  <si>
    <t>www.chanel.com</t>
  </si>
  <si>
    <t>CHANEL.png</t>
  </si>
  <si>
    <t>ID075</t>
  </si>
  <si>
    <t>Loro Piana</t>
  </si>
  <si>
    <t>+902123536743</t>
  </si>
  <si>
    <t>us.loropiana.com/en</t>
  </si>
  <si>
    <t>LOROPIANA.png</t>
  </si>
  <si>
    <t>ID076</t>
  </si>
  <si>
    <t>Les Benjamins</t>
  </si>
  <si>
    <t>+902123536875</t>
  </si>
  <si>
    <t>www.lesbenjamins.com</t>
  </si>
  <si>
    <t>LESBENJAMINS.png</t>
  </si>
  <si>
    <t>ID077</t>
  </si>
  <si>
    <t>Togg</t>
  </si>
  <si>
    <t>{\"id\":\"experiencecenter\"}</t>
  </si>
  <si>
    <t>+905373180423</t>
  </si>
  <si>
    <t>araba, elektrik, suv, experience center, türkiyenin otomobili</t>
  </si>
  <si>
    <t>www.togg.com.tr</t>
  </si>
  <si>
    <t>TOGG.png</t>
  </si>
  <si>
    <t>ID079</t>
  </si>
  <si>
    <t>Bardot</t>
  </si>
  <si>
    <t>+902129310700</t>
  </si>
  <si>
    <t>beymen, michelin, food, yemek, restaurant</t>
  </si>
  <si>
    <t>BARDOT.png</t>
  </si>
  <si>
    <t>info001</t>
  </si>
  <si>
    <t>lobyy001</t>
  </si>
  <si>
    <t>36 COE Teknoloji</t>
  </si>
  <si>
    <t>TA Lobi</t>
  </si>
  <si>
    <t>Ofis - Abdullah Kiğılı</t>
  </si>
  <si>
    <t>Assessment Systems</t>
  </si>
  <si>
    <t>Avic International Corporation</t>
  </si>
  <si>
    <t>Çağdaş Kışlaoğlu (Estetik Diş Hekimi)</t>
  </si>
  <si>
    <t>Çamlıca Petrol Ltd. Şti.</t>
  </si>
  <si>
    <t>Centerdent</t>
  </si>
  <si>
    <t>Dr. Erdem Güven</t>
  </si>
  <si>
    <t>FMG and Generation</t>
  </si>
  <si>
    <t>Green and Black Marine Logistics</t>
  </si>
  <si>
    <t>İnterra Kapital</t>
  </si>
  <si>
    <t>Karanfil Construction</t>
  </si>
  <si>
    <t>KBR Doğalgaz A.Ş.</t>
  </si>
  <si>
    <t>Kocaer A.Ş.</t>
  </si>
  <si>
    <t>LMC Petrokimya Yatırım A.Ş.</t>
  </si>
  <si>
    <t>Maslak Holding</t>
  </si>
  <si>
    <t>Mayhoola</t>
  </si>
  <si>
    <t>MyKlinik.</t>
  </si>
  <si>
    <t>New İstanbul Clinic</t>
  </si>
  <si>
    <t>Opr. Dr. Mirza Fırat</t>
  </si>
  <si>
    <t>Opr. Dr. Ümran İleri Estetik Plastik Cerrahi</t>
  </si>
  <si>
    <t>Özbilen Avukatlık Bürosu</t>
  </si>
  <si>
    <t>Özde Güven İnşaat</t>
  </si>
  <si>
    <t>PBA İç ve Dış Tic.</t>
  </si>
  <si>
    <t>Prof. Dr. Aylin Bilgin Karabulut</t>
  </si>
  <si>
    <t>Prof. Dr. Saadettin Eskiçorapçı</t>
  </si>
  <si>
    <t>Prof. Dr. Serdar Yalçın</t>
  </si>
  <si>
    <t>Qala Group</t>
  </si>
  <si>
    <t>Resne Gayrimenkul A.Ş.</t>
  </si>
  <si>
    <t>RIF Trust Turkey</t>
  </si>
  <si>
    <t>Rison Ltd. Şti.</t>
  </si>
  <si>
    <t>Sems Kalıcı Makyaj Eğitim Merkezi</t>
  </si>
  <si>
    <t>Ş.A. Yeminli Mali Müşavirlik</t>
  </si>
  <si>
    <t>Tarman Group</t>
  </si>
  <si>
    <t>The Bo Viera / Besa Grup</t>
  </si>
  <si>
    <t>Versatie Gayrimenkul</t>
  </si>
  <si>
    <t>Zeta Investment</t>
  </si>
  <si>
    <t>Zuuks Bilişim</t>
  </si>
  <si>
    <t>lobyy002</t>
  </si>
  <si>
    <t>Ali Duman Clinic</t>
  </si>
  <si>
    <t>TB Lobi</t>
  </si>
  <si>
    <t>Arkas Lojistik A.Ş.</t>
  </si>
  <si>
    <t>Ayaydın Mağazacılık A.Ş.</t>
  </si>
  <si>
    <t>Damac</t>
  </si>
  <si>
    <t>Doka İplik</t>
  </si>
  <si>
    <t>Dr. Murat Berksoy</t>
  </si>
  <si>
    <t>Dr. Seyfi Akbay</t>
  </si>
  <si>
    <t>Es Denizcilik</t>
  </si>
  <si>
    <t>Geneis Sağlık Hizmetleri</t>
  </si>
  <si>
    <t>IRB Sigorta</t>
  </si>
  <si>
    <t>Maktel Inşaat / Faruk Yalçın Hayvan. Bah.</t>
  </si>
  <si>
    <t>Mikropor</t>
  </si>
  <si>
    <t>NGA İnşaat A.Ş.</t>
  </si>
  <si>
    <t>Prof. Dr. Yunus Aydin</t>
  </si>
  <si>
    <t>SOZJET Havacılık A.Ş.</t>
  </si>
  <si>
    <t>Tricon</t>
  </si>
  <si>
    <t>Turkuaz Turizm Yatırım ve Tic. A.Ş.</t>
  </si>
  <si>
    <t>Words &amp; Papers Int. Law Bureau</t>
  </si>
  <si>
    <t>lobyy003</t>
  </si>
  <si>
    <t>Atlantic Dental Clinic</t>
  </si>
  <si>
    <t>Ofis AVM Lobi</t>
  </si>
  <si>
    <t>CW Enerji</t>
  </si>
  <si>
    <t>Karanfil-Babil Grup</t>
  </si>
  <si>
    <t>Kibar Holding</t>
  </si>
  <si>
    <t>Limak Holding</t>
  </si>
  <si>
    <t>Medbulk Denizcilik</t>
  </si>
  <si>
    <t>Oltan ve Köleoğlu Enerji</t>
  </si>
  <si>
    <t>Peak</t>
  </si>
  <si>
    <t>Posco Assan TST Çelik San. A.Ş.</t>
  </si>
  <si>
    <t>Toren A.Ş.</t>
  </si>
  <si>
    <t>taxi001</t>
  </si>
  <si>
    <t>valet001</t>
  </si>
  <si>
    <t>Bob {“id”:”valet”} (Ulus/Raffles)</t>
  </si>
  <si>
    <t>wc001</t>
  </si>
  <si>
    <t>wc002</t>
  </si>
  <si>
    <t>wc003</t>
  </si>
  <si>
    <t>wc004</t>
  </si>
  <si>
    <t>ID101</t>
  </si>
  <si>
    <t>Linens</t>
  </si>
  <si>
    <t>+902123536312</t>
  </si>
  <si>
    <t>perde, nevresim, örtü, kılıf, kumaş, curtain, duvet, cover, cover, fabric</t>
  </si>
  <si>
    <t>www.linens.com.tr</t>
  </si>
  <si>
    <t>LINENS.png</t>
  </si>
  <si>
    <t>ID102</t>
  </si>
  <si>
    <t>Macrocenter</t>
  </si>
  <si>
    <t>+908506775194</t>
  </si>
  <si>
    <t>market, manav, meyve, sebze, bakliyat, market, grocery, fruits, vegetables, legumes, makrosentır</t>
  </si>
  <si>
    <t>www.macrocenter.com.tr</t>
  </si>
  <si>
    <t>MACROCENTER.png</t>
  </si>
  <si>
    <t>ID103</t>
  </si>
  <si>
    <t>Vestel</t>
  </si>
  <si>
    <t>+902123323031</t>
  </si>
  <si>
    <t>televizyon, beyaz eşya, tv, bulaşık, çamaşır, television, appliances, tv, dishwasher, washing</t>
  </si>
  <si>
    <t>www.vestel.com.tr</t>
  </si>
  <si>
    <t>VESTEL.png</t>
  </si>
  <si>
    <t>ID104</t>
  </si>
  <si>
    <t>Toyzz Shop</t>
  </si>
  <si>
    <t>+902123536955</t>
  </si>
  <si>
    <t>oyuncak, çocuk, bebek, hobi, hediye, toy, child, baby, hobby, gift, toyzşop</t>
  </si>
  <si>
    <t>www.toyzzshop.com</t>
  </si>
  <si>
    <t>TOYZZSHOP.png</t>
  </si>
  <si>
    <t>ID105</t>
  </si>
  <si>
    <t>Paşabahçe Mağazaları</t>
  </si>
  <si>
    <t>+908502062250</t>
  </si>
  <si>
    <t>cam, bardak, fincan, tabak, aksesuar, glass, cup, cup, plate, accessory</t>
  </si>
  <si>
    <t>www.pasabahcemagazalari.com</t>
  </si>
  <si>
    <t>PAŞABAHÇEMAĞAZALARI.png</t>
  </si>
  <si>
    <t>ID106</t>
  </si>
  <si>
    <t>Miele</t>
  </si>
  <si>
    <t>+905309152550</t>
  </si>
  <si>
    <t>beyaz eşya, ankastre, çamaşır, bulaşık, buzdolabı, white appliances, appliances, dishwasher, refrigerator, mile</t>
  </si>
  <si>
    <t>www.miele.com.tr</t>
  </si>
  <si>
    <t>MIELE.png</t>
  </si>
  <si>
    <t>ID107</t>
  </si>
  <si>
    <t>Akbank</t>
  </si>
  <si>
    <t>({“id”:”branch”})</t>
  </si>
  <si>
    <t>+902123366100</t>
  </si>
  <si>
    <t>para, çekme, yatırma, nakit, kart, money, withdrawal, cash, card</t>
  </si>
  <si>
    <t>www.akbank.com</t>
  </si>
  <si>
    <t>AKBANK.png</t>
  </si>
  <si>
    <t>ID108</t>
  </si>
  <si>
    <t>English Home</t>
  </si>
  <si>
    <t>+902129873993</t>
  </si>
  <si>
    <t>nevresim, havlu, bebek, aksesuar, hediye, duvet, towel, doll, accessory, gift, ingliş hom</t>
  </si>
  <si>
    <t>www.englishhome.com.tr</t>
  </si>
  <si>
    <t>ENGLISHHOME.png</t>
  </si>
  <si>
    <t>ID109</t>
  </si>
  <si>
    <t>D&amp;R</t>
  </si>
  <si>
    <t>+902123536505</t>
  </si>
  <si>
    <t>kitap, dergi, kırtasiye, oyuncak, çanta, book, magazine, stationery, toy, bag, di en ar, dnr</t>
  </si>
  <si>
    <t>www.dr.com.tr</t>
  </si>
  <si>
    <t>D&amp;R.png</t>
  </si>
  <si>
    <t>ID110</t>
  </si>
  <si>
    <t>Any</t>
  </si>
  <si>
    <t>+902126020269</t>
  </si>
  <si>
    <t>mutfak, robot, kesme, sebze, alet, kitchen, robot, cutting, vegetable, tool, kitchenaid, eni</t>
  </si>
  <si>
    <t>www.anyhome.com.tr</t>
  </si>
  <si>
    <t>ANY.png</t>
  </si>
  <si>
    <t>ID111</t>
  </si>
  <si>
    <t>Kronotrop</t>
  </si>
  <si>
    <t>+902129703718</t>
  </si>
  <si>
    <t>kahve, çay, pasta, kek, tatlı, coffee, tea, cake, muffin, dessert</t>
  </si>
  <si>
    <t>www.kronotrop.com.tr</t>
  </si>
  <si>
    <t>KRONOTROP.png</t>
  </si>
  <si>
    <t>ID112</t>
  </si>
  <si>
    <t>Harman Kardon</t>
  </si>
  <si>
    <t>+902129796685</t>
  </si>
  <si>
    <t>teknoloji, hoparlör, ses sistemi, müzik, kulaklık, technology, speaker, sound system, music, headphone, harman lakşıri audyo</t>
  </si>
  <si>
    <t>www.aztekstore.com.tr</t>
  </si>
  <si>
    <t>HARMANKARDON.png</t>
  </si>
  <si>
    <t>ID114</t>
  </si>
  <si>
    <t>Eataly</t>
  </si>
  <si>
    <t xml:space="preserve">+902123366600 </t>
  </si>
  <si>
    <t>salata, makarna, pizza, şarap, italyan, salad, pasta, pizza, wine, italian, itali</t>
  </si>
  <si>
    <t>restaurant_cafe, market</t>
  </si>
  <si>
    <t>www.eataly.com.tr</t>
  </si>
  <si>
    <t>EATALY.png</t>
  </si>
  <si>
    <t>Restoran &amp; Cafe, Market</t>
  </si>
  <si>
    <t>ID114A</t>
  </si>
  <si>
    <t>Terazza Italia</t>
  </si>
  <si>
    <t>+905317330902</t>
  </si>
  <si>
    <t>www.eataly.com.tr/tr/terrazza-italia</t>
  </si>
  <si>
    <t>TERRAZZAITALIA.png</t>
  </si>
  <si>
    <t>ID114B</t>
  </si>
  <si>
    <t>Enplus</t>
  </si>
  <si>
    <t>enplas</t>
  </si>
  <si>
    <t>www.enplus.com.tr</t>
  </si>
  <si>
    <t>ENPLUS.png</t>
  </si>
  <si>
    <t>ID114C</t>
  </si>
  <si>
    <t>Coni &amp; Co</t>
  </si>
  <si>
    <t>+905496128987</t>
  </si>
  <si>
    <t>tavuk, chicken</t>
  </si>
  <si>
    <t>CONICO.png</t>
  </si>
  <si>
    <t>ID115</t>
  </si>
  <si>
    <t>Funloft</t>
  </si>
  <si>
    <t>+908505324386</t>
  </si>
  <si>
    <t>oyun, eğlence, çocuk, bowling, laser tag, game, entertainment, child, bowling, laser tag, fanloft</t>
  </si>
  <si>
    <t>culture_entertainment, kids</t>
  </si>
  <si>
    <t>www.funloft.com.tr</t>
  </si>
  <si>
    <t>FUNLOFT.png</t>
  </si>
  <si>
    <t>Kültür &amp; Eğlence, Çocuk</t>
  </si>
  <si>
    <t>ID117</t>
  </si>
  <si>
    <t>HandeHaluk Kuaför</t>
  </si>
  <si>
    <t>+905321111146</t>
  </si>
  <si>
    <t>kuaför, bakım, saç, boya, makyaj, hairdresser, care, hair, paint, makeup</t>
  </si>
  <si>
    <t>www.handehaluk.com</t>
  </si>
  <si>
    <t>HANDEHALUKKUAFÖR.png</t>
  </si>
  <si>
    <t>ID118</t>
  </si>
  <si>
    <t>Dorya Home</t>
  </si>
  <si>
    <t>+902122588570</t>
  </si>
  <si>
    <t>mobilya, koltuk, masa, berjer, kanepe, furniture, armchair, table, berjer, sofa</t>
  </si>
  <si>
    <t>www.dorya.com.tr</t>
  </si>
  <si>
    <t>DORYAHOME.png</t>
  </si>
  <si>
    <t>ID119A</t>
  </si>
  <si>
    <t>Gilan</t>
  </si>
  <si>
    <t>+902122820576</t>
  </si>
  <si>
    <t>mücevher, takı, aksesuar, jewel, jewelry, accessory</t>
  </si>
  <si>
    <t>www.gilan.com</t>
  </si>
  <si>
    <t>GİLAN.png</t>
  </si>
  <si>
    <t>ID119B</t>
  </si>
  <si>
    <t>Taji</t>
  </si>
  <si>
    <t>gentlemen, erkek, man, men</t>
  </si>
  <si>
    <t>www.taji.com.tr</t>
  </si>
  <si>
    <t>TAJI.png</t>
  </si>
  <si>
    <t>ID119C</t>
  </si>
  <si>
    <t>Kısmet by Milka</t>
  </si>
  <si>
    <t>+902123536072</t>
  </si>
  <si>
    <t>www.kismetbymilka.com</t>
  </si>
  <si>
    <t>KISMETBYMILKA.png</t>
  </si>
  <si>
    <t>ID119D</t>
  </si>
  <si>
    <t>1290SQM</t>
  </si>
  <si>
    <t>+902122490121</t>
  </si>
  <si>
    <t>spor, giyim, ayakkabı, tshirt, eşofman, sport, clothing, shoes, tshirt, tracksuit, niv balans</t>
  </si>
  <si>
    <t>www.1290sqm.com</t>
  </si>
  <si>
    <t>1290SQM.png</t>
  </si>
  <si>
    <t>ID119E</t>
  </si>
  <si>
    <t>Zula</t>
  </si>
  <si>
    <t>+905300213340</t>
  </si>
  <si>
    <t>hamburger, sosisli, bacon, yemek, hamburger, hot dog, bacon, food</t>
  </si>
  <si>
    <t>ZULA.png</t>
  </si>
  <si>
    <t>ID120A</t>
  </si>
  <si>
    <t>JBL</t>
  </si>
  <si>
    <t>+908502550620</t>
  </si>
  <si>
    <t>www.jbl.com</t>
  </si>
  <si>
    <t>JBL.png</t>
  </si>
  <si>
    <t>ID121</t>
  </si>
  <si>
    <t>Vakko Home</t>
  </si>
  <si>
    <t>ev, mobilya, aksesuar, banyo, dekorasyon, home, furniture, accessory, bathroom, decoration</t>
  </si>
  <si>
    <t>VAKKOHOME.png</t>
  </si>
  <si>
    <t>ID121A</t>
  </si>
  <si>
    <t>Vakko L'Atelier</t>
  </si>
  <si>
    <t>+905494715909</t>
  </si>
  <si>
    <t>çikolata, patisserie, dondurma, bistrot, chocolate, ice cream</t>
  </si>
  <si>
    <t>www.vakkolatelier.com</t>
  </si>
  <si>
    <t>VAKKOLATELIER.png</t>
  </si>
  <si>
    <t>Vakko Wedding</t>
  </si>
  <si>
    <t>+902127083323</t>
  </si>
  <si>
    <t>gelinlik, bridal gown</t>
  </si>
  <si>
    <t>www.vakko.com/wedding</t>
  </si>
  <si>
    <t>ID122A</t>
  </si>
  <si>
    <t>Voi Coffee Company</t>
  </si>
  <si>
    <t>www.voi.com.tr</t>
  </si>
  <si>
    <t>VOICOFFEECOMPANY.png</t>
  </si>
  <si>
    <t>ID124</t>
  </si>
  <si>
    <t>MOC</t>
  </si>
  <si>
    <t>+902122344465</t>
  </si>
  <si>
    <t>kahve, çay, pasta, kek, tatlı, coffee, tea, cake, muffin, dessert, mok kafe rosteri</t>
  </si>
  <si>
    <t>www.moc.com.tr</t>
  </si>
  <si>
    <t>MOCCOFFEE ROASTERY.png</t>
  </si>
  <si>
    <t>ID125</t>
  </si>
  <si>
    <t>Zwilling</t>
  </si>
  <si>
    <t>+905495986116</t>
  </si>
  <si>
    <t>mutfak, sofra, pişirme, bıçak, culinary, tableware, cooking, knife</t>
  </si>
  <si>
    <t>www.zwilling.com/tr</t>
  </si>
  <si>
    <t>ZWILLING.png</t>
  </si>
  <si>
    <t>ID127</t>
  </si>
  <si>
    <t>Chakra</t>
  </si>
  <si>
    <t>+902123536190</t>
  </si>
  <si>
    <t>havlu, banyo, bornoz, spa, kese, towels, bath, bathrobe, spa, pouch, çakra</t>
  </si>
  <si>
    <t>www.chakra.com.tr</t>
  </si>
  <si>
    <t>CHAKRA.png</t>
  </si>
  <si>
    <t>ID128</t>
  </si>
  <si>
    <t>Zorlu Gayrimenkul</t>
  </si>
  <si>
    <t>yönetim, pazarlama, satış, müdür, ofis, management, marketing, sales, manager, office</t>
  </si>
  <si>
    <t>prayer101</t>
  </si>
  <si>
    <t>{“id”:”prayer”}</t>
  </si>
  <si>
    <t>dua, camii, oda, namaz, kıble, prayer, mosque, room, prayer, qibla</t>
  </si>
  <si>
    <t>wc101</t>
  </si>
  <si>
    <t>disabled101</t>
  </si>
  <si>
    <t>wc102</t>
  </si>
  <si>
    <t>Time</t>
  </si>
  <si>
    <t>Stage</t>
  </si>
  <si>
    <t>title_tr</t>
  </si>
  <si>
    <t>subtext_tr</t>
  </si>
  <si>
    <t>footnote_tr</t>
  </si>
  <si>
    <t>title_en</t>
  </si>
  <si>
    <t>subtext_en</t>
  </si>
  <si>
    <t>footnote_en</t>
  </si>
  <si>
    <t>icon</t>
  </si>
  <si>
    <t>img</t>
  </si>
  <si>
    <t>enabled</t>
  </si>
  <si>
    <t>start_date</t>
  </si>
  <si>
    <t>end_date</t>
  </si>
  <si>
    <t>status</t>
  </si>
  <si>
    <t>17.11.2022 09:00:00</t>
  </si>
  <si>
    <t>PROD</t>
  </si>
  <si>
    <t>ID116</t>
  </si>
  <si>
    <t>Memorial Wellness'de X-Scan ile Ücretsiz Vücut Analizi!</t>
  </si>
  <si>
    <t>Uygulamayı indirerek QR okutmak için aşağıdaki butonu tıklayınız!</t>
  </si>
  <si>
    <t>Kampanya dahilinde Memorial Wellness Zorlu'da X-Scan ile Ücretsiz Vücut Analizi yapılacaktır. 31 Ağustos 2023 tarihine kadar geçerlidir. Zorlu World üyelerinin kampanyadan yararlanması için Zorlu World uygulamasından Memorial Wellness mağazasındaki QR kodu okutması gerekmektedir.  
Zorlu World ve Memorial Wellness kampanyada değişiklik yapma hakkını saklı tutar.
Zorlu World, Zorlu Yapı Yatırım A.Ş. Müşteri Ödül Programı’dır.</t>
  </si>
  <si>
    <t>Free Body Analysis with X-Scan at Memorial Wellness!</t>
  </si>
  <si>
    <t>The app can be downloaded via button below in order to scan the QR code!</t>
  </si>
  <si>
    <t>In the scope of the campaign, body analysis with X-Scan can be benefit as free of charge at Memorial Wellness Zorlu until 31 May 2023. Zorlu World members are required to open the QR reading from the Zorlu World application and scan the QR code next to the cash register at Memorial Wellness in order to benefit from the campaign.
Zorlu World and Memorial Wellness reserve the right to change the campaign.
Zorlu World, Zorlu Yapı Yatırım A.Ş. Customer Reward Program.</t>
  </si>
  <si>
    <t>img/zw/icon/offer.png</t>
  </si>
  <si>
    <t>Memorial-Wellnessb-750x600.jpg</t>
  </si>
  <si>
    <t>17.11.2022</t>
  </si>
  <si>
    <t>31.08.2023</t>
  </si>
  <si>
    <t>active</t>
  </si>
  <si>
    <t>05.12.2022 09:00:00</t>
  </si>
  <si>
    <t>ID061R</t>
  </si>
  <si>
    <t>Long Bar'da %10 İndirim!</t>
  </si>
  <si>
    <t>Uygulamayı indirerek kod almak için aşağıdaki butonu tıklayınız!</t>
  </si>
  <si>
    <t>Benzersiz lezzetler ve imza kokteyller ile dünyanın en iyilerini seyretmek için sen de Long Bar’da yerini al, futbol heyecanını Zorlu World’e özel %10 indirimli yaşa! Kampanya, Long Bar’dan vereceğiniz 200 TL ve üzeri siparişlerinizde 18 Aralık 2022 tarihine kadar geçerlidir. Diğer kampanyalarla birleştirilemez. Zorlu World üyelerinin kampanyadan yararlanması için Zorlu World uygulamasından kod alması ve alınmış olan kodu Long Bar kasasında bildirmesi gerekmektedir. 
Zorlu World ve Raffles Istanbul kampanyada değişiklik yapma hakkını saklı tutar.  
Zorlu World, Zorlu Yapı Yatırım A.Ş. Müşteri Ödül Programı’dır.
18 Aralık 2022 tarihine kadar geçerlidir.</t>
  </si>
  <si>
    <t>10% Off at Long Bar!</t>
  </si>
  <si>
    <t>The app can be downloaded via button below in order to get the campaign code!</t>
  </si>
  <si>
    <t>Show up for your team, and watch all the games with delicious drafts, snacks, and signature cocktails to pitch your excitement with a 10% discount privilege for Zorlu World! The campaign is valid for the orders that is 200 TL or more, to be made at Long Bar until 18 December 2022. Cannot be combined with other campaigns. Zorlu World members are required to obtain a code from the Zorlu World application and notify the representative at the Long Bar cash register in order to benefit from the campaign.
Zorlu World and Long Bar reserve the right to make changes to the campaign.
Zorlu World, Zorlu Yapı Yatırım A.Ş. It is the Customer Reward Program.
Valid until 18 December 2022</t>
  </si>
  <si>
    <t>Long-Bar-750x600.jpg</t>
  </si>
  <si>
    <t>05.12.2022</t>
  </si>
  <si>
    <t>18.12.2022</t>
  </si>
  <si>
    <t>passive</t>
  </si>
  <si>
    <t>ID013</t>
  </si>
  <si>
    <t>Tommi Brasserie'de Kahvaltı veya Öğle Yemeği Alımına %20 İndirim!</t>
  </si>
  <si>
    <t>Kampanya kapsamında, Tommi Brasserie’den her gün saat 15:00 öncesinde vereceğiniz kahvaltı veya öğle yemeği siparişinize %20 indirim uygulanacaktır. 31 Aralık 2022 tarihine kadar geçerlidir. Diğer kampanyalarla birleştirilemez. Zorlu World üyelerinin kampanyadan yararlanması için Zorlu World uygulamasından kod alması ve alınmış olan kodu Tommi Brasserie kasasında restoran yetkilisine bildirmesi gerekmektedir. 
Zorlu World ve Tommi Brasserie kampanyada değişiklik yapma hakkını saklı tutar.  
Zorlu World, Zorlu Yapı Yatırım A.Ş. Müşteri Ödül Programı’dır.
31 Aralık 2022 tarihine kadar geçerlidir.</t>
  </si>
  <si>
    <t>%20 Off for Breakfeast or Lunch at Tommi Brasserie!</t>
  </si>
  <si>
    <t>The campaign is valid until 3:00 pm every day for breakfeast or lunch orders to be made at Tommi Braserrie Zorlu until 31 December 2022. %20 discount will be applied within the scope of the campaign. Cannot be combined with other campaigns. Zorlu World members are required to obtain a code from the Zorlu World application and notify the restaurant representative at the Tommi Brasserie cash register in order to benefit from the campaign.
Zorlu World and Tommi Brasserie reserve the right to make changes to the campaign.
Zorlu World, Zorlu Yapı Yatırım A.Ş. It is the Customer Reward Program.
Valid until 31 December 2022</t>
  </si>
  <si>
    <t>Tommi-750x600.jpg</t>
  </si>
  <si>
    <t>31.12.2022</t>
  </si>
  <si>
    <t>14.09.2022 09:00:00</t>
  </si>
  <si>
    <t>Jacadi Paris Zorlu'da Tüm İndirimlere Ek %10 İndirim!</t>
  </si>
  <si>
    <t>Kampanya, Jacadi Paris Zorlu mağazasında 31 Aralık 2023 tarihine kadar yapılacak tüm ürün alışverişlerinde geçerlidir. Tüm indirimlere ek %10 indirim uygulanacaktır. Zorlu World üyelerinin kampanyadan yararlanması için Zorlu World uygulamasından kod alması ve alınmış olan kodu Jacadi Paris kasasında mağaza yetkilisine bildirmesi gerekmektedir.
Zorlu World ve Jacadi Paris kampanyada değişiklik yapma hakkını saklı tutar.  
Zorlu World, Zorlu Yapı Yatırım A.Ş. Müşteri Ödül Programı’dır.
31 Aralık 2023 tarihine kadar geçerlidir.</t>
  </si>
  <si>
    <t>Additional 10% Discount Privilege at Jacadi Paris!</t>
  </si>
  <si>
    <t>The campaign is valid forall merchandise purchases made at Zorlu Center Jacadi Paris store until 31 December 2023. Additional 10% discount will be applied after all other valid discounts. Zorlu World members are required to obtain a code from the Zorlu World application and notify the store representative at the Jacadi Paris cash register in order to benefit from the campaign. 
Zorlu World and Jacadi Paris reserve the right to make changes to the campaign.
Zorlu World, Zorlu Yapı Yatırım A.Ş. It is the Customer Reward Program.
Valid until 31 December 2023</t>
  </si>
  <si>
    <t>Jakardi-750x600.jpg</t>
  </si>
  <si>
    <t>02.01.2023</t>
  </si>
  <si>
    <t>31.12.2023</t>
  </si>
  <si>
    <t>14.04.2023 09:00:00</t>
  </si>
  <si>
    <t>ID113</t>
  </si>
  <si>
    <t>Penelope Bedroom'da Seçili Ürünlerde %25 İndirim!</t>
  </si>
  <si>
    <t>Kampanya, Zorlu Center Penelope Bedroom mağazasında 30 Nisan 2023 tarihine kadar yapılacak Bamboo Yorgan ve Bamboo Yastık model alışverişlerinde geçerlidir. %25 indirim uygulanacaktır. Zorlu World üyelerinin kampanyadan yararlanması için Zorlu World uygulamasından kod alması ve alınmış olan kodu Penelope Bedroom mağaza kasasında mağaza yetkilisine bildirmesi gerekmektedir. 
Zorlu World ve Penelope Bedroom kampanyada değişiklik yapma hakkını saklı tutar.  
Zorlu World, Zorlu Yapı Yatırım A.Ş. Müşteri Ödül Programı’dır.
30 Nisan 2023 tarihine kadar geçerlidir.</t>
  </si>
  <si>
    <t>25% Off at Penelope Bedroom!</t>
  </si>
  <si>
    <t>The campaign is valid for Bamboo pillow and Bamboo blanket purchases made at Zorlu Center Penelope Bedroom store until 30 April 2023. 25% discount will be applied. Zorlu World members are required to obtain a code from the Zorlu World application and notify the store representative at the Penelope Bedroom cash register in order to benefit from the campaign.
Zorlu World and Penelope Bedroom reserve the right to make changes to the campaign.
Zorlu World, Zorlu Yapı Yatırım A.Ş. It is the Customer Reward Program.
Valid until 30 April 2023</t>
  </si>
  <si>
    <t>Penelope-750x600-4.jpg</t>
  </si>
  <si>
    <t>14.04.2023</t>
  </si>
  <si>
    <t>30.04.2023</t>
  </si>
  <si>
    <t>English Home’da 400 TL ve üzeri  Alışverişlerinizde 50 TL indirim!</t>
  </si>
  <si>
    <t>Kampanya, sadece English Home Zorlu mağazasında 31 Aralık 2023 tarihine kadar yapılacak 400 TL ve üzeri alışverişlerde geçerlidir. Tüm kampanya ve indirimlere ek 50 TL indirim uygulanacaktır. Matrah katlarında geçerli değildir. Zorlu World üyelerinin kampanyadan yararlanması için Zorlu World uygulamasından kod alması ve alınmış olan kodu English Home mağaza kasasında mağaza yetkilisine bildirmesi gerekmektedir. 
Zorlu World ve English Home kampanyada değişiklik yapma hakkını saklı tutar.  
Zorlu World, Zorlu Yapı Yatırım A.Ş. Müşteri Ödül Programı’dır.
31 Aralık 2023 tarihine kadar geçerlidir.</t>
  </si>
  <si>
    <t>50 TL Off for 400 TL and more purchases at English Home!</t>
  </si>
  <si>
    <t>The campaign is valid for 400 TL and more purchases to be made at only English Home Zorlu store until 31 December 2023. 50 TL discount will be applied to these purchases and can be discounted after all other campaigns and discounts. The campaign is not valid for the exponential tax base applications. Zorlu World members are required to obtain a code from the Zorlu World application and notify the store representative at the English Home cash register in order to benefit from the campaign.
Zorlu World and English Home reserve the right to make changes to the campaign.
Zorlu World, Zorlu Yapı Yatırım A.Ş. It is the Customer Reward Program.
Valid until 31 December 2023</t>
  </si>
  <si>
    <t>English-Home-750X600.jpg</t>
  </si>
  <si>
    <t>04.01.2023</t>
  </si>
  <si>
    <t>BAQA'da 10.000 TL ve Üzeri Alışverişinize %10 İndirim!</t>
  </si>
  <si>
    <t>Kampanya dahilinde 31 Aralık 2023 tarihine kadar, sadece BAQA Zorlu mağazasından yapacağınız 10.000 TL ve üzeri alışverişlerinize %10 indirim uygulanacaktır. Mağazada geçerli başka indirim ve kampanyalara ek olarak kullanılabilir. Zorlu World üyelerinin kampanyadan yararlanması için Zorlu World uygulamasından kod alması ve alınmış olan kodu BAQA mağaza kasasında mağaza yetkilisine bildirmesi gerekmektedir. 
Zorlu World ve BAQA kampanyada değişiklik yapma hakkını saklı tutar.  
Zorlu World, Zorlu Yapı Yatırım A.Ş. Müşteri Ödül Programı’dır.
31 Aralık 2023 tarihine kadar geçerlidir.</t>
  </si>
  <si>
    <t>%10 Off at BAQA Zorlu!</t>
  </si>
  <si>
    <t>Within the scope of the campaign, until 31 December 2023, 10% discount can be received in addition to all discounts for the 10.000 TL and more purchases to be made at BAQA Zorlu store only. The campaign is valid for all product purchases. A code must be obtained from the Zorlu World mobile application to benefit from the campaign.
Zorlu World members are required to obtain a code from the Zorlu World application and notify the store representative at the BAQA cash register in order to benefit from the campaign.
Zorlu World and BAQA reserve the right to make changes to the campaign.
Zorlu World, Zorlu Yapı Yatırım A.Ş. the Customer Reward Program.
Valid until 31 December 2023</t>
  </si>
  <si>
    <t>BAQA-750X600.jpg</t>
  </si>
  <si>
    <t>03.01.2023</t>
  </si>
  <si>
    <t>MAC Zorlu'da Hediye Ders Ayrıcalığı</t>
  </si>
  <si>
    <t>Kampanya, MAC Zorlu'da 31 Aralık 2023 tarihine kadar geçerlidir. Kampanya kampsamında yapılacak %10 indirimli ve blokajlı yıllık üyelik kayıtlarında geçerli; aletli pilates, boks veya yüzme alanlarının birinden özel ders hediye edilecektir. Diğer kampanyalarla birleştirilemez. Zorlu World üyelerinin kampanyadan yararlanması için Zorlu World uygulamasından kod alması ve alınmış olan kodu MAC Zorlu yetkilisine bildirmesi gerekmektedir. Detaylı bilgi için ; 0212 970 16 53
Zorlu World ve MAC Zorlu mağazası  kampanyada değişiklik yapma hakkını saklı tutar.  
Zorlu World, Zorlu Yapı Yatırım A.Ş. Müşteri Ödül Programı’dır.
31 Aralık 2023'e kadar geçerlidir.</t>
  </si>
  <si>
    <t>Private Lesson Privilege at MAC Zorlu</t>
  </si>
  <si>
    <t>The campaign will be valid at MAC Zorlu until 31 December 2023 for %10 discounted 1 year membership registration(Blockage will be applied.). Private lesson on pilates with eqipment, boxing and swimming are the options for the campaign and one of them need to be choosen. The campaign cannot be combined with other campaigns. Do not forget to obtain your code from Zorlu World! For the details get contact with; 0212 970 16 53. In order to benefit from the campaign, Zorlu World members are required to obtain a code from the Zorlu World application and notify the store representative at the MAC Zorlu  store cash register.
Zorlu World and MAC Zorlu store reserve the right to change the campaign.
Zorlu World, Zorlu Yapı Yatırım A.Ş. Customer Reward Program.
Valid until 31 December 2023</t>
  </si>
  <si>
    <t>Mac-750X600.jpg</t>
  </si>
  <si>
    <t>Vario Zorlu'da %10 İndirim</t>
  </si>
  <si>
    <t>Kampanya dahilinde 31 Aralık 2023 tarihine kadar sadece Vario Zorlu mağazasında, tüm indirimlere ek olarak %10 indirim uygulanacaktır. Kampanya tüm ürün alışverişlerinde geçerlidir. Kampanyadan faydalanmak için Zorlu World mobil uygulamasından kod alınması gerekmektedir.
Zorlu World üyelerinin kampanyadan yararlanması için Zorlu World uygulamasından kod alması ve alınmış olan kodu Vario kasasında mağaza yetkilisine bildirmesi gerekmektedir. 
Zorlu World ve Vario kampanyada değişiklik yapma hakkını saklı tutar.  
Zorlu World, Zorlu Yapı Yatırım A.Ş. Müşteri Ödül Programı’dır.
31 Aralık 2023 tarihine kadar geçerlidir.</t>
  </si>
  <si>
    <t>10% Off at Vario Zorlu!</t>
  </si>
  <si>
    <t>Within the scope of the campaign, until 31 December 2023, only Vario Zorlu store will receive 10% discount in addition to all discounts. The campaign is valid for all product purchases. A code must be obtained from the Zorlu World mobile application to benefit from the campaign.
Zorlu World members are required to obtain a code from the Zorlu World application and notify the store representative at the Vario cash register in order to benefit from the campaign.
Zorlu World and Vario reserve the right to make changes to the campaign.
Zorlu World, Zorlu Yapı Yatırım A.Ş. the Customer Reward Program.
Valid until 31 December 2023</t>
  </si>
  <si>
    <t>Vario-750x600.jpg</t>
  </si>
  <si>
    <t>Valeron'da 4.000 TL ve Üzeri Alışverişinize 750 TL İndirim!</t>
  </si>
  <si>
    <t>Kampanya dahilinde 31 Aralık 2023 tarihine kadar Valeron Zorlu'dan yapılacak 4.000 TL ve üzeri alışverişlerde 750 TL indirim uygulanacaktır. Zorlu World üyelerinin kampanyadan yararlanması için Zorlu World uygulamasından kod alması ve alınmış olan kodu Valeron kasasında mağaza yetkilisine bildirmesi gerekmektedir. 
Zorlu World ve Valeron kampanyada değişiklik yapma hakkını saklı tutar.  
Zorlu World, Zorlu Yapı Yatırım A.Ş. Müşteri Ödül Programı’dır.
31 Aralık 2023 tarihine kadar geçerlidir.</t>
  </si>
  <si>
    <t>750 TL Discount at Valeron Zorlu!</t>
  </si>
  <si>
    <t>"Within the scope of the campaign, 750TL discount will be applied for purchases of 4.000 TL and above from Linens Zorlu until 31 December 2023.  In order to benefit from the campaign, Zorlu World members are required to obtain a code from the Zorlu World application and notify the store representative at the Valeron cash register.
Zorlu World and Valeron reserve the right to make changes to the campaign.
Zorlu World, Zorlu Yapı Yatırım A.Ş. It is the Customer Reward Program.
Valid until 31 December 2023"</t>
  </si>
  <si>
    <t>VALERON-750x600.jpg</t>
  </si>
  <si>
    <t>Linens'de 1.500 TL ve Üzeri Alışverişinize 250 TL İndirim!</t>
  </si>
  <si>
    <t>Kampanya dahilinde 31 Aralık 2023 tarihine kadar Linens Zorlu'dan yapılacak 1.500 TL ve üzeri alışverişlere 250TL indirim uygulanacaktır. Perde kategorisindeki ürünler kampanyaya dahil değildir. 
Zorlu World üyelerinin kampanyadan yararlanması için Zorlu World uygulamasından kod alması ve alınmış olan kodu Linens mağaza kasasında mağaza yetkilisine bildirmesi gerekmektedir. 
Zorlu World ve Linens kampanyada değişiklik yapma hakkını saklı tutar.  
Zorlu World, Zorlu Yapı Yatırım A.Ş. Müşteri Ödül Programı’dır.
31 Aralık 2023 tarihine kadar geçerlidir.</t>
  </si>
  <si>
    <t>250 TL Discount at Linens Zorlu!</t>
  </si>
  <si>
    <t>Within the scope of the campaign, 250TL discount will be applied for purchases of 1.500 TL and above from Linens Zorlu until 31 December 2023. Products in the curtain category are not included in the campaign.
In order to benefit from the campaign, Zorlu World members are required to obtain a code from the Zorlu World application and notify the store representative at the Linens cash register.
Zorlu World and Linens reserve the right to make changes to the campaign.
Zorlu World, Zorlu Yapı Yatırım A.Ş. It is the Customer Reward Program.
Valid until 31 December 2023</t>
  </si>
  <si>
    <t>LINENS-750x600.jpg</t>
  </si>
  <si>
    <t>Columbia Zorlu'da Tüm İndirimlere Ek %5 İndirim!</t>
  </si>
  <si>
    <t>Kampanya dahilinde; Columbia Zorlu mağazasından yapılacak 10.000 TL ve üzeri tüm alışverişlerde, tüm indirimlere ek olarak %5 indirim uygulanacaktır. 31 Aralık 2023 tarihine kadar geçerlidir. Zorlu World üyelerinin kampanyadan yararlanması için Zorlu World uygulamasından kod alması ve alınmış olan kodu Columbia mağaza kasasında mağaza yetkilisine bildirmesi gerekmektedir. 
Zorlu World ve Columbia kampanyada değişiklik yapma hakkını saklı tutar.  
Zorlu World, Zorlu Yapı Yatırım A.Ş. Müşteri Ödül Programı’dır.
31 Aralık 2023 tarihine kadar geçerlidir.</t>
  </si>
  <si>
    <t>Additional 5% Discount at Columbia Zorlu!</t>
  </si>
  <si>
    <t>Within the scope of the campaign, an additional 5% discount on all other discounts, will be applied to your shopping that has a price of 10.000 TL and more. In order to benefit from the campaign, Zorlu World members are required to obtain a code from the Zorlu World application and notify the store representative at the Columbia Zorlu cash register.
Zorlu World and Columbia reserve the right to change the campaign.
Zorlu World, Zorlu Yapı Yatırım A.Ş. Customer Reward Program.
Valid until 31 December 2023</t>
  </si>
  <si>
    <t>Columbia-V3-750x600.jpg</t>
  </si>
  <si>
    <t>10.03.2023 09:00:00</t>
  </si>
  <si>
    <t>Nev Lokanta Meze'de 3 Meze Alımına 1 Meze İkramı!</t>
  </si>
  <si>
    <t>Kampanya kapsamında, Nev Lokanta Meze'de vereceğiniz 3 soğuk meze siparişinize 1 soğuk meze ikram edilecektir. 31 Ağustos 2023 tarihine kadar geçerlidir. Diğer kampanyalarla birleştirilemez. Zorlu World üyelerinin kampanyadan yararlanması için Zorlu World uygulamasından kod alması ve alınmış olan kodu Nev Lokanta Meze kasasında restoran yetkilisine bildirmesi gerekmektedir. 
Zorlu World ve Nev Lokanta Meze kampanyada değişiklik yapma hakkını saklı tutar.  
Zorlu World, Zorlu Yapı Yatırım A.Ş. Müşteri Ödül Programı’dır.
31 Ağustos 2023 tarihine kadar geçerlidir.</t>
  </si>
  <si>
    <t>Free 1 Cold Appetizer at Nev Lokanta Meze!</t>
  </si>
  <si>
    <t>The campaign is valid for 3 or more appetizer orders to be made at Nev Lokanta Meze until 31 August 2023. 1 appetizer will be given free within the scope of the campaign. Orders are valid for the cold appetizers. Cannot be combined with other campaigns. Zorlu World members are required to obtain a code from the Zorlu World application and notify the restaurant representative at the Nev Lokanta Meze cash register in order to benefit from the campaign.
Zorlu World and Nev Lokanta Meze reserve the right to make changes to the campaign.
Zorlu World, Zorlu Yapı Yatırım A.Ş. It is the Customer Reward Program.
Valid until 31 August 2023</t>
  </si>
  <si>
    <t>NEV-MEZE-750X600-b.jpg</t>
  </si>
  <si>
    <t>10.03.2023</t>
  </si>
  <si>
    <t>Etiler Marmaris Menülerde %15 İndirim!</t>
  </si>
  <si>
    <t>Kampanya 31 Aralık 2022 tarihine kadar geçerlidir. Kampanya kapsamında Etiler Marmaris'te %15 indirim uygulanacaktır. Bu kampanya; indirimli menüler, soğuk sandviç+çay ve tatlı+çay menüleri ile 20 TL altı harcamada geçerli değildir. Diğer kampanyalarla birleştirilemez. Zorlu World üyelerinin kampanyadan yararlanması için Zorlu World uygulamasından QR okumayı açması ve Etiler Marmaris restoranı kasa yanındaki QR kodu okutması gerekmektedir.  
Zorlu World ve Etiler Marmaris kampanyada değişiklik yapma hakkını saklı tutar.  
Zorlu World, Zorlu Yapı Yatırım A.Ş. Müşteri Ödül Programı’dır.
31 Aralık 2022 tarihine kadar geçerlidir.</t>
  </si>
  <si>
    <t>15% Off at Etiler Marmaris Menus</t>
  </si>
  <si>
    <t>The campaign is valid until 31 December 2022 for the menu purchases to be made at Etiler Marmaris. 15% discount will be applied to these menus. This campaign is not valid for the menus which have already been discounted, cold sandwich+ tea menu, desert+tea menu and expense lower than 20 TL. Cannot be combined with other campaigns. Zorlu World members are required to open the QR reading from the Zorlu World application and scan the QR code next to the cash register at Etiler Marmaris restaurant in order to benefit from the campaign.
Zorlu World and Etiler Marmaris reserve the right to change the campaign.
Zorlu World, Zorlu Yapı Yatırım A.Ş. Customer Reward Program.
Valid until 31 December 2022</t>
  </si>
  <si>
    <t>Etiler-Marmaris-750x600.jpg</t>
  </si>
  <si>
    <t>NU'da Size Özel İndirimler!</t>
  </si>
  <si>
    <t>Kampanya dahilinde 31 Aralık 2023 tarihine kadar Zorlu World üyelerine özel NU Zorlu Center'daki indirimde olmayan tüm ürünlerde geçerli 10.000 TL ve üzeri alışverişe anında %5 indirim ve 20.000 TL ve üzeri alışverişe anında %10 indirim uygulanacaktır. Diğer kampanyalarla birleştirilemez. 
Zorlu World üyelerinin kampanyadan yararlanması için Zorlu World uygulamasından kod alması ve alınmış olan kodu NU mağaza kasasında mağaza yetkilisine bildirmesi gerekmektedir. 
Zorlu World ve NU kampanyada değişiklik yapma hakkını saklı tutar.  
Zorlu World, Zorlu Yapı Yatırım A.Ş. Müşteri Ödül Programı’dır.
31 Aralık 2023 tarihine kadar geçerlidir.</t>
  </si>
  <si>
    <t xml:space="preserve">Special Discounts at NU </t>
  </si>
  <si>
    <t>The campaign is valid for all merchandise purchases which are not already discounted to be made at NU Zorlu store until 31 December 2023. 5% discount will be applied to 10.000 TL and more purchases and 10% discount will be applied to 20.000 TL and more purchases. Cannot be combined with other campaigns.
Zorlu World members are required to obtain a code from the Zorlu World application and notify the store representative at the NU cash register in order to benefit from the campaign.
Zorlu World and NU reserve the right to make changes to the campaign.
Zorlu World, Zorlu Yapı Yatırım A.Ş. It is the Customer Reward Program.
Valid until 31 December 2023</t>
  </si>
  <si>
    <t>NU-750X600-a.jpg</t>
  </si>
  <si>
    <t>Sirmaison’da Tüm Ürün Alışverişlerinizde %10 indirim!</t>
  </si>
  <si>
    <t>Kampanya, Sirmaison Zorlu mağazasında 31 Mayıs 2023 tarihine kadar yapılacak tüm ürün alışverişlerinizde geçerlidir.%10 indirim uygulanacaktır. Zorlu World üyelerinin kampanyadan yararlanması için Zorlu World uygulamasından kod alması ve alınmış olan kodu Sirmaison mağaza kasasında mağaza yetkilisine bildirmesi gerekmektedir. 
Zorlu World ve Sirmaison kampanyada değişiklik yapma hakkını saklı tutar.  
Zorlu World, Zorlu Yapı Yatırım A.Ş. Müşteri Ödül Programı’dır.
31 Mayıs 2023 tarihine kadar geçerlidir.</t>
  </si>
  <si>
    <t>10% Off at Sirmaison!</t>
  </si>
  <si>
    <t>The campaign is valid for all merchandises purchases to be made at Sirmaison Zorlu store until 31 May 2023. 10% discount will be applied to the all merchandises. Zorlu World members are required to obtain a code from the Zorlu World application and notify the store representative at the Sirmaison cash register in order to benefit from the campaign.
Zorlu World and Sirmaison reserve the right to make changes to the campaign.
Zorlu World, Zorlu Yapı Yatırım A.Ş. It is the Customer Reward Program.
Valid until 31 May 2023</t>
  </si>
  <si>
    <t>Sirmaison-750x600-a.jpg</t>
  </si>
  <si>
    <t>31.05.2023</t>
  </si>
  <si>
    <t>Lamy Lx Ürünlerinde % 20 indirim!</t>
  </si>
  <si>
    <t>Kampanya 18 Haziran 2023 tarihine kadar geçerlidir. Kampanya kapsamında Lamy Zorlu'dan yapacağınız Lamy Lx ürün alışverişlerine Babalar Günü'ne özel %20 indirim uygulanacaktır. Diğer kampanyalarla birleştirilemez. Zorlu World üyelerinin kampanyadan yararlanması için Zorlu World uygulamasından kod alması ve alınmış olan kodu Lamy Zorlu yetkilisine bildirmesi gerekmektedir.
Zorlu World ve Lamy mağazası kampanyada değişiklik yapma hakkını saklı tutar.
Zorlu World, Zorlu Yapı Yatırım A.Ş. Müşteri Ödül Programı’dır.
18 Haziran 2023 tarihine kadar geçerlidir.</t>
  </si>
  <si>
    <t>20% Off for Lx Merchandises at Lamy!</t>
  </si>
  <si>
    <t xml:space="preserve">In the scope of the campaign, 20% discount will be valid for Lamy Lx merchandises at Lamy Zorlu for the Father's Day special. Cannot be combined with other campaigns. The campaign is valid until 18 June 2023. In order to benefit from the campaign, Zorlu World members are required to obtain a code from the Zorlu World application and notify the representative at the Lamy Zorlu.
Zorlu World and Lamy reserve the right to change the campaign.
Zorlu World, Zorlu Yapı Yatırım A.Ş. Customer Reward Program.
Valid until 18 June 2023 </t>
  </si>
  <si>
    <t>Lamy-750x600-c.jpg</t>
  </si>
  <si>
    <t>05.01.2023</t>
  </si>
  <si>
    <t>18.06.2023</t>
  </si>
  <si>
    <t>Abdullah Kiğılı Zorlu'da Tüm İndirimlere Ek %10 İndirim!</t>
  </si>
  <si>
    <t>Kampanya, Abdullah Kiğılı Zorlu mağazasında 28 Şubat 2023 tarihine kadar yapılacak Abdullah Kiğılı etiketli ürün alışverişlerinde geçerlidir. Tüm indirimlere ek %10 indirim uygulanacaktır.  Promosyon, kaşmir grubu ve ikili/üçlü kampanya etiketli promosyon ürünler kampanyaya dahil değildir. Kampanya, ürün stokları ile sınırlı olup; Kiğılı üyeliklerinde geçerlidir. Zorlu World üyelerinin kampanyadan yararlanması için Zorlu World uygulamasından kod alması ve alınmış olan kodu Abdullah Kiğılı kasasında mağaza yetkilisine bildirmesi gerekmektedir.
Zorlu World ve Abdullah Kiğılı kampanyada değişiklik yapma hakkını saklı tutar.  
Zorlu World, Zorlu Yapı Yatırım A.Ş. Müşteri Ödül Programı’dır.
28 Şubat 2023 tarihine kadar geçerlidir.</t>
  </si>
  <si>
    <t>Additional 10% Discount Privilege at Abdullah Kiğılı!</t>
  </si>
  <si>
    <t>The campaign is valid for Abdullah Kiğılı tagged merchandise purchases made at Zorlu Center Abdullah Kiğılı store until 28 February 2023. Additional 10% discount will be applied after all other valid discounts. Promotional products, kashmir group products and promotional products with dual/terzetto campagn tag are not included in the campaign. The campaign is valid with Kiğılı membership, and limited with stocks. Zorlu World members are required to obtain a code from the Zorlu World application and notify the store representative at the Abdullah Kiğılı cash register in order to benefit from the campaign. 
Zorlu World and Abdullah Kiğılı reserve the right to make changes to the campaign.
Zorlu World, Zorlu Yapı Yatırım A.Ş. It is the Customer Reward Program.
Valid until 28 February 2023</t>
  </si>
  <si>
    <t>AKigili-750X600.jpg</t>
  </si>
  <si>
    <t>04.02.2023</t>
  </si>
  <si>
    <t>28.02.2023</t>
  </si>
  <si>
    <t>Tommi Brasserie'de Çift Kişilik Serpme veya Tek Kişilik Kahvaltı Alımına %15 İndirim!</t>
  </si>
  <si>
    <t>Kampanya kapsamında, Tommi Brasserie’den her gün saat 9:00 - 15.00 saatleri arasında vereceğiniz serpme veya tek kişilik kahvaltı siparişinize %15 indirim uygulanacaktır. 31 Ağustos 2023 tarihine kadar geçerlidir. Diğer kampanyalarla birleştirilemez. Zorlu World üyelerinin kampanyadan yararlanması için Zorlu World uygulamasından kod alması ve alınmış olan kodu Tommi Brasserie kasasında restoran yetkilisine bildirmesi gerekmektedir. 
Zorlu World ve Tommi Brasserie kampanyada değişiklik yapma hakkını saklı tutar.  
Zorlu World, Zorlu Yapı Yatırım A.Ş. Müşteri Ödül Programı’dır.
31 Ağustos 2023 tarihine kadar geçerlidir.</t>
  </si>
  <si>
    <t>%15 Off for Mixed or One-Person Breakfeast at Tommi Brasserie!</t>
  </si>
  <si>
    <t>The campaign is valid between 09:00 am - 3:00 pm every day for mixed breakfeast for 2 person or one-person breakfeast orders to be made at Tommi Braserrie Zorlu until 31 August 2023. %15 discount will be applied within the scope of the campaign. Cannot be combined with other campaigns. Zorlu World members are required to obtain a code from the Zorlu World application and notify the restaurant representative at the Tommi Brasserie cash register in order to benefit from the campaign.
Zorlu World and Tommi Brasserie reserve the right to make changes to the campaign.
Zorlu World, Zorlu Yapı Yatırım A.Ş. It is the Customer Reward Program.
Valid until 31 August 2023</t>
  </si>
  <si>
    <t>Tommi-750x600-b.jpg</t>
  </si>
  <si>
    <t>Brandy's'de Babalar Günü'ne Özel 5.000 TL ve Üzeri Alışverişinize 500 TL İndirim!</t>
  </si>
  <si>
    <t>Kampanya dahilinde 18 Haziran 2023 tarihine kadar Brandy's Zorlu mağazasından yapacağınız 5.000 TL ve üzeri alışverişlerinize Babalar Günü'ne özel 500 TL indirim uygulanacaktır. Mağazada geçerli 2.ürüne %20; 3.ürüne %30 indirim kampanyasına ek olarak kullanılabilir. Zorlu World üyelerinin kampanyadan yararlanması için Zorlu World uygulamasından kod alması ve alınmış olan kodu Brandy's mağaza kasasında mağaza yetkilisine bildirmesi gerekmektedir. 
Zorlu World ve Brandy's kampanyada değişiklik yapma hakkını saklı tutar.  
Zorlu World, Zorlu Yapı Yatırım A.Ş. Müşteri Ödül Programı’dır.
18 Haziran 2023 tarihine kadar geçerlidir.</t>
  </si>
  <si>
    <t>500 TL Off at Brandy's Zorlu!</t>
  </si>
  <si>
    <t>Within the scope of the campaign, until 18 June 2023, 500 TL discount can be received for the 5.000 TL and more purchases to be made at Brandy's Zorlu store. The campaign is valid for all product purchases. A code must be obtained from the Zorlu World mobile application to benefit from the campaign. The discount can be evaluated with the 20% off for 2. merchandise and 30% off for 3. merchandise campaign that is already valid in the store.
Zorlu World members are required to obtain a code from the Zorlu World application and notify the store representative at the Brandy's cash register in order to benefit from the campaign.
Zorlu World and Brandy's reserve the right to make changes to the campaign.
Zorlu World, Zorlu Yapı Yatırım A.Ş. the Customer Reward Program.
Valid until 18 June 2023</t>
  </si>
  <si>
    <t>Brandys-750X600-a.jpg</t>
  </si>
  <si>
    <t>12.06.2023</t>
  </si>
  <si>
    <t>Turkcell Zorlu'da Seçili Aksesuarlarda %30 İndirim!</t>
  </si>
  <si>
    <t>31 Mart 2023 tarihine kadar geçerlidir.</t>
  </si>
  <si>
    <t>Kampanya 31 Mart 2023 tarihine kadar geçerlidir. Kampanya kapsamında Turkcell Zorlu'dan yapacağınız Intouch, SBS, LAUT, BiKapak, Cellularline ve BUFF markalı aksesuar alışverişlerine %30 indirim uygulanacaktır. Diğer kampanyalarla birleştirilemez. Zorlu World üyelerinin kampanyadan yararlanması için Zorlu World uygulamasından QR okumayı açması ve Turkcell mağazasında kasa yanındaki QR kodu okutması gerekmektedir.  
Zorlu World ve Turkcell mağazası kampanyada değişiklik yapma hakkını saklı tutar.
Zorlu World, Zorlu Yapı Yatırım A.Ş. Müşteri Ödül Programı’dır.</t>
  </si>
  <si>
    <t>30% Off for Selected Accessories at Turkcell</t>
  </si>
  <si>
    <t>Valid until 31 March 2023</t>
  </si>
  <si>
    <t>In the scope of the campaign, 30% discount will be valid for Intouch, SBS, LAUT, BiKapak, Cellularline and BUFF branded accessories at Turkcell Zorlu. Cannot be combined with other campaigns. The campaign is valid until 31 March 2023. Zorlu World members are required to open the QR reading from the Zorlu World application and scan the QR code next to the cash register at Turkcell store in order to benefit from the campaign.
Zorlu World and Turkcell store reserve the right to change the campaign.
Zorlu World, Zorlu Yapı Yatırım A.Ş. Customer Reward Program.</t>
  </si>
  <si>
    <t>Turkcell-B-750x600.jpg</t>
  </si>
  <si>
    <t>31.03.2023</t>
  </si>
  <si>
    <t>Urart Zorlu'da 10.000 TL ve Üzeri Alışverişinize %10 İndirim</t>
  </si>
  <si>
    <t>Kampanya dahilinde 4-19 Şubat 2023 tarihleri arasında Urart Zorlu mağazasından yapacağınız 10.000 TL ve üzeri alışverişlerinize Sevgililer Günü'ne özel %10 indirim uygulanacaktır. Zorlu World üyelerinin kampanyadan yararlanması için Zorlu World uygulamasından kod alması ve alınmış olan kodu Urart mağaza kasasında mağaza yetkilisine bildirmesi gerekmektedir. 
Zorlu World ve Urart kampanyada değişiklik yapma hakkını saklı tutar.  
Zorlu World, Zorlu Yapı Yatırım A.Ş. Müşteri Ödül Programı’dır.
19 Şubat 2023 tarihine kadar geçerlidir.</t>
  </si>
  <si>
    <t>%10 Off at Urart Zorlu!</t>
  </si>
  <si>
    <t>Within the scope of the campaign, until 19 February 2023, 10% discount can be received for the 10.000 TL and more purchases to be made at Urart Zorlu store only. The campaign is valid for all product purchases. A code must be obtained from the Zorlu World mobile application to benefit from the campaign.
Zorlu World members are required to obtain a code from the Zorlu World application and notify the store representative at the Urart cash register in order to benefit from the campaign.
Zorlu World and Urart reserve the right to make changes to the campaign.
Zorlu World, Zorlu Yapı Yatırım A.Ş. the Customer Reward Program.
Valid until 19 February 2023</t>
  </si>
  <si>
    <t>Urart-750x600.jpg</t>
  </si>
  <si>
    <t>19.02.2023</t>
  </si>
  <si>
    <t>Eataly Ramazan Paketinde %10 İndirim!</t>
  </si>
  <si>
    <t>Kampanya, 23 Nisan 2023 tarihine kadar geçerlidir. Kampanya kapsamında Eataly Market'te Ramazan Paketine %10 indirim uygulanacaktır. Stoklarla sınırlıdır. Diğer kampanyalarla birleştirilemez. Zorlu World üyelerinin kampanyadan yararlanması için Zorlu World uygulamasından QR okumayı açması ve Eataly mağazasında kasa yanındaki QR kodu okutması gerekmektedir.  
Zorlu World ve Eataly kampanyada değişiklik yapma hakkını saklı tutar.
Zorlu World, Zorlu Yapı Yatırım A.Ş. Müşteri Ödül Programı’dır.
23 Nisan 2023 tarihine kadar geçerlidir.</t>
  </si>
  <si>
    <t>10% Off for Ramadan Boxes at Eataly!</t>
  </si>
  <si>
    <t>The campaign is valid until 23 April 2023. In the scope of the campaign, 10% discount will be applied to the Ramadan boxes at Eataly Market. The campaign is going to be valid for limited stocks. Cannot be combined with other campaigns. Zorlu World members are required to open the QR reading from the Zorlu World application and scan the QR code next to the cash register at Eataly Market in order to benefit from the campaign.
Zorlu World and Eataly reserve the right to change the campaign.
Zorlu World, Zorlu Yapı Yatırım A.Ş. Customer Reward Program.
Valid until 23 April 2023</t>
  </si>
  <si>
    <t>Eataly-750x600b.jpg</t>
  </si>
  <si>
    <t>23.04.2023</t>
  </si>
  <si>
    <t>Inside Flowers &amp; Events'de Tüm Çiçeklerde %10 İndirim!</t>
  </si>
  <si>
    <t>Kampanya, 14 Mayıs 2023 tarihine kadar geçerlidir. Kampanya kapsamında Inside Flowers &amp; Events'de 1.000 TL ve üzeri tüm çiçek alımlarında %10 indirim uygulanacaktır. Diğer kampanyalarla birleştirilemez. Zorlu World üyelerinin kampanyadan yararlanması için Zorlu World uygulamasından kod alması ve alınmış olan kodu Inside Flowers &amp; Events mağaza kasasında mağaza yetkilisine bildirmesi gerekmektedir. 
Zorlu World ve Inside Flowers &amp; Events kampanyada değişiklik yapma hakkını saklı tutar.  
Zorlu World, Zorlu Yapı Yatırım A.Ş. Müşteri Ödül Programı’dır.
14 Mayıs 2023 tarihine kadar geçerlidir.</t>
  </si>
  <si>
    <t>10% Off for the Flowers at Inside Flowers &amp; Events!</t>
  </si>
  <si>
    <t>The campaign is valid until 14 May 2023 for the all flowers. 10% discount will be applied to 1.000 TL and more purchases of these flowers. Cannot be combined with other campaigns. In order to benefit from the campaign, In order to benefit from the campaign, Zorlu World members are required to obtain a code from the Zorlu World application and notify the store representative at the Inside Flowers &amp; Events store cash register.
Zorlu World and Inside Flowers &amp; Events reserve the right to change the campaign.
Zorlu World, Zorlu Yapı Yatırım A.Ş. Customer Reward Program.
Valid until 14 May 2023</t>
  </si>
  <si>
    <t>Inside-Flowers-&amp;-Events-750x600-a.jpg</t>
  </si>
  <si>
    <t>14.05.2023</t>
  </si>
  <si>
    <t>Five O'Clock’da Tüm Ürün Alışverişlerinizde %10 indirim!</t>
  </si>
  <si>
    <t>30 Kasım 2022 tarihine kadar geçerlidir.</t>
  </si>
  <si>
    <t>Kampanya, Five O'Clock Zorlu mağazasında 30 Kasım 2022 tarihine kadar yapılacak tüm ürün alışverişlerinizde geçerlidir. %10 indirim uygulanacaktır. Diğer kampanyalarla birleştirilemez. Zorlu World üyelerinin kampanyadan yararlanması için Zorlu World uygulamasından QR okumayı açması ve Five O'Clock mağazası kasa yanındaki QR kodu okutması gerekmektedir. 
Zorlu World ve Five O'Clock kampanyada değişiklik yapma hakkını saklı tutar.  
Zorlu World, Zorlu Yapı Yatırım A.Ş. Müşteri Ödül Programı’dır.</t>
  </si>
  <si>
    <t>10% Off for all purchases at Five O'Clock!</t>
  </si>
  <si>
    <t>Valid until 30 November 2022</t>
  </si>
  <si>
    <t>The campaign is valid for all purchases to be made at Five O'Clock Zorlu store until 30 November 2022. 10% discount will be applied to the products. Cannot be combined with other campaigns. Zorlu World members are required to open the QR reading from the Zorlu World application and scan the QR code next to the cash register at Five O'Clock in order to benefit from the campaign.
Zorlu World and Five O'Clock reserve the right to make changes to the campaign.
Zorlu World, Zorlu Yapı Yatırım A.Ş. It is the Customer Reward Program.</t>
  </si>
  <si>
    <t>Five-O'Clock-750x600.jpg</t>
  </si>
  <si>
    <t>30.11.2022</t>
  </si>
  <si>
    <t>D&amp;R’da 200 TL ve Üzeri Tüm Alışverişlerinizde 50 TL indirim!</t>
  </si>
  <si>
    <t>Kampanya, sadece D&amp;R Zorlu mağazasında 31 Temmuz 2023 tarihine kadar yapılacak 200 TL ve üzeri alışverişlerde geçerlidir. D&amp;R Kart sahiplerine özel tüm kampanya ve indirimlere ek 50 TL indirim uygulanacaktır. Kampanyadan yalnızca ilk 3.000 kişi faydalanabilecektir. Zorlu World üyelerinin kampanyadan yararlanması için Zorlu World uygulamasından kod alması ve alınmış olan kodu D&amp;R mağaza kasasında mağaza yetkilisine bildirmesi gerekmektedir. 
Zorlu World ve D&amp;R kampanyada değişiklik yapma hakkını saklı tutar.  
Zorlu World, Zorlu Yapı Yatırım A.Ş. Müşteri Ödül Programı’dır.
31 Temmuz 2023 tarihine kadar geçerlidir.</t>
  </si>
  <si>
    <t>50 TL Off for 200 TL and more purchases at D&amp;R!</t>
  </si>
  <si>
    <t>The campaign is valid for 200 TL and more purchases to be made from the all categories at only D&amp;R Zorlu store until 31 July 2023. 50 TL discount will be applied to these purchases and can be discounted after all other campaigns and discounts for the members of D&amp;R Card. First 3.000 person can benefit from the campaign. Zorlu World members are required to obtain a code from the Zorlu World application and notify the store representative at the D&amp;R cash register in order to benefit from the campaign.
Zorlu World and D&amp;R reserve the right to make changes to the campaign.
Zorlu World, Zorlu Yapı Yatırım A.Ş. It is the Customer Reward Program.
Valid until 31 July 2023</t>
  </si>
  <si>
    <t>D&amp;R-750X600-a.jpg</t>
  </si>
  <si>
    <t>09.02.2023</t>
  </si>
  <si>
    <t>31.07.2023</t>
  </si>
  <si>
    <t>13.12.2022 09:00:00</t>
  </si>
  <si>
    <t>Bobbi Brown'da Tüm Alışverişlerde Mini Luxe Lip Color Hediye!</t>
  </si>
  <si>
    <t>Kampanya, Bobbi Brown'da 18 Aralık 2022 tarihine kadar geçerlidir. Kampanya kapsamında yapılacak tüm alışverişlerde geçerli; seçeceğiniz Mini Luxe Lip Color hediye edilecektir. Stoklarla sınırlıdır. Diğer kampanyalarla birleştirilemez. Zorlu World üyelerinin kampanyadan yararlanması için Zorlu World uygulamasından QR okumayı açması ve Bobbi Brown mağazasında kasa yanındaki QR kodu okutması gerekmektedir.  
Zorlu World ve Bobbi Brown kampanyada değişiklik yapma hakkını saklı tutar.  
Zorlu World, Zorlu Yapı Yatırım A.Ş. Müşteri Ödül Programı’dır.
18 Aralık 2022'e kadar geçerlidir.</t>
  </si>
  <si>
    <t>Free Mini Luxe Lip Color at Bobbi Brown!</t>
  </si>
  <si>
    <t>The campaign wiil be valid until 18 December 2022 for the all merchandise purchases to be made at Bobbi Brown Zorlu store. One of the Mini Luxe Lip Color which need to be choosen will be given as the gift for free. The campaign will continue while supplies last and cannot be combined with other campaigns. Zorlu World members are required to open the QR reading from the Zorlu World application and scan the QR code next to the cash register at Bobbi Brown store in order to benefit from the campaign.
Zorlu World and Bobbi Brown store reserve the right to change the campaign.
Zorlu World, Zorlu Yapı Yatırım A.Ş. Customer Reward Program.
Valid until 18 December 2022</t>
  </si>
  <si>
    <t>Bobbi-Brown-750x600.jpg</t>
  </si>
  <si>
    <t>13.12.2022</t>
  </si>
  <si>
    <t>Kampanya 31 Aralık 2022 tarihine kadar geçerlidir. Kampanya kapsamında Turkcell Zorlu'dan yapacağınız Intouch, SBS, LAUT, BiKapak, Cellularline ve BUFF markalı aksesuar alışverişlerine %30 indirim uygulanacaktır. Diğer kampanyalarla birleştirilemez. Zorlu World üyelerinin kampanyadan yararlanması için Zorlu World uygulamasından QR okumayı açması ve Turkcell mağazasında kasa yanındaki QR kodu okutması gerekmektedir.  
Zorlu World ve Turkcell mağazası kampanyada değişiklik yapma hakkını saklı tutar.
Zorlu World, Zorlu Yapı Yatırım A.Ş. Müşteri Ödül Programı’dır.
31 Aralık 2022 tarihine kadar geçerlidir.</t>
  </si>
  <si>
    <t>In the scope of the campaign, 30% discount will be valid for Intouch, SBS, LAUT, BiKapak, Cellularline and BUFF branded accessories at Turkcell Zorlu. Cannot be combined with other campaigns. The campaign is valid until 31 December 2022. Zorlu World members are required to open the QR reading from the Zorlu World application and scan the QR code next to the cash register at Turkcell store in order to benefit from the campaign.
Zorlu World and Turkcell store reserve the right to change the campaign.
Zorlu World, Zorlu Yapı Yatırım A.Ş. Customer Reward Program.
Valid until 31 December 2022</t>
  </si>
  <si>
    <t>Turkcell-B-750X600.jpg</t>
  </si>
  <si>
    <t>Inside Flowers &amp; Events'de %10 İndirim!</t>
  </si>
  <si>
    <t>Kampanya, 31 Aralık 2022 tarihine kadar geçerlidir. Kampanya kapsamında Inside Flowers &amp; Events'de tüm çiçeklerde %10 indirim uygulanacaktır. Diğer kampanyalarla birleştirilemez. Zorlu World üyelerinin kampanyadan yararlanması için Zorlu World uygulamasından kod alması ve alınmış olan kodu Inside Flowers &amp; Events mağaza kasasında mağaza yetkilisine bildirmesi gerekmektedir. 
Zorlu World ve Inside Flowers &amp; Events kampanyada değişiklik yapma hakkını saklı tutar.  
Zorlu World, Zorlu Yapı Yatırım A.Ş. Müşteri Ödül Programı’dır.
31 Aralık 2022 tarihine kadar geçerlidir.</t>
  </si>
  <si>
    <t>10% Off for the flowers at Inside Flowers &amp; Events!</t>
  </si>
  <si>
    <t>The campaign is valid until 31 December 2022 for the all flowers. 10% discount will be applied to these flowers. Cannot be combined with other campaigns. In order to benefit from the campaign, In order to benefit from the campaign, Zorlu World members are required to obtain a code from the Zorlu World application and notify the store representative at the Inside Flowers &amp; Events store cash register.
Zorlu World and Inside Flowers &amp; Events reserve the right to change the campaign.
Zorlu World, Zorlu Yapı Yatırım A.Ş. Customer Reward Program.
Valid until 31 December 2022</t>
  </si>
  <si>
    <t>Inside-Flowers-750X600.jpg</t>
  </si>
  <si>
    <t>11.04.2023 09:00:00</t>
  </si>
  <si>
    <t>Vestel Zorlu'da Temmuz Ayı Fırsatları!</t>
  </si>
  <si>
    <t>31 Temmuz 2023 tarihine kadar, Vestel Zorlu mağazasında geçerli kampanya kapsamında:
Vestel 50UA9630 50" 4K Android TV 12.449 TL yerine 11.499 TL; 
Vestel 65QA9700 65"  QLED 4K Android TV 24.949 TL yerine 22.999 TL; 
Vestel NFK52102 EX WIFI No-Frost Buzdolabı 20.379 TL yerine 18.699 TL;
Vestel BM 4202 WIFI Bulaşık Makinesi 10.199 TL yerine 9.399 TL; 
Vestel CMI 97202 WIFI Çamaşır Makinesi 13.049 TL yerine 12.099 TL; 
Vestel KM 9601 Kurutma Makinesi 15.249 TL yerine 14.099 TL; 
Vestel T 20 S Elektrikli Süpürge 2.099 TL yerine 1.949 TL; 
olacak fiyat ayrıcalıklarından faydalanabilirsiniz.
Zorlu World üyelerinin kampanyadan yararlanması için Zorlu World uygulamasından kod alması ve alınmış olan kodu Vestel Zorlu mağaza kasasında mağaza yetkilisine bildirmesi gerekmektedir.
Zorlu World ve Vestel Tic A.Ş. kampanyada değişiklik yapma hakkını saklı tutar.  
Zorlu World, Zorlu Yapı Yatırım A.Ş. Müşteri Ödül Programı’dır.
31 Temmuz 2023 tarihine kadar geçerlidir.</t>
  </si>
  <si>
    <t>Special Discounts at Vestel Zorlu!</t>
  </si>
  <si>
    <t>The special July discount advantages which Zorlu World members can benefit from, will be: 
Vestel 50UA9630 50" 4K Android TV 11.499 TL instead of 12.449 TL; 
Vestel 65QA9700 65"  QLED 4K Android TV  22.999 TL instead of 24.949 TL; 
Vestel NFK52102 EX WIFI No-Frost Fridge 18.699 TL instead of 20.379 TL;
Vestel BM 4202 WIFI Dishwasher 9.399 TL instead of 10.199 TL; 
Vestel CMI 97202 WIFI Washing Machine 12.099 TL instead of 13.049 TL; 
Vestel KM 9601 Drying Machine 14.099 TL instead of 15.249 TL; 
Vestel T 20 S Vacuum Cleaner 1.949 TL instead of 2.099 TL; 
until 31 July 2023 at the Vestel Zorlu store.
In order to benefit from the campaign, Zorlu World members are required to obtain a code from the Zorlu World application and notify the store representative at the Vestel Zorlu store cash register.
Zorlu World and Vestel Tic A.Ş reserve the right to change the campaign.
Zorlu World, Zorlu Yapı Yatırım A.Ş. Customer Reward Program.
Valid until 31 July 2023</t>
  </si>
  <si>
    <t>VESTELb-750X600.jpg</t>
  </si>
  <si>
    <t>11.04.2023</t>
  </si>
  <si>
    <t>22.12.2022 09:00:00</t>
  </si>
  <si>
    <t>Perspective'de Tüm İndirimlere Ek %10 İndirim!</t>
  </si>
  <si>
    <t>Kampanya dahilinde 31 Temmuz 2023 tarihine kadar, sadece Perspective Zorlu mağazasından yapacağınız tüm İlkbahar/Yaz 23' ürün alışverişlerinize ek %10 indirim uygulanacaktır. Mağazada geçerli ilkbahar/yaz sezonu ürünlerinde mevcut indirim ve kampanyalara ek olarak kullanılabilir.
Zorlu World ve Perspective kampanyada değişiklik yapma hakkını saklı tutar.  
Zorlu World, Zorlu Yapı Yatırım A.Ş. Müşteri Ödül Programı’dır.
31 Temmuz 2023 tarihine kadar geçerlidir.</t>
  </si>
  <si>
    <t>%10 Additional Discount at Perspective Zorlu!</t>
  </si>
  <si>
    <t>Within the scope of the campaign, until 31 July 2023, 10% discount can be received in addition to all discounts for the discounted new season merchandises purchases to be made at Perspective Zorlu store only. The campaign is valid for all product purchases.
Zorlu World members are required to obtain a code from the Zorlu World application and notify the store representative at the Perspective cash register in order to benefit from the campaign.
Zorlu World and Perspective reserve the right to make changes to the campaign.
Zorlu World, Zorlu Yapı Yatırım A.Ş. the Customer Reward Program.
Valid until 31 July 2023</t>
  </si>
  <si>
    <t>Perspective-750x600-a.jpg</t>
  </si>
  <si>
    <t>13.05.2023</t>
  </si>
  <si>
    <t>MediaMarkt'ta Seçili Braun ve Oral-B Ürünlerinde %10 İndirim!</t>
  </si>
  <si>
    <t>Kampanya, Zorlu MediaMarkt mağazasında 31 Mayıs 2023 tarihine kadar yapılacak Braun 9 Serisi 9417S Sarjlı Tıraş Makinesi ile Siyah ve Pembe Oral B iO 9 2'Li Şarjlı Diş Fırçası Seti alışverişlerinde geçerlidir. Etiket fiyatı üzerinden %10 indirim uygulanacaktır. Kampanya stoklarla sınırlıdır. Zorlu World üyelerinin kampanyadan yararlanması için Zorlu World uygulamasından kod alması ve alınmış olan kodu MediaMarkt mağaza kasasında mağaza yetkilisine bildirmesi gerekmektedir. 
Zorlu World ve MediaMarkt kampanyada değişiklik yapma hakkını saklı tutar.  
Zorlu World, Zorlu Yapı Yatırım A.Ş. Müşteri Ödül Programı’dır.
31 Mayıs 2023 tarihine kadar geçerlidir.</t>
  </si>
  <si>
    <t>10% Off for the selected Braun and Oral-B merchandises at MediaMarkt!</t>
  </si>
  <si>
    <t>The campaign is valid for Braun 9 Series 9417S Charged Shaver and Black/Pink Oral B iO 9 Dual Charged Toothbrush Set  purchases made at Zorlu MediaMarkt store until 31 May 2023. 10% discount will be applied for these merchandises only from marked price. Stocks are limited. Zorlu World members are required to obtain a code from the Zorlu World application and notify the store representative at the MediaMarkt cash register in order to benefit from the campaign.
Zorlu World and MediaMarkt reserve the right to make changes to the campaign.
Zorlu World, Zorlu Yapı Yatırım A.Ş. It is the Customer Reward Program.
Valid until 31 May 2023</t>
  </si>
  <si>
    <t>MEDIAMARKT-750X600-a.jpg</t>
  </si>
  <si>
    <t>10.05.2023</t>
  </si>
  <si>
    <t>L'Occitane’da %10 indirim!</t>
  </si>
  <si>
    <t>Kampanya, L'Occitane Zorlu mağazasında 31 Mayıs 2023 tarihine kadar yapılacak seçili ürün alışverişlerinizde geçerlidir.%10 indirim uygulanacaktır. Fiyat avantajlı çanta ve kutulu setler, bağış mekanizmalı ürünler kampanyaya dahil değildir. Diğer kampanyalarla birleştirilemez. Zorlu World üyelerinin kampanyadan yararlanması için Zorlu World uygulamasından kod alması ve alınmış olan kodu L'Occitane yetkilisine bildirmesi gerekmektedir.
Zorlu World ve L'Occitane mağazası kampanyada değişiklik yapma hakkını saklı tutar.
Zorlu World, Zorlu Yapı Yatırım A.Ş. Müşteri Ödül Programı’dır.
31 Mayıs 2023 tarihine kadar geçerlidir.</t>
  </si>
  <si>
    <t>10% Off at L'Occitane!</t>
  </si>
  <si>
    <t>The campaign is valid for purchases to be made at L'Occitane Zorlu store until 31 May 2023. 10% discount will be applied. The bags and the box sets with already advantaged price and the merchandises with donation mechanism are not included to the campaign. Cannot be combined with other campaigns. Zorlu World members are required to obtain a code from the Zorlu World application and notify the representative at the L'Occitane store.
Zorlu World and L'Occitane reserve the right to make changes to the campaign.
Zorlu World, Zorlu Yapı Yatırım A.Ş. It is the Customer Reward Program.
Valid until 31 May 2023</t>
  </si>
  <si>
    <t>LOccitane-750x600-a.jpg</t>
  </si>
  <si>
    <t>Beymen Beauty’de %15 İndirim!</t>
  </si>
  <si>
    <t>Zorlu World üyelerine özel bu kampanya ile Beymen Zorlu Center’dan 30 Haziran 2023 tarihine kadar yapacağınız kozmetik alışverişlerinde %15 indirim uygulanır. Diğer kampanyalar ile birleştirilemez. Konsinye ve indirim yasaklı markalarda geçerli değildir. Zorlu World üyelerinin kampanyadan yararlanması için Zorlu World uygulamasından kod alması ve alınmış olan kodu Beymen kasasında mağaza yetkilisine bildirmesi gerekmektedir.
Zorlu World ve Beymen Perakende ve Tekstil Yatırımları A.Ş. kampanyada değişiklik yapma hakkını saklı tutar. 
Zorlu World, Zorlu Yapı Yatırım A.Ş. Müşteri Ödül Programı’dır.
30 Haziran 2023 tarihine kadar geçerlidir.</t>
  </si>
  <si>
    <t>15% Off at Beymen Beauty!</t>
  </si>
  <si>
    <t>Within the scope of the campaign, 15% discount will be applied to Cosmetics merchandises purchases to be made at Beymen Zorlu Center, exclusive to Zorlu World members, until June 30, 2023. It cannot be combined with other promotions.  Consignment and prohibited products are not included. Zorlu World members are required to obtain a code from the Zorlu World application and notify the store representative at the Beymen cash register in order to benefit from the campaign. 
Zorlu World and Beymen reserve the right to make changes to the campaign.
Zorlu World, Zorlu Yapı Yatırım A.Ş. It is the Customer Reward Program.
Valid until 30 June 2023</t>
  </si>
  <si>
    <t>Beymen-750x600-a.jpg</t>
  </si>
  <si>
    <t>30.05.2023</t>
  </si>
  <si>
    <t>30.06.2023</t>
  </si>
  <si>
    <t>ID119F</t>
  </si>
  <si>
    <t>Boholoveselifmısırlı'da Tüm İndirimlere Ek %20 İndirim!</t>
  </si>
  <si>
    <t>Kampanya dahilinde 15 Haziran 2023 tarihine kadar, Boholoveselifmısırlı Zorlu mağazasından yapacağınız tüm ürün alışverişlerinize %20 indirim uygulanacaktır. Mağazada geçerli başka indirim ve kampanyalara ek olarak kullanılabilir. Zorlu World üyelerinin kampanyadan yararlanması için Zorlu World uygulamasından kod alması ve alınmış olan kodu Boholoveselifmısırlı mağaza kasasında mağaza yetkilisine bildirmesi gerekmektedir. 
Zorlu World ve Boholoveselifmısırlı kampanyada değişiklik yapma hakkını saklı tutar.  
Zorlu World, Zorlu Yapı Yatırım A.Ş. Müşteri Ödül Programı’dır.
15 Haziran 2023 tarihine kadar geçerlidir.</t>
  </si>
  <si>
    <t>%20 Additional Discount at Boholoveselifmısırlı!</t>
  </si>
  <si>
    <t>Within the scope of the campaign, until 15 June 2023, 20% discount can be received in addition to all discounts for the discounted new season merchandises purchases to be made at Boholoveselifmısırlı Zorlu store. The campaign is valid for all product purchases.
Zorlu World members are required to obtain a code from the Zorlu World application and notify the store representative at the Boholoveselifmısırlı cash register in order to benefit from the campaign.
Zorlu World and Boholoveselifmısırlı reserve the right to make changes to the campaign.
Zorlu World, Zorlu Yapı Yatırım A.Ş. the Customer Reward Program.
Valid until 15 June 2023</t>
  </si>
  <si>
    <t>Boholoves-750X600.jpg</t>
  </si>
  <si>
    <t>15.06.2023</t>
  </si>
  <si>
    <t>Plus Kitchen'da Salata Bowl Çeşitlerinde %10 İndirim!</t>
  </si>
  <si>
    <t>Kampanya kapsamında Plus Kitchen Zorlu'dan yapacağınız Salata Bowl (Et-Tavuk-Somon-Veggy-Balık) çeşitlerindeki siparişlerinizde %10 indirim uygulanacaktır. 31 Ağustos 2023 tarihine kadar geçerlidir. Diğer kampanyalarla birleştirilemez. Zorlu World üyelerinin kampanyadan yararlanması için Zorlu World uygulamasından kod alması ve alınmış olan kodu Plus Kitchen yetkilisine bildirmesi gerekmektedir.
Zorlu World ve Plus Kitchen mağazası kampanyada değişiklik yapma hakkını saklı tutar.
Zorlu World, Zorlu Yapı Yatırım A.Ş. Müşteri Ödül Programı’dır.
31 Ağustos 2023 tarihine kadar geçerlidir.</t>
  </si>
  <si>
    <t>10% Off for Salad Bowls at Plus Kitchen!</t>
  </si>
  <si>
    <t>In the scope of the campaign, 10% discount will be valid for all Plus Kitchen Salata Bowl (Meat-Chicken-Salmon-Veggy-Fish) orders at Plus Kitchen Zorlu. Cannot be combined with other campaigns. The campaign is valid until 31 August 2023. In order to benefit from the campaign, Zorlu World members are required to obtain a code from the Zorlu World application and notify the representative at the Plus Kitchen Zorlu.
Zorlu World and Plus Kitchen reserve the right to change the campaign.
Zorlu World, Zorlu Yapı Yatırım A.Ş. Customer Reward Program.
Valid until 31 August 2023</t>
  </si>
  <si>
    <t>Plus-Kitchen-750x600-a.jpg</t>
  </si>
  <si>
    <t>Zorlu Center Eczanesi’nde Seçili Bioderma Bebek/Çocuk Güneş Koruyucuda 100 TL indirim!</t>
  </si>
  <si>
    <t>Kampanya dahilinde 15 Ağustos 2023 tarihine kadar sadece Zorlu Center Eczanesi'nden yapılacak Bioderma Photoderm Pediatrics Mineral SPF50+ Bebek/Çocuk güneş koruyucu alışverişlerinde 100 TL indirim uygulanacaktır. Zorlu World üyelerinin kampanyadan yararlanması için Zorlu World uygulamasından QR okumayı açması ve Zorlu Center Eczanesi kasa yanındaki QR kodu okutması gerekmektedir.  
Zorlu World ve Zorlu Center Eczanesi kampanyada değişiklik yapma hakkını saklı tutar.
Zorlu World, Zorlu Yapı Yatırım A.Ş. Müşteri Ödül Programı’dır.</t>
  </si>
  <si>
    <t>100 TL Discount for Bioderma at Zorlu Center Pharmacy!</t>
  </si>
  <si>
    <t>Within the scope of the campaign, 100 TL discount will be applied for Bioderma Photoderm Pediatrics Mineral SPF50+ Baby/Child  sun protector factor product purchases to be made only from Zorlu Center Pharmacy until 15 Ağustos 2023. In order for Zorlu World members to benefit from the campaign, they must turn on the QR reading from the Zorlu World application and have the QR code read at the Zorlu Center Pharmacy counter.
Zorlu World and Zorlu Center Pharmacy reserve the right to make changes in the campaign.
Zorlu World, Zorlu Yapı Yatırım A.Ş. It is the Customer Reward Program.</t>
  </si>
  <si>
    <t>Bioderma-750x600.jpg</t>
  </si>
  <si>
    <t>12.07.2023</t>
  </si>
  <si>
    <t>15.08.2023</t>
  </si>
  <si>
    <t>Tumi'de Tüm Ürünlerde %10 İndirim!</t>
  </si>
  <si>
    <t>Kampanya kapsamında Tumi'den yapacağınız tüm ürün alışverişlerinizde %10 indirim uygulanacaktır. 30 Eylül 2023 tarihine kadar geçerlidir. Diğer kampanyalarla birleştirilemez. Zorlu World üyelerinin kampanyadan yararlanması için Zorlu World uygulamasından kod alması ve alınmış olan kodu Tumi yetkilisine bildirmesi gerekmektedir.
Zorlu World ve Tumi kampanyada değişiklik yapma hakkını saklı tutar.
Zorlu World, Zorlu Yapı Yatırım A.Ş. Müşteri Ödül Programı’dır.</t>
  </si>
  <si>
    <t>10% Off at Tumi!</t>
  </si>
  <si>
    <t>In the scope of the campaign, 10% discount will be valid for all merchandise purchases at Tumi Zorlu. Cannot be combined with other campaigns. The campaign is valid until 30 September 2023. In order to benefit from the campaign, Zorlu World members are required to obtain a code from the Zorlu World application and notify the representative at the Tumi Zorlu.
Zorlu World and Tumi reserve the right to change the campaign.
Zorlu World, Zorlu Yapı Yatırım A.Ş. Customer Reward Program.</t>
  </si>
  <si>
    <t>Tumi-750x600.jpg</t>
  </si>
  <si>
    <t>30.09.2023</t>
  </si>
  <si>
    <t>Collection Point’de 2.000 TL ve üzeri  Alışverişlerinde %5 indirim!</t>
  </si>
  <si>
    <t>Kampanya, Collection Point Zorlu mağazasında 31 Aralık 2023 tarihine kadar yapılacak 2.000 TL ve üzeri alışverişlerde geçerlidir.%5 indirim uygulanacaktır. Mücevher ürünleri kampanyaya dahil değildir. Zorlu World üyelerinin kampanyadan yararlanması için Zorlu World uygulamasından QR okumayı açması ve Collection Point mağazasında kasa yanındaki QR kodu okutması gerekmektedir.
Zorlu World ve Collection Point kampanyada değişiklik yapma hakkını saklı tutar.  
Zorlu World, Zorlu Yapı Yatırım A.Ş. Müşteri Ödül Programı’dır.
31 Aralık 2023 tarihine kadar geçerlidir.</t>
  </si>
  <si>
    <t>5% Off for 2.000 TL and more purchases at Collection Point!</t>
  </si>
  <si>
    <t>The campaign is valid for 2.000 TL and more purchases to be made at Collection Point Zorlu store until 31 December 2023. 5% discount will be applied to the merchandises. Moser and George Jensen merchandises are not included to the campaign. Zorlu World members are required to open the QR reading from the Zorlu World application and scan the QR code next to the cash register at Collection Point store in order to benefit from the campaign.
Zorlu World and Collection Point reserve the right to make changes to the campaign.
Zorlu World, Zorlu Yapı Yatırım A.Ş. It is the Customer Reward Program.
Valid until 31 December 2023</t>
  </si>
  <si>
    <t>Collection-Point-750X600-a.jpg</t>
  </si>
  <si>
    <t>DATE</t>
  </si>
  <si>
    <t>STATUS</t>
  </si>
  <si>
    <t>UNTIL</t>
  </si>
  <si>
    <t>ID-246</t>
  </si>
  <si>
    <t>Primestore</t>
  </si>
  <si>
    <t>+902129123776</t>
  </si>
  <si>
    <t>www.primestore.com.tr</t>
  </si>
  <si>
    <t>PRIMESTORE.png</t>
  </si>
  <si>
    <t>CLOSED</t>
  </si>
  <si>
    <t>Luzdemia</t>
  </si>
  <si>
    <t>+902125148260</t>
  </si>
  <si>
    <t>www.luzdemia.com</t>
  </si>
  <si>
    <t>LUZDEMIA.png</t>
  </si>
  <si>
    <t>ID-127</t>
  </si>
  <si>
    <t>Pizza Hut</t>
  </si>
  <si>
    <t>+908502149034</t>
  </si>
  <si>
    <t>yemek, lazanya, fast food, sarımsaklı ekmek, food, lasagna, fast food, garlic bread, pizza hat</t>
  </si>
  <si>
    <t>www.pizzahut.com.tr</t>
  </si>
  <si>
    <t>PIZZAHUT.png</t>
  </si>
  <si>
    <t>valet-301</t>
  </si>
  <si>
    <t>Bob {“id”:”valet”} ({“id”:”floorparking”})</t>
  </si>
  <si>
    <t>ID070</t>
  </si>
  <si>
    <t>Electrip Park Alanı</t>
  </si>
  <si>
    <t>Huqqa</t>
  </si>
  <si>
    <t>pizza, hamburger, et, salata, nargile, pizza, hamburger, meat, salad, hookah, hukka</t>
  </si>
  <si>
    <t>ID-124</t>
  </si>
  <si>
    <t>MMY Tantuni</t>
  </si>
  <si>
    <t>+902123431555</t>
  </si>
  <si>
    <t>yemek, fast food, tantuni</t>
  </si>
  <si>
    <t>www.mmytantuni.com</t>
  </si>
  <si>
    <t>MMYTANTUNİ.png</t>
  </si>
  <si>
    <t>La Vina</t>
  </si>
  <si>
    <t>+902123536655</t>
  </si>
  <si>
    <t>ispanyol, paella, tapas, gazpacho, içki, spanish, paella, tapas, gazpacho, drink</t>
  </si>
  <si>
    <t>www.lavinarestaurant.com</t>
  </si>
  <si>
    <t>LAVINA.png</t>
  </si>
  <si>
    <t>Cold Stone</t>
  </si>
  <si>
    <t>+905313687836</t>
  </si>
  <si>
    <t>koldsıton, creamery, dondurma, ice cream</t>
  </si>
  <si>
    <t>www.coldstonecreamery.com.tr</t>
  </si>
  <si>
    <t>COLDSTONE.png</t>
  </si>
  <si>
    <t>MUSE FOR ALL</t>
  </si>
  <si>
    <t>+902122250777</t>
  </si>
  <si>
    <t>www.museforall.com/tr</t>
  </si>
  <si>
    <t>MUSEFORALL.png</t>
  </si>
  <si>
    <t>01.02.2023</t>
  </si>
  <si>
    <t>Vakko Couture</t>
  </si>
  <si>
    <t>+902127085036</t>
  </si>
  <si>
    <t>erkek, kadın, giyim, moda, ayakkabı, man, woman, clothing, fashion, shoes, sen loren</t>
  </si>
  <si>
    <t>VAKKOCOUTURE.png</t>
  </si>
  <si>
    <t>15.02.2023</t>
  </si>
  <si>
    <t>Fabiana Filippi</t>
  </si>
  <si>
    <t>www.fabianafilippi.com</t>
  </si>
  <si>
    <t>FABIANAFILIPPI.png</t>
  </si>
  <si>
    <t>OPENED</t>
  </si>
  <si>
    <t>Boho Loves Elif Mısırlı</t>
  </si>
  <si>
    <t>www.boholoves.com</t>
  </si>
  <si>
    <t>BOHOLOVESELIFMISIRLI.png</t>
  </si>
  <si>
    <t>01.03.2023</t>
  </si>
  <si>
    <t>Walkers Market</t>
  </si>
  <si>
    <t>alkol, içki, kokteyl, alcohol, drink, cocktail, viski, whisky</t>
  </si>
  <si>
    <t>ID126</t>
  </si>
  <si>
    <t>Mariposa</t>
  </si>
  <si>
    <t>çocuk, uyku, bebek, elbise, oyuncak, child, sleeping, baby, dress, toy</t>
  </si>
  <si>
    <t>MARIPOSABURGER.png</t>
  </si>
  <si>
    <t>09.03.2023</t>
  </si>
  <si>
    <t>27.04.2023</t>
  </si>
  <si>
    <t>05.05.2023</t>
  </si>
  <si>
    <t>Design Market</t>
  </si>
  <si>
    <t>+902123536847</t>
  </si>
  <si>
    <t>takı, tasarım, aksesuar, jewelry, design, accessories</t>
  </si>
  <si>
    <t>www.designmarket.com.tr</t>
  </si>
  <si>
    <t>DESIGNMARKET.png</t>
  </si>
  <si>
    <t>01.06.2023</t>
  </si>
  <si>
    <t>giyim, kadın, erkek, ayakkabı, moda, clothing, women, men, shoes, fashion, buruks bıradırs</t>
  </si>
  <si>
    <t>www.brooksbrothers.com</t>
  </si>
  <si>
    <t>Saint Laurent</t>
  </si>
  <si>
    <t>www.ysl.com</t>
  </si>
  <si>
    <t>SAINTLAURENT.png</t>
  </si>
  <si>
    <t>SOON</t>
  </si>
  <si>
    <t>11.07.2023</t>
  </si>
  <si>
    <t>Sagaza</t>
  </si>
  <si>
    <t>https://sagaza.com/tr/</t>
  </si>
  <si>
    <t>SAGAZA.png</t>
  </si>
  <si>
    <t>+902123536676</t>
  </si>
  <si>
    <t>13.07.2023</t>
  </si>
  <si>
    <t>27.07.2023</t>
  </si>
  <si>
    <t>04.08.2023</t>
  </si>
  <si>
    <t>Watch Doctor</t>
  </si>
  <si>
    <t>+902123536949</t>
  </si>
  <si>
    <t>saat, pil, kayış, kordon, kadran, watch, battery, strap, cord, dial, voç doktor</t>
  </si>
  <si>
    <t>www.watchdoctor.com.tr</t>
  </si>
  <si>
    <t>WATCHDOCTOR.png</t>
  </si>
  <si>
    <t>08.08.2023</t>
  </si>
  <si>
    <t>Döner Stop</t>
  </si>
  <si>
    <t>+902123536622</t>
  </si>
  <si>
    <t>fast food, patates, dürüm, sandviç, yemek, fast food, potato roll, sandwich, food, döner sıtop</t>
  </si>
  <si>
    <t>www.donerstop.com.tr</t>
  </si>
  <si>
    <t>DÖNERSTOP.png</t>
  </si>
  <si>
    <t>Poppin' Bubble Tea &amp; Coffee</t>
  </si>
  <si>
    <t>Bubble Tea, Coffee, Tea, Mochi, Toppings</t>
  </si>
  <si>
    <t>www.poppinbubbletea.com</t>
  </si>
  <si>
    <t>POPPIN.png</t>
  </si>
  <si>
    <t>29.08.2023</t>
  </si>
  <si>
    <r>
      <rPr>
        <rFont val="Arial"/>
        <color theme="1"/>
        <sz val="10.0"/>
      </rPr>
      <t xml:space="preserve">N/A </t>
    </r>
    <r>
      <rPr>
        <rFont val="Arial"/>
        <strike/>
        <color theme="1"/>
        <sz val="10.0"/>
      </rPr>
      <t>31.12.2023</t>
    </r>
  </si>
  <si>
    <t>09.09.2023</t>
  </si>
  <si>
    <t>07.10.2023</t>
  </si>
  <si>
    <t>09.10.2023</t>
  </si>
  <si>
    <t>www.sagaza.com/tr</t>
  </si>
  <si>
    <t>05.12.2023</t>
  </si>
  <si>
    <t>Wabi Sabi</t>
  </si>
  <si>
    <t>www.thewabisabi.shop</t>
  </si>
  <si>
    <t>WABISABI.png</t>
  </si>
  <si>
    <t>15.12.2023</t>
  </si>
  <si>
    <t>31.03.2024</t>
  </si>
  <si>
    <t>MOVED</t>
  </si>
  <si>
    <t>ID-252</t>
  </si>
  <si>
    <t>Godiva (Kiosk)</t>
  </si>
  <si>
    <t>ID122</t>
  </si>
  <si>
    <t>Riceteria</t>
  </si>
  <si>
    <t>+902123536061</t>
  </si>
  <si>
    <t>kahve, fincan, hediye, tatlı, coffee, cup, gift, sweet</t>
  </si>
  <si>
    <t>www.riceteriabyrice.com</t>
  </si>
  <si>
    <t>RICETERIA.png</t>
  </si>
  <si>
    <t>03.01.2024</t>
  </si>
  <si>
    <t>05.01.2024</t>
  </si>
  <si>
    <t>RENOVATING</t>
  </si>
  <si>
    <t>Bonesserie İstanbul</t>
  </si>
  <si>
    <t>+905336645787</t>
  </si>
  <si>
    <t>bakery, hande önel</t>
  </si>
  <si>
    <t>BONESSERIEISTANBUL.png</t>
  </si>
  <si>
    <t>06.01.2024</t>
  </si>
  <si>
    <t>15.01.2024</t>
  </si>
  <si>
    <t>22.01.2024</t>
  </si>
  <si>
    <t>31.01.2024</t>
  </si>
  <si>
    <t>03.02.2024</t>
  </si>
  <si>
    <t>18.02.2024</t>
  </si>
  <si>
    <t>09.04.2024</t>
  </si>
  <si>
    <t>17.03.2024</t>
  </si>
  <si>
    <t>27.02.2024</t>
  </si>
  <si>
    <t>01.03.2024</t>
  </si>
  <si>
    <t>11.03.2024</t>
  </si>
  <si>
    <t>02.03.2024</t>
  </si>
  <si>
    <t>Vakkorama Cafe</t>
  </si>
  <si>
    <t>05.03.2024</t>
  </si>
  <si>
    <t>12.09.2023</t>
  </si>
  <si>
    <t>07.03.2024</t>
  </si>
  <si>
    <t>10.03.2024</t>
  </si>
  <si>
    <t>15.03.2024</t>
  </si>
  <si>
    <t>13.03.2024</t>
  </si>
  <si>
    <t>Rocca</t>
  </si>
  <si>
    <t>14.03.2024</t>
  </si>
  <si>
    <t>29.03.2024</t>
  </si>
  <si>
    <t>+905324992939</t>
  </si>
  <si>
    <t>Muse For All</t>
  </si>
  <si>
    <t>05.04.2024</t>
  </si>
  <si>
    <t>15.04.2024</t>
  </si>
  <si>
    <t>02.04.2024</t>
  </si>
  <si>
    <t>06.04.2024</t>
  </si>
  <si>
    <t>04.04.2024</t>
  </si>
  <si>
    <t>31.08.2024</t>
  </si>
  <si>
    <t>16.04.2024</t>
  </si>
  <si>
    <t>19.04.2024</t>
  </si>
  <si>
    <t>06.05.2024</t>
  </si>
  <si>
    <t>17.05.2024</t>
  </si>
  <si>
    <t>12.05.2024</t>
  </si>
  <si>
    <t>23.05.2024</t>
  </si>
  <si>
    <t>05.06.2024</t>
  </si>
  <si>
    <t>07.06.2024</t>
  </si>
  <si>
    <t>10.06.2024</t>
  </si>
  <si>
    <t>24.06.2024</t>
  </si>
  <si>
    <t>Casa</t>
  </si>
  <si>
    <t>+902123536432-33</t>
  </si>
  <si>
    <t>mobilya, kanepe, koltuk, yatak</t>
  </si>
  <si>
    <t>www.casa.com.tr</t>
  </si>
  <si>
    <t>CASA.png</t>
  </si>
  <si>
    <t>26.06.2024</t>
  </si>
  <si>
    <t>+902123536948</t>
  </si>
  <si>
    <t>30.06.2024</t>
  </si>
  <si>
    <t>09.07.2024</t>
  </si>
  <si>
    <t>15.07.2024</t>
  </si>
  <si>
    <t>ID078</t>
  </si>
  <si>
    <t>The Sundae Society</t>
  </si>
  <si>
    <t>dondurma, ice cream</t>
  </si>
  <si>
    <t>THESUNDAESOCIETY.png</t>
  </si>
  <si>
    <t>23.07.2024</t>
  </si>
  <si>
    <t>12.08.2024</t>
  </si>
  <si>
    <t>UPDATED-PHONE-NUMBER</t>
  </si>
  <si>
    <t>27.08.2024</t>
  </si>
  <si>
    <t>28.08.2024</t>
  </si>
  <si>
    <t>+902123536448</t>
  </si>
  <si>
    <t>OPENED-AFTER-RENOVATION</t>
  </si>
  <si>
    <t>12.09.2024</t>
  </si>
  <si>
    <t>+905336911987</t>
  </si>
  <si>
    <t>16.09.2024</t>
  </si>
  <si>
    <t>({\"id\":\"renovating\"})</t>
  </si>
  <si>
    <t>19.09.2024</t>
  </si>
  <si>
    <t>OPENING-AFTER-RENOVATION</t>
  </si>
  <si>
    <t>A Simple Way</t>
  </si>
  <si>
    <t xml:space="preserve">+905318667265 </t>
  </si>
  <si>
    <t>Giyim, Elbise, Etek, T-Shirt, Triko, Pantolon, Sweatshirt, Dress, Skirt, Knitwear, Trousers</t>
  </si>
  <si>
    <t>www.asimpleway.co</t>
  </si>
  <si>
    <t>ASIMPLEWAY.png</t>
  </si>
  <si>
    <t>17.09.2024</t>
  </si>
  <si>
    <t>23.09.2024</t>
  </si>
  <si>
    <t>ABS Gayrimenkul</t>
  </si>
  <si>
    <t>24.09.2024</t>
  </si>
  <si>
    <t>Özkancalar Ltd. Şti.</t>
  </si>
  <si>
    <t>Heinemann Africa GmbH</t>
  </si>
  <si>
    <t>Blockville</t>
  </si>
  <si>
    <t>25.09.2024</t>
  </si>
  <si>
    <t>Dönerci Kadir Usta</t>
  </si>
  <si>
    <t>döner</t>
  </si>
  <si>
    <t>www.donercikadirusta.com</t>
  </si>
  <si>
    <t>26.09.2024</t>
  </si>
  <si>
    <t>30.09.2024</t>
  </si>
  <si>
    <t>11.10.2024</t>
  </si>
  <si>
    <t xml:space="preserve">mutfak, sofra, pişirme, bıçak, culinary, tableware, cooking, knife </t>
  </si>
  <si>
    <t>15.10.2024</t>
  </si>
  <si>
    <t>01.11.2024</t>
  </si>
  <si>
    <t>22.10.2024</t>
  </si>
  <si>
    <t>+902123601212</t>
  </si>
  <si>
    <t>DONERCIKADIRUSTA.png</t>
  </si>
  <si>
    <t>06.11.2024</t>
  </si>
  <si>
    <t>16.11.2024</t>
  </si>
  <si>
    <t>25.11.2024</t>
  </si>
  <si>
    <t>The Body Shop</t>
  </si>
  <si>
    <t>+908502125624</t>
  </si>
  <si>
    <t>bakım, banyo, güzellik, şampuan, care, bathroom, beauty, shampoo</t>
  </si>
  <si>
    <t>www.thebodyshop.com.tr</t>
  </si>
  <si>
    <t>THEBODYSHOP.png</t>
  </si>
  <si>
    <t>27.11.2024</t>
  </si>
  <si>
    <t>+905375017090</t>
  </si>
  <si>
    <t>30.11.2024</t>
  </si>
  <si>
    <t>+902123323033</t>
  </si>
  <si>
    <t>10.12.2024</t>
  </si>
  <si>
    <t>02.01.2024</t>
  </si>
  <si>
    <t>Nev Lokanta Meze</t>
  </si>
  <si>
    <t>meze, mezze, meze çeşitleri, sabah kahvaltı, breakfast, öğle lokanta, lunch, akşam içkili lokanta, yeni nesil lokanta</t>
  </si>
  <si>
    <t>04.02.2025</t>
  </si>
  <si>
    <t>UPDATED-TITLE</t>
  </si>
  <si>
    <t>Lego</t>
  </si>
  <si>
    <t>www.lego.com</t>
  </si>
  <si>
    <t>LEGO.png</t>
  </si>
  <si>
    <t>12.02.2025</t>
  </si>
  <si>
    <t>+905423497379</t>
  </si>
  <si>
    <t>25.02.2025</t>
  </si>
  <si>
    <t>26.02.2025</t>
  </si>
  <si>
    <t>28.02.2025</t>
  </si>
  <si>
    <t>Et İşleri</t>
  </si>
  <si>
    <t>+905301326334</t>
  </si>
  <si>
    <t>www.etisleri.com.tr</t>
  </si>
  <si>
    <t>ETİŞLERİ.png</t>
  </si>
  <si>
    <t>01.03.2025</t>
  </si>
  <si>
    <t>03.03.2025</t>
  </si>
  <si>
    <t>04.03.2025</t>
  </si>
  <si>
    <t>09.03.2025</t>
  </si>
  <si>
    <t>15.03.2025</t>
  </si>
  <si>
    <t>24.03.2025</t>
  </si>
  <si>
    <t>ID-129</t>
  </si>
  <si>
    <t>KFC</t>
  </si>
  <si>
    <t>+905334898893</t>
  </si>
  <si>
    <t>tavuk, patates, fast food, yemek, kova, chicken, potato, fast food, food, bucket, keyefsi</t>
  </si>
  <si>
    <t>www.kfc.com</t>
  </si>
  <si>
    <t>KFC.png</t>
  </si>
  <si>
    <t>29.03.2025</t>
  </si>
  <si>
    <t>CLOSED-TO-MOVE</t>
  </si>
  <si>
    <t>09.04.2025</t>
  </si>
  <si>
    <t>OPENED-AFTER-MOVED</t>
  </si>
  <si>
    <t>24.04.2025</t>
  </si>
  <si>
    <t>27.04.2025</t>
  </si>
  <si>
    <t>NU</t>
  </si>
  <si>
    <t>+902123536143</t>
  </si>
  <si>
    <t>www.nu.com.tr</t>
  </si>
  <si>
    <t>NU.png</t>
  </si>
  <si>
    <t>02.05.2025</t>
  </si>
  <si>
    <t>ID123</t>
  </si>
  <si>
    <t>Kafe Vesto</t>
  </si>
  <si>
    <t>+902123536702</t>
  </si>
  <si>
    <t>KAFEVESTO.png</t>
  </si>
  <si>
    <t>04.05.2025</t>
  </si>
  <si>
    <t>13.05.2025</t>
  </si>
  <si>
    <t>Otopark Ödeme</t>
  </si>
  <si>
    <t>bilet, araba, motosiklet, ücret, vale, bilet, araba, motosiklet, ücret, vale</t>
  </si>
  <si>
    <t>kahve, coffee</t>
  </si>
  <si>
    <t>www.kronotop.com.tr</t>
  </si>
  <si>
    <t>28.05.2025</t>
  </si>
  <si>
    <t>30.05.2025</t>
  </si>
  <si>
    <t>Memorial Wellness</t>
  </si>
  <si>
    <t>+902123146600</t>
  </si>
  <si>
    <t>sağlık, masaj, bakım, güzellik, merkez, health, massage, care, beauty, center, memoryal velnıs</t>
  </si>
  <si>
    <t>www.memorial-wellness.com</t>
  </si>
  <si>
    <t>MEMORIALWELLNESS.png</t>
  </si>
  <si>
    <t>31.05.2025</t>
  </si>
  <si>
    <t>02.06.2025</t>
  </si>
  <si>
    <t>Etiler Marmaris</t>
  </si>
  <si>
    <t>+902123536363</t>
  </si>
  <si>
    <t>yemek, fast food, sandviç, tost, sosis, yemek, fast food, sandviç, tost, sosis</t>
  </si>
  <si>
    <t>www.etilermarmaris.com.tr</t>
  </si>
  <si>
    <t>ETİLERMARMARİS.png</t>
  </si>
  <si>
    <t>14.06.2025</t>
  </si>
  <si>
    <t>The Kooples</t>
  </si>
  <si>
    <t>+905379741165</t>
  </si>
  <si>
    <t>giyim, çanta, aksesuar, clothing, handbag, accessories</t>
  </si>
  <si>
    <t>www.thekooples.com.tr</t>
  </si>
  <si>
    <t>THEKOOPLES.png</t>
  </si>
  <si>
    <t>15.06.2025</t>
  </si>
  <si>
    <t>www.bluemint.com/tr</t>
  </si>
  <si>
    <t>Burberry Children</t>
  </si>
  <si>
    <t>+902123536300</t>
  </si>
  <si>
    <t>çocuk, giyim, ayakkabı, kız, erkek, children, clothing, shoes, girl, boys, börbıri çıldrın</t>
  </si>
  <si>
    <t>BURBERRYCHILDREN.png</t>
  </si>
  <si>
    <t>Balonevi</t>
  </si>
  <si>
    <t>www.balonevi.com</t>
  </si>
  <si>
    <t>BALONEVİ.png</t>
  </si>
  <si>
    <t>17.06.2025</t>
  </si>
  <si>
    <t>Collection Point</t>
  </si>
  <si>
    <t>+902123536913</t>
  </si>
  <si>
    <t>mutfak, yemek, mobilya, anadolu, kitchen, dining, furniture, anatolia</t>
  </si>
  <si>
    <t>home_decoration, accessories_jewellery</t>
  </si>
  <si>
    <t>COLLECTIONPOINT.png</t>
  </si>
  <si>
    <t>Ev &amp; Dekorasyon, Aksesuar &amp; Mücevher</t>
  </si>
  <si>
    <t>27.06.2025</t>
  </si>
  <si>
    <t>Poppin'</t>
  </si>
  <si>
    <t>Bubble Tea &amp; Coffee</t>
  </si>
  <si>
    <t>22.07.2025</t>
  </si>
  <si>
    <t>13.08.2025</t>
  </si>
  <si>
    <t>16.08.2025</t>
  </si>
  <si>
    <t>ID-201C</t>
  </si>
  <si>
    <t>13.10.2025</t>
  </si>
  <si>
    <t>25.10.2025</t>
  </si>
  <si>
    <t>03.11.2025</t>
  </si>
  <si>
    <t>Tommi Brasserie</t>
  </si>
  <si>
    <t>+905010960000</t>
  </si>
  <si>
    <t>TOMMIBRASSERIE.png</t>
  </si>
  <si>
    <t>07.11.2025</t>
  </si>
  <si>
    <t>Superstep</t>
  </si>
  <si>
    <t>+902123536053</t>
  </si>
  <si>
    <t>www.supersteps.com.tr</t>
  </si>
  <si>
    <t>SUPERSTEP.png</t>
  </si>
  <si>
    <t>10.10.2025</t>
  </si>
  <si>
    <t>11.10.2025</t>
  </si>
  <si>
    <t>09.12.2025</t>
  </si>
  <si>
    <t>UPDATED-LOGO</t>
  </si>
  <si>
    <t>UPDATED-WEBSITE</t>
  </si>
  <si>
    <t>WMF</t>
  </si>
  <si>
    <t>+905300739658</t>
  </si>
  <si>
    <t xml:space="preserve">tava, tencere, düdüklü tencere, çatal bıçak takımları  </t>
  </si>
  <si>
    <t>www.wmf.com.tr</t>
  </si>
  <si>
    <t>WMF.png</t>
  </si>
  <si>
    <t>çay</t>
  </si>
  <si>
    <t>30.12.2025</t>
  </si>
  <si>
    <t>+902123536079</t>
  </si>
  <si>
    <t>ID120</t>
  </si>
  <si>
    <t>Zanzibar</t>
  </si>
  <si>
    <t>+904448969</t>
  </si>
  <si>
    <t>içki, salata, makarna, yemek, kokteyl, drink, salad, pasta, food, cocktail</t>
  </si>
  <si>
    <t>zanzibarzorlu.com</t>
  </si>
  <si>
    <t>ZANZİBAR.png</t>
  </si>
  <si>
    <t>02.01.2026</t>
  </si>
  <si>
    <t>Togg Deneyim Merkezi</t>
  </si>
  <si>
    <t>09.01.2026</t>
  </si>
  <si>
    <t>UPDATED-SUBTITLE</t>
  </si>
  <si>
    <t>ID029</t>
  </si>
  <si>
    <t>kadın, erkek, giyim, ayakkabı, aksesuar, women, men, clothing, shoes, accessories, beymen kılap</t>
  </si>
  <si>
    <t>12.01.2026</t>
  </si>
  <si>
    <t>13.01.2026</t>
  </si>
  <si>
    <t>Girenler</t>
  </si>
  <si>
    <t>Çıkanlar</t>
  </si>
  <si>
    <t>2121 ORGANİZASYON</t>
  </si>
  <si>
    <t>TA LOBİ</t>
  </si>
  <si>
    <t>BAŞKA GAYRİMENKUL</t>
  </si>
  <si>
    <t>TB LOBİ</t>
  </si>
  <si>
    <t>ESTEE LAUDER COMPANIES TÜRKİYE</t>
  </si>
  <si>
    <t>OFİS AVM LOBİ</t>
  </si>
  <si>
    <t>DE COSTA GROUP</t>
  </si>
  <si>
    <t>GALLEASS DANIŞMANLIK</t>
  </si>
  <si>
    <t>TD LOBİ</t>
  </si>
  <si>
    <t>EVGARANTİ GAYRİMENKUL</t>
  </si>
  <si>
    <t>SALCHER ENERJİ DANIŞMANLIĞI LTD. ŞTİ.</t>
  </si>
  <si>
    <t>OASIS INVESTMENT</t>
  </si>
  <si>
    <t>YAS TRADE</t>
  </si>
  <si>
    <t>EFG BANK</t>
  </si>
  <si>
    <t>ZETA INVESTMENT</t>
  </si>
  <si>
    <t>GMS YATIRIM HOLDİNG</t>
  </si>
  <si>
    <t>ERPA HOLDİNG</t>
  </si>
  <si>
    <t>BAKIRÇAY ENERJİ MADENCİLİK SANAYİ VE TİCARET A.Ş.</t>
  </si>
  <si>
    <t>NOMAD MOBİL EKİPMAN VE TİCARET A.Ş.</t>
  </si>
  <si>
    <t>RHODİUM MAĞAZACILIK</t>
  </si>
  <si>
    <t>EKPA A.Ş.</t>
  </si>
  <si>
    <t>NIGELLA A.Ş.</t>
  </si>
  <si>
    <t>ALARGA YATIRIM</t>
  </si>
  <si>
    <t>Phone</t>
  </si>
  <si>
    <t>other</t>
  </si>
  <si>
    <t>{“id”:”entrance”} Eataly</t>
  </si>
  <si>
    <t>shop</t>
  </si>
  <si>
    <t>saat, pil, kayış, kordon, kadran, clock, battery, strap, cord, dial, voç doktor</t>
  </si>
  <si>
    <t>{“id”:”exchange”} Zor</t>
  </si>
  <si>
    <t>Cinemaximum</t>
  </si>
  <si>
    <t>sinema, bilet, film, mısır, koltuk, cinema, ticket, movie, popcorn, seat, sinemaksimum</t>
  </si>
  <si>
    <t>Venüs Telefon Aksesuar</t>
  </si>
  <si>
    <t>food</t>
  </si>
  <si>
    <t>+902123536058</t>
  </si>
  <si>
    <t>Saat&amp;Saat</t>
  </si>
  <si>
    <t>saat, kayış, aksesuar, klasik, spor, clock, strap, accessory, classic, sport</t>
  </si>
  <si>
    <t>Nike</t>
  </si>
  <si>
    <t>+902124258548</t>
  </si>
  <si>
    <t>spor, giyim, ayakkabı, tshirt, eşofman, sport, clothing, shoes, tshirt, tracksuit, nayk</t>
  </si>
  <si>
    <t>Miny Center Carter’s</t>
  </si>
  <si>
    <t>şeker, jelibon, çocuk, yiyecek, ayıcık, candy, jellybeans, child, food, teddy bear, hello siviti</t>
  </si>
  <si>
    <t>ID-251</t>
  </si>
  <si>
    <t>süpürge, vakum, toz, vacuum cleaner, vacuum, dust, kablosuz , wireless</t>
  </si>
  <si>
    <t>wc</t>
  </si>
  <si>
    <t>+902123536939</t>
  </si>
  <si>
    <t>+902123536069</t>
  </si>
  <si>
    <t>Günaydın Köfte&amp;Döner</t>
  </si>
  <si>
    <t>+902122820404</t>
  </si>
  <si>
    <t>+902123536122</t>
  </si>
  <si>
    <t>Cold Stone Creamery ({"id":"soon"})</t>
  </si>
  <si>
    <t>+902123536666</t>
  </si>
  <si>
    <t>+902127090909</t>
  </si>
  <si>
    <t xml:space="preserve">+902123536335 </t>
  </si>
  <si>
    <t>+902123536919</t>
  </si>
  <si>
    <t>Gözgrup Optik</t>
  </si>
  <si>
    <t>+902123536457</t>
  </si>
  <si>
    <t>Tax Free Zone ({“id”:”infodesk”} {“id”:”floorbosphorus”})</t>
  </si>
  <si>
    <t>atm</t>
  </si>
  <si>
    <t>HSBC</t>
  </si>
  <si>
    <t>VakıfBank</t>
  </si>
  <si>
    <t>Ziraat Bankası</t>
  </si>
  <si>
    <t>atm002</t>
  </si>
  <si>
    <t>Garanti Bankası</t>
  </si>
  <si>
    <t>+902123536656</t>
  </si>
  <si>
    <t>Big Chefs</t>
  </si>
  <si>
    <t>burger, salata, sandviç, et, makarna, tatlı</t>
  </si>
  <si>
    <t>+902123536310-11</t>
  </si>
  <si>
    <t>Günaydın Kasap&amp;Steakhouse</t>
  </si>
  <si>
    <t>Dolce&amp;Gabbana</t>
  </si>
  <si>
    <t>MAC Mars Athletic Club</t>
  </si>
  <si>
    <t>Tiffany&amp;Co.</t>
  </si>
  <si>
    <t>+902123536444</t>
  </si>
  <si>
    <t>saat, kordon, tamir, pil, kadran, clock, cord, repair, battery, dial, gırinviç</t>
  </si>
  <si>
    <t>saat, kordon, tamir, pil, kadran, clock, cord, repair, battery, dial, fırenk muller</t>
  </si>
  <si>
    <t>Anlı Jewellery</t>
  </si>
  <si>
    <t>+902123536167</t>
  </si>
  <si>
    <t>kalem, çanta, saat, aksesuar, deri, pen, bag, clock, accessory, leather</t>
  </si>
  <si>
    <t>italyan, saat, takı, çanta, kolye, italian, clock, jewelry, bag, necklace, bulgari</t>
  </si>
  <si>
    <t>pasta, tatlı, çikolata, makaron, içecek, cake, dessert, chocolate, macaron, drink, rafıls patiseri</t>
  </si>
  <si>
    <t xml:space="preserve">+902129240200 </t>
  </si>
  <si>
    <t>makarna, salata, et, salata, balık, pasta, salad, meat, salad, fish, rokka braseri, brasserie</t>
  </si>
  <si>
    <t>Gran Cafe Eataly</t>
  </si>
  <si>
    <t>dondurma, kahve, çay, içecek, ice cream, coffee, tea, beverage</t>
  </si>
  <si>
    <t>Chloe</t>
  </si>
  <si>
    <t>moda, çanta, ayakkabı, aksesuar, fashion, bag, shoe, accessorie</t>
  </si>
  <si>
    <t>taxfree001</t>
  </si>
  <si>
    <t>Global Blue</t>
  </si>
  <si>
    <t>({“id”:”infodesk”} {“id”:”floorsquare”})</t>
  </si>
  <si>
    <t>vergi, iade, fatura, fiş, form, tax, refund, invoice, receipt, form, gılobıl bulu</t>
  </si>
  <si>
    <t>+902123536225</t>
  </si>
  <si>
    <t>+902124448969</t>
  </si>
  <si>
    <t>+902123536802</t>
  </si>
  <si>
    <t>wc103</t>
  </si>
  <si>
    <t>Status</t>
  </si>
  <si>
    <t>Elev.2.-2</t>
  </si>
  <si>
    <t>On</t>
  </si>
  <si>
    <t>Elev.3.-2</t>
  </si>
  <si>
    <t>Elev.4.-1</t>
  </si>
  <si>
    <t>Elev.5.0</t>
  </si>
  <si>
    <t>Elev.8.0</t>
  </si>
  <si>
    <t>Stairs.10.-2</t>
  </si>
  <si>
    <t>Stairs.11.-2</t>
  </si>
  <si>
    <t>Stairs.8.0</t>
  </si>
  <si>
    <t>Stairs.9.-2</t>
  </si>
  <si>
    <t>Elev.2.-1</t>
  </si>
  <si>
    <t>Elev.2.-3</t>
  </si>
  <si>
    <t>Elev.3.-1</t>
  </si>
  <si>
    <t>Elev.3.-3</t>
  </si>
  <si>
    <t>Stairs.10.-1</t>
  </si>
  <si>
    <t>Stairs.10.-3</t>
  </si>
  <si>
    <t>Stairs.11.-3</t>
  </si>
  <si>
    <t>Stairs.6.-1</t>
  </si>
  <si>
    <t>Stairs.9.-3</t>
  </si>
  <si>
    <t>Elev.2.0</t>
  </si>
  <si>
    <t>Elev.2.1</t>
  </si>
  <si>
    <t>Elev.3.0</t>
  </si>
  <si>
    <t>Elev.4.-3</t>
  </si>
  <si>
    <t>Elev.4.0</t>
  </si>
  <si>
    <t>Elev.9.1</t>
  </si>
  <si>
    <t>Stairs.3.0</t>
  </si>
  <si>
    <t>Stairs.4.0</t>
  </si>
  <si>
    <t>Stairs.5.0</t>
  </si>
  <si>
    <t>Stairs.6.-2</t>
  </si>
  <si>
    <t>Stairs.6.0</t>
  </si>
  <si>
    <t>Stairs.7.0</t>
  </si>
  <si>
    <t>Elev.1.1</t>
  </si>
  <si>
    <t>Elev.5.-3</t>
  </si>
  <si>
    <t>Elev.6.1</t>
  </si>
  <si>
    <t>Elev.8.-3</t>
  </si>
  <si>
    <t>Elev.8.1</t>
  </si>
  <si>
    <t>Stairs.1.1</t>
  </si>
  <si>
    <t>Stairs.2.1</t>
  </si>
  <si>
    <t>Stairs.3.-1</t>
  </si>
  <si>
    <t>Stairs.4.-1</t>
  </si>
  <si>
    <t>Stairs.5.-1</t>
  </si>
  <si>
    <t>Stairs.7.-1</t>
  </si>
  <si>
    <t>Stairs.8.-3</t>
  </si>
  <si>
    <t>Stairs.9.1</t>
  </si>
  <si>
    <t>Elev.1.0</t>
  </si>
  <si>
    <t>Elev.6.0</t>
  </si>
  <si>
    <t>Elev.9.-1</t>
  </si>
  <si>
    <t>Stairs.1.0</t>
  </si>
  <si>
    <t>Stairs.2.0</t>
  </si>
  <si>
    <t>Stairs.9.0</t>
  </si>
  <si>
    <t>Angle</t>
  </si>
  <si>
    <t>W1</t>
  </si>
  <si>
    <t>H1</t>
  </si>
  <si>
    <t>W2</t>
  </si>
  <si>
    <t>H2</t>
  </si>
  <si>
    <t>Lat1</t>
  </si>
  <si>
    <t>Long1</t>
  </si>
  <si>
    <t>Lat2</t>
  </si>
  <si>
    <t>Long2</t>
  </si>
  <si>
    <t>Wground</t>
  </si>
  <si>
    <t>Hground</t>
  </si>
  <si>
    <t>Dground</t>
  </si>
  <si>
    <t>Dmap</t>
  </si>
  <si>
    <t>W/H</t>
  </si>
  <si>
    <t>Wground/Hground</t>
  </si>
  <si>
    <t>var map center</t>
  </si>
  <si>
    <t>var bounds</t>
  </si>
  <si>
    <t>var maxBounds</t>
  </si>
  <si>
    <t>L.inmapperOverlay scale</t>
  </si>
  <si>
    <t>IP</t>
  </si>
  <si>
    <t>URL</t>
  </si>
  <si>
    <t>Konum</t>
  </si>
  <si>
    <t>Kat</t>
  </si>
  <si>
    <t>Tip</t>
  </si>
  <si>
    <t>Yorum</t>
  </si>
  <si>
    <t>Liste</t>
  </si>
  <si>
    <t>Kod</t>
  </si>
  <si>
    <t>Yön</t>
  </si>
  <si>
    <t>Boyut</t>
  </si>
  <si>
    <t>Notlar</t>
  </si>
  <si>
    <t>K-301</t>
  </si>
  <si>
    <t>192.168.187.51</t>
  </si>
  <si>
    <t>Güney otopark</t>
  </si>
  <si>
    <t>Yatay</t>
  </si>
  <si>
    <t>wh</t>
  </si>
  <si>
    <t>Batı (+30 saat yönü)</t>
  </si>
  <si>
    <t>692x490</t>
  </si>
  <si>
    <t>Kaldırılmış.</t>
  </si>
  <si>
    <t>K-302</t>
  </si>
  <si>
    <t>192.168.187.52</t>
  </si>
  <si>
    <t>Balonika önü</t>
  </si>
  <si>
    <t>P1 Otopark</t>
  </si>
  <si>
    <t>Kalktı mı?</t>
  </si>
  <si>
    <t>eh</t>
  </si>
  <si>
    <t>Doğu (+30 saat yönü)</t>
  </si>
  <si>
    <t>X-WW</t>
  </si>
  <si>
    <t>http://192.168.187.30:8000/</t>
  </si>
  <si>
    <t>.html?mode=kiosk&amp;from=</t>
  </si>
  <si>
    <t>K-203</t>
  </si>
  <si>
    <t>192.168.187.53</t>
  </si>
  <si>
    <t>House of Design yanı, Metro girişi</t>
  </si>
  <si>
    <t>-2 Metro</t>
  </si>
  <si>
    <t>ripple, RESTART_CHECK</t>
  </si>
  <si>
    <t>sh</t>
  </si>
  <si>
    <t>Güney (+30 saat yönü)</t>
  </si>
  <si>
    <t>490x692</t>
  </si>
  <si>
    <t>K-204</t>
  </si>
  <si>
    <t>192.168.187.54</t>
  </si>
  <si>
    <t>Tartine et Chocolat önü</t>
  </si>
  <si>
    <t>K-207</t>
  </si>
  <si>
    <t>192.168.187.55</t>
  </si>
  <si>
    <t>H&amp;M önü, Penti tarafı</t>
  </si>
  <si>
    <t>msedge, RESTART_CHECK</t>
  </si>
  <si>
    <t>nh</t>
  </si>
  <si>
    <t>Kuzey (+30 saat yönü)</t>
  </si>
  <si>
    <t>W</t>
  </si>
  <si>
    <t>Dokunmatiği çalışmıyor.</t>
  </si>
  <si>
    <t>K-206</t>
  </si>
  <si>
    <t>192.168.187.56</t>
  </si>
  <si>
    <t>H&amp;M önü, Perspective tarafı</t>
  </si>
  <si>
    <t>RESTART, ripple</t>
  </si>
  <si>
    <t>X</t>
  </si>
  <si>
    <t>K-110</t>
  </si>
  <si>
    <t>192.168.187.100</t>
  </si>
  <si>
    <t>Apple (Boğaz) önü, Zen Pırlanta tarafı</t>
  </si>
  <si>
    <t>-1 Boğaz</t>
  </si>
  <si>
    <t>K-108</t>
  </si>
  <si>
    <t>192.168.187.58</t>
  </si>
  <si>
    <t>Apple (Boğaz) önü, Lacoste tarafı</t>
  </si>
  <si>
    <t>radmin</t>
  </si>
  <si>
    <t>Görsel geçişi sorunlu. / Formatlandı.</t>
  </si>
  <si>
    <t>K-109</t>
  </si>
  <si>
    <t>192.168.187.59</t>
  </si>
  <si>
    <t>Levazım girişi, Brooks Brothers karşısı</t>
  </si>
  <si>
    <t>K021</t>
  </si>
  <si>
    <t>192.168.187.60</t>
  </si>
  <si>
    <t>Meydan katı Metro çıkışı, Sail Loft Vakkorama önde kalacak</t>
  </si>
  <si>
    <t>0 Meydan</t>
  </si>
  <si>
    <t>Dikey</t>
  </si>
  <si>
    <t>sv</t>
  </si>
  <si>
    <t>Görsel geçişi sorunlu. / Dokunmatiği çalışmıyor.</t>
  </si>
  <si>
    <t>K022</t>
  </si>
  <si>
    <t>192.168.187.61</t>
  </si>
  <si>
    <t>Vakko önü, Vakko sağda kalacak</t>
  </si>
  <si>
    <t>RADMIN, CONN_CHECK</t>
  </si>
  <si>
    <t>K012</t>
  </si>
  <si>
    <t>192.168.187.62</t>
  </si>
  <si>
    <t>Godiva yanı, asansör önü</t>
  </si>
  <si>
    <t>K014</t>
  </si>
  <si>
    <t>192.168.187.64</t>
  </si>
  <si>
    <t>Parle önü, Apple camı arkada kalacak</t>
  </si>
  <si>
    <t>nv</t>
  </si>
  <si>
    <t>K025</t>
  </si>
  <si>
    <t>192.168.187.65</t>
  </si>
  <si>
    <t>Dolce&amp;Gabbana önü, Dolce&amp;Gabbana sağda kalacak</t>
  </si>
  <si>
    <t>K016</t>
  </si>
  <si>
    <t>192.168.187.66</t>
  </si>
  <si>
    <t>Saray Muhallebicisi önü</t>
  </si>
  <si>
    <t>ripple</t>
  </si>
  <si>
    <t>Formatlandı. / Kapatıldı.</t>
  </si>
  <si>
    <t>K118</t>
  </si>
  <si>
    <t>192.168.187.68</t>
  </si>
  <si>
    <t>Miele önü, merdiven çıkışı</t>
  </si>
  <si>
    <t>1 Köprü</t>
  </si>
  <si>
    <t>K119</t>
  </si>
  <si>
    <t>192.168.187.69</t>
  </si>
  <si>
    <t>Zanzibar önü, Zanzibar önde kalacak</t>
  </si>
  <si>
    <t>K024</t>
  </si>
  <si>
    <t>192.168.187.74</t>
  </si>
  <si>
    <t>Parle önü, Apple camı önde kalacak</t>
  </si>
  <si>
    <t>K120</t>
  </si>
  <si>
    <t>192.168.187.70</t>
  </si>
  <si>
    <t>Funloft yanı</t>
  </si>
  <si>
    <t>Yeniden başlamış gibi. / Formatlandı.</t>
  </si>
  <si>
    <t>K010</t>
  </si>
  <si>
    <t>192.168.187.71</t>
  </si>
  <si>
    <t>Meydan katı Metro çıkışı, Sail Loft Vakkorama arkada kalacak</t>
  </si>
  <si>
    <t>CONN_CHECK</t>
  </si>
  <si>
    <t>Dokunmatik sorunu var, Vestel bakacak. / Düzeldi.</t>
  </si>
  <si>
    <t>K011</t>
  </si>
  <si>
    <t>192.168.187.72</t>
  </si>
  <si>
    <t>Vakko önü, Vakko solda kalacak</t>
  </si>
  <si>
    <t>Görsel geçişi sorunlu.</t>
  </si>
  <si>
    <t>K015</t>
  </si>
  <si>
    <t>192.168.187.75</t>
  </si>
  <si>
    <t>Dolce&amp;Gabbana önü, Dolce&amp;Gabbana solda kalacak</t>
  </si>
  <si>
    <t>Formatlandı.</t>
  </si>
  <si>
    <t>K023</t>
  </si>
  <si>
    <t>192.168.187.77</t>
  </si>
  <si>
    <t>Ulus girişi</t>
  </si>
  <si>
    <t>K127</t>
  </si>
  <si>
    <t>Zanzibar önü, Zanzibar arkada kalacak</t>
  </si>
  <si>
    <t>TST</t>
  </si>
  <si>
    <t>192.168.187.46</t>
  </si>
  <si>
    <t>65"</t>
  </si>
  <si>
    <t>192.168.187.47</t>
  </si>
  <si>
    <t>K-205</t>
  </si>
  <si>
    <t>Apple (Metro) önü</t>
  </si>
  <si>
    <t>Formatlandı. / 14.05.2020'ye kadar kalktı</t>
  </si>
  <si>
    <t>K-107</t>
  </si>
  <si>
    <t>192.168.187.57</t>
  </si>
  <si>
    <t>Zip Car önü</t>
  </si>
  <si>
    <t>192.168.187.73</t>
  </si>
  <si>
    <t>Five O'Clock önü, Sokak önde kalacak</t>
  </si>
  <si>
    <t>ev</t>
  </si>
  <si>
    <t>K013</t>
  </si>
  <si>
    <t>192.168.187.63</t>
  </si>
  <si>
    <t>Five O'Clock önü, Sokak arkada kalacak</t>
  </si>
  <si>
    <t>wv</t>
  </si>
  <si>
    <t>K026</t>
  </si>
  <si>
    <t>192.168.187.76</t>
  </si>
  <si>
    <t>Tiffany önü, Sokak arkada kalacak</t>
  </si>
  <si>
    <t>K017</t>
  </si>
  <si>
    <t>192.168.187.67</t>
  </si>
  <si>
    <t>Tiffany önü, Sokak önde kalacak</t>
  </si>
  <si>
    <t>QR</t>
  </si>
  <si>
    <t>Link</t>
  </si>
  <si>
    <t>QR101</t>
  </si>
  <si>
    <t>https://zorlucenter.inmapper.com/qr/?id=1</t>
  </si>
  <si>
    <t>Kafe Vesto Yanı</t>
  </si>
  <si>
    <t>QR001</t>
  </si>
  <si>
    <t>https://zorlucenter.inmapper.com/qr/?id=2</t>
  </si>
  <si>
    <t>Vakkorama Önü</t>
  </si>
  <si>
    <t>QR002</t>
  </si>
  <si>
    <t>https://zorlucenter.inmapper.com/qr/?id=3</t>
  </si>
  <si>
    <t>QR003</t>
  </si>
  <si>
    <t>https://zorlucenter.inmapper.com/qr/?id=4</t>
  </si>
  <si>
    <t>QR004</t>
  </si>
  <si>
    <t>https://zorlucenter.inmapper.com/qr/?id=5</t>
  </si>
  <si>
    <t>Valentino Önü</t>
  </si>
  <si>
    <t>QR005</t>
  </si>
  <si>
    <t>https://zorlucenter.inmapper.com/qr/?id=6</t>
  </si>
  <si>
    <t>Balenciage Önü</t>
  </si>
  <si>
    <t>QR006</t>
  </si>
  <si>
    <t>https://zorlucenter.inmapper.com/qr/?id=7</t>
  </si>
  <si>
    <t>Nespresso Önü</t>
  </si>
  <si>
    <t>QR007</t>
  </si>
  <si>
    <t>https://zorlucenter.inmapper.com/qr/?id=8</t>
  </si>
  <si>
    <t>BigChefs Önü</t>
  </si>
  <si>
    <t>QR008</t>
  </si>
  <si>
    <t>https://zorlucenter.inmapper.com/qr/?id=9</t>
  </si>
  <si>
    <t>Tommi Brasserie Önü</t>
  </si>
  <si>
    <t>QR009</t>
  </si>
  <si>
    <t>https://zorlucenter.inmapper.com/qr/?id=10</t>
  </si>
  <si>
    <t>Saray Muhallebicisi Önü</t>
  </si>
  <si>
    <t>QR010</t>
  </si>
  <si>
    <t>https://zorlucenter.inmapper.com/qr/?id=11</t>
  </si>
  <si>
    <t>Five O'Clock Önü</t>
  </si>
  <si>
    <t>QR011</t>
  </si>
  <si>
    <t>https://zorlucenter.inmapper.com/qr/?id=12</t>
  </si>
  <si>
    <t>Fauchon Paris Önü</t>
  </si>
  <si>
    <t>QR-101</t>
  </si>
  <si>
    <t>https://zorlucenter.inmapper.com/qr/?id=13</t>
  </si>
  <si>
    <t>Tobacco Shop Önü</t>
  </si>
  <si>
    <t>QR-102</t>
  </si>
  <si>
    <t>https://zorlucenter.inmapper.com/qr/?id=14</t>
  </si>
  <si>
    <t>Intimissimi Önü</t>
  </si>
  <si>
    <t>QR-103</t>
  </si>
  <si>
    <t>https://zorlucenter.inmapper.com/qr/?id=15</t>
  </si>
  <si>
    <t>Remzi Kitapevi Önü</t>
  </si>
  <si>
    <t>QR-104</t>
  </si>
  <si>
    <t>https://zorlucenter.inmapper.com/qr/?id=16</t>
  </si>
  <si>
    <t>Divarese Önü</t>
  </si>
  <si>
    <t>QR-105</t>
  </si>
  <si>
    <t>https://zorlucenter.inmapper.com/qr/?id=17</t>
  </si>
  <si>
    <t>COS Önü</t>
  </si>
  <si>
    <t>QR-106</t>
  </si>
  <si>
    <t>https://zorlucenter.inmapper.com/qr/?id=18</t>
  </si>
  <si>
    <t>Caffe Nero Önü</t>
  </si>
  <si>
    <t>QR-107</t>
  </si>
  <si>
    <t>https://zorlucenter.inmapper.com/qr/?id=19</t>
  </si>
  <si>
    <t>Sosa Önü</t>
  </si>
  <si>
    <t>QR-108</t>
  </si>
  <si>
    <t>https://zorlucenter.inmapper.com/qr/?id=20</t>
  </si>
  <si>
    <t>McDonald's Önü</t>
  </si>
  <si>
    <t>QR-109</t>
  </si>
  <si>
    <t>https://zorlucenter.inmapper.com/qr/?id=21</t>
  </si>
  <si>
    <t>Döner Stop Önü</t>
  </si>
  <si>
    <t>QR-110</t>
  </si>
  <si>
    <t>https://zorlucenter.inmapper.com/qr/?id=22</t>
  </si>
  <si>
    <t>Pidem Önü</t>
  </si>
  <si>
    <t>QR-111</t>
  </si>
  <si>
    <t>https://zorlucenter.inmapper.com/qr/?id=23</t>
  </si>
  <si>
    <t>Ramsey Önü</t>
  </si>
  <si>
    <t>QR-112</t>
  </si>
  <si>
    <t>https://zorlucenter.inmapper.com/qr/?id=24</t>
  </si>
  <si>
    <t>Atasay Önü</t>
  </si>
  <si>
    <t>QR-201</t>
  </si>
  <si>
    <t>https://zorlucenter.inmapper.com/qr/?id=25</t>
  </si>
  <si>
    <t>Emo Optik Önü</t>
  </si>
  <si>
    <t>QR-202</t>
  </si>
  <si>
    <t>https://zorlucenter.inmapper.com/qr/?id=26</t>
  </si>
  <si>
    <t>Döviz Zor Önü</t>
  </si>
  <si>
    <t>QR-203</t>
  </si>
  <si>
    <t>https://zorlucenter.inmapper.com/qr/?id=27</t>
  </si>
  <si>
    <t>-2 Info Önü</t>
  </si>
  <si>
    <t>QR-204</t>
  </si>
  <si>
    <t>https://zorlucenter.inmapper.com/qr/?id=28</t>
  </si>
  <si>
    <t>Starbucks Önü</t>
  </si>
  <si>
    <t>QR-205</t>
  </si>
  <si>
    <t>https://zorlucenter.inmapper.com/qr/?id=29</t>
  </si>
  <si>
    <t>Victoria's Secret Pink Önü</t>
  </si>
  <si>
    <t>QR-206</t>
  </si>
  <si>
    <t>https://zorlucenter.inmapper.com/qr/?id=30</t>
  </si>
  <si>
    <t>Yves Rocher Önü</t>
  </si>
  <si>
    <t>QR-301</t>
  </si>
  <si>
    <t>https://zorlucenter.inmapper.com/qr/?id=31</t>
  </si>
  <si>
    <t>Levent Lostra Önü</t>
  </si>
  <si>
    <t>QR-302</t>
  </si>
  <si>
    <t>https://zorlucenter.inmapper.com/qr/?id=32</t>
  </si>
  <si>
    <t>Levazım Otopark</t>
  </si>
  <si>
    <t>No</t>
  </si>
  <si>
    <t xml:space="preserve"> </t>
  </si>
  <si>
    <t>Name</t>
  </si>
  <si>
    <t>Zara-</t>
  </si>
  <si>
    <t>Bonesserie İstanbul-</t>
  </si>
  <si>
    <t>Eat-</t>
  </si>
  <si>
    <t>Zula-</t>
  </si>
  <si>
    <t>Star-</t>
  </si>
  <si>
    <t>Ea-</t>
  </si>
  <si>
    <t>H-</t>
  </si>
  <si>
    <t>Sta-</t>
  </si>
  <si>
    <t>H&amp;m-</t>
  </si>
  <si>
    <t>Hm-</t>
  </si>
  <si>
    <t>Media-</t>
  </si>
  <si>
    <t>Big-</t>
  </si>
  <si>
    <t>Dr-</t>
  </si>
  <si>
    <t>Zar-</t>
  </si>
  <si>
    <t>Med-</t>
  </si>
  <si>
    <t>zara-</t>
  </si>
  <si>
    <t>App-</t>
  </si>
  <si>
    <t>Macro-</t>
  </si>
  <si>
    <t>Mango-</t>
  </si>
  <si>
    <t>Mavi-</t>
  </si>
  <si>
    <t>Za-</t>
  </si>
  <si>
    <t>Apple-</t>
  </si>
  <si>
    <t>Bey-</t>
  </si>
  <si>
    <t>D&amp;r-</t>
  </si>
  <si>
    <t>Zul-</t>
  </si>
  <si>
    <t>eat-</t>
  </si>
  <si>
    <t>Fun-</t>
  </si>
  <si>
    <t>Wat-</t>
  </si>
  <si>
    <t>Paşa-</t>
  </si>
  <si>
    <t>Toy-</t>
  </si>
  <si>
    <t>D&amp;R-</t>
  </si>
  <si>
    <t>Medi-</t>
  </si>
  <si>
    <t>Tax-</t>
  </si>
  <si>
    <t>Tax Free Zone (Info Desk)</t>
  </si>
  <si>
    <t>Well-</t>
  </si>
  <si>
    <t>Akbank (ATM)</t>
  </si>
  <si>
    <t>Nike-</t>
  </si>
  <si>
    <t>zula-</t>
  </si>
  <si>
    <t>Garanti BBVA (ATM)</t>
  </si>
  <si>
    <t>Beymen-</t>
  </si>
  <si>
    <t>Bon-</t>
  </si>
  <si>
    <t>Happ-</t>
  </si>
  <si>
    <t>Happy-</t>
  </si>
  <si>
    <t>Zu-</t>
  </si>
  <si>
    <t>star-</t>
  </si>
  <si>
    <t>Tur-</t>
  </si>
  <si>
    <t>Appl-</t>
  </si>
  <si>
    <t>Cos-</t>
  </si>
  <si>
    <t>St-</t>
  </si>
  <si>
    <t>Wats-</t>
  </si>
  <si>
    <t>_x0010_0 Pub</t>
  </si>
  <si>
    <t>Nero-</t>
  </si>
  <si>
    <t>Eng-</t>
  </si>
  <si>
    <t>Ma-</t>
  </si>
  <si>
    <t>Ad-</t>
  </si>
  <si>
    <t>Gap-</t>
  </si>
  <si>
    <t>Mass-</t>
  </si>
  <si>
    <t>Cup-</t>
  </si>
  <si>
    <t>d&amp;r-</t>
  </si>
  <si>
    <t>Mac-</t>
  </si>
  <si>
    <t>Ves-</t>
  </si>
  <si>
    <t>wat-</t>
  </si>
  <si>
    <t>Nes-</t>
  </si>
  <si>
    <t>Pand-</t>
  </si>
  <si>
    <t>Saray-</t>
  </si>
  <si>
    <t>Sk-</t>
  </si>
  <si>
    <t>voi-</t>
  </si>
  <si>
    <t>Pha-</t>
  </si>
  <si>
    <t>Pharmacy Zorlu Center</t>
  </si>
  <si>
    <t>Lev-</t>
  </si>
  <si>
    <t>Mang-</t>
  </si>
  <si>
    <t>Massi-</t>
  </si>
  <si>
    <t>Mav-</t>
  </si>
  <si>
    <t>Vakko-</t>
  </si>
  <si>
    <t>Vic-</t>
  </si>
  <si>
    <t>Wa-</t>
  </si>
  <si>
    <t>cos-</t>
  </si>
  <si>
    <t>ATM</t>
  </si>
  <si>
    <t>Pandora-</t>
  </si>
  <si>
    <t>Se-</t>
  </si>
  <si>
    <t>Sep-</t>
  </si>
  <si>
    <t>Watson-</t>
  </si>
  <si>
    <t>Mem-</t>
  </si>
  <si>
    <t>Memo-</t>
  </si>
  <si>
    <t>Parle-</t>
  </si>
  <si>
    <t>Pers-</t>
  </si>
  <si>
    <t>Phar-</t>
  </si>
  <si>
    <t>Polo-</t>
  </si>
  <si>
    <t>Sus-</t>
  </si>
  <si>
    <t>Sushi-</t>
  </si>
  <si>
    <t>Voi-</t>
  </si>
  <si>
    <t>Mon-</t>
  </si>
  <si>
    <t>Türkiye İş Bankası (ATM)</t>
  </si>
  <si>
    <t>Asi-</t>
  </si>
  <si>
    <t>Dnr-</t>
  </si>
  <si>
    <t>Dys-</t>
  </si>
  <si>
    <t>Eataly-</t>
  </si>
  <si>
    <t>God-</t>
  </si>
  <si>
    <t>Godiva-</t>
  </si>
  <si>
    <t>H -</t>
  </si>
  <si>
    <t>H&amp;-</t>
  </si>
  <si>
    <t>Lac-</t>
  </si>
  <si>
    <t>Macr-</t>
  </si>
  <si>
    <t>Mes-</t>
  </si>
  <si>
    <t>Mescit</t>
  </si>
  <si>
    <t>Net-</t>
  </si>
  <si>
    <t>Plus-</t>
  </si>
  <si>
    <t>Zan-</t>
  </si>
  <si>
    <t>app-</t>
  </si>
  <si>
    <t>zar-</t>
  </si>
  <si>
    <t>Me-</t>
  </si>
  <si>
    <t>Oniki Hukuk Bürosu</t>
  </si>
  <si>
    <t>Togg-</t>
  </si>
  <si>
    <t>happy-</t>
  </si>
  <si>
    <t>hm-</t>
  </si>
  <si>
    <t>Boho-</t>
  </si>
  <si>
    <t>Pando-</t>
  </si>
  <si>
    <t>nike-</t>
  </si>
  <si>
    <t>Adi-</t>
  </si>
  <si>
    <t>Adid-</t>
  </si>
  <si>
    <t>Adidas-</t>
  </si>
  <si>
    <t>Cal-</t>
  </si>
  <si>
    <t>Chakra-</t>
  </si>
  <si>
    <t>Eata-</t>
  </si>
  <si>
    <t>Levi-</t>
  </si>
  <si>
    <t>Lo-</t>
  </si>
  <si>
    <t>Man-</t>
  </si>
  <si>
    <t>Massim-</t>
  </si>
  <si>
    <t>Parl-</t>
  </si>
  <si>
    <t>Paş-</t>
  </si>
  <si>
    <t>Remzi-</t>
  </si>
  <si>
    <t>Ros-</t>
  </si>
  <si>
    <t>Ross-</t>
  </si>
  <si>
    <t>Seph-</t>
  </si>
  <si>
    <t>Sephora-</t>
  </si>
  <si>
    <t>Ske-</t>
  </si>
  <si>
    <t>Sush-</t>
  </si>
  <si>
    <t>Taxi</t>
  </si>
  <si>
    <t>To-</t>
  </si>
  <si>
    <t>Toba-</t>
  </si>
  <si>
    <t>Tomm-</t>
  </si>
  <si>
    <t>Twist-</t>
  </si>
  <si>
    <t>Vest-</t>
  </si>
  <si>
    <t>Watsons-</t>
  </si>
  <si>
    <t>h&amp;m-</t>
  </si>
  <si>
    <t>toy-</t>
  </si>
  <si>
    <t>Atm-</t>
  </si>
  <si>
    <t>Ex-</t>
  </si>
  <si>
    <t>Zor Exchange</t>
  </si>
  <si>
    <t>Mesci-</t>
  </si>
  <si>
    <t>Otop-</t>
  </si>
  <si>
    <t>Otopark</t>
  </si>
  <si>
    <t>Taxi-</t>
  </si>
  <si>
    <t>Tog-</t>
  </si>
  <si>
    <t>Vi-</t>
  </si>
  <si>
    <t>Halkbank (ATM)</t>
  </si>
  <si>
    <t>Yapı Kredi (ATM)</t>
  </si>
  <si>
    <t>As-</t>
  </si>
  <si>
    <t>Asic-</t>
  </si>
  <si>
    <t>Beym-</t>
  </si>
  <si>
    <t>Big -</t>
  </si>
  <si>
    <t>Burb-</t>
  </si>
  <si>
    <t>Can-</t>
  </si>
  <si>
    <t>Cha-</t>
  </si>
  <si>
    <t>Chane-</t>
  </si>
  <si>
    <t>Chanel-</t>
  </si>
  <si>
    <t>Coll-</t>
  </si>
  <si>
    <t>Colu-</t>
  </si>
  <si>
    <t>Die-</t>
  </si>
  <si>
    <t>Dior-</t>
  </si>
  <si>
    <t>Dyso-</t>
  </si>
  <si>
    <t>Eatal-</t>
  </si>
  <si>
    <t>Etaly-</t>
  </si>
  <si>
    <t>Go-</t>
  </si>
  <si>
    <t>Godi-</t>
  </si>
  <si>
    <t>Gree-</t>
  </si>
  <si>
    <t>Hap-</t>
  </si>
  <si>
    <t>Italy-</t>
  </si>
  <si>
    <t>Kahve-</t>
  </si>
  <si>
    <t>Lam-</t>
  </si>
  <si>
    <t>Mark-</t>
  </si>
  <si>
    <t>Market-</t>
  </si>
  <si>
    <t>Massimo-</t>
  </si>
  <si>
    <t>Mc-</t>
  </si>
  <si>
    <t>Mers-</t>
  </si>
  <si>
    <t>Nesp-</t>
  </si>
  <si>
    <t>Nev-</t>
  </si>
  <si>
    <t>Oto-</t>
  </si>
  <si>
    <t>Park-</t>
  </si>
  <si>
    <t>Car Park</t>
  </si>
  <si>
    <t>Pasa-</t>
  </si>
  <si>
    <t>Penti-</t>
  </si>
  <si>
    <t>Plu-</t>
  </si>
  <si>
    <t>Starb-</t>
  </si>
  <si>
    <t>Starbucks-</t>
  </si>
  <si>
    <t>Sup-</t>
  </si>
  <si>
    <t>Super-</t>
  </si>
  <si>
    <t>Sw-</t>
  </si>
  <si>
    <t>Tob-</t>
  </si>
  <si>
    <t>Toyz-</t>
  </si>
  <si>
    <t>Turk-</t>
  </si>
  <si>
    <t>Vakk-</t>
  </si>
  <si>
    <t>Valen-</t>
  </si>
  <si>
    <t>Veste-</t>
  </si>
  <si>
    <t>Vict-</t>
  </si>
  <si>
    <t>Wel-</t>
  </si>
  <si>
    <t>Z-</t>
  </si>
  <si>
    <t>apple-</t>
  </si>
  <si>
    <t>mass-</t>
  </si>
  <si>
    <t>saray-</t>
  </si>
  <si>
    <t>st-</t>
  </si>
  <si>
    <t>sus-</t>
  </si>
  <si>
    <t>wats-</t>
  </si>
  <si>
    <t>watson-</t>
  </si>
  <si>
    <t>well-</t>
  </si>
  <si>
    <t>Cam-</t>
  </si>
  <si>
    <t>Canti-</t>
  </si>
  <si>
    <t>Design Market-</t>
  </si>
  <si>
    <t>Diese-</t>
  </si>
  <si>
    <t>Gara-</t>
  </si>
  <si>
    <t>Kfc-</t>
  </si>
  <si>
    <t>Moc-</t>
  </si>
  <si>
    <t>Psm-</t>
  </si>
  <si>
    <t>Zorlu PSM Boğaz Katı</t>
  </si>
  <si>
    <t>Restroo-</t>
  </si>
  <si>
    <t>Restroom</t>
  </si>
  <si>
    <t>Skec-</t>
  </si>
  <si>
    <t>Tomy-</t>
  </si>
  <si>
    <t>camper-</t>
  </si>
  <si>
    <t>dr-</t>
  </si>
  <si>
    <t>mac-</t>
  </si>
  <si>
    <t>market-</t>
  </si>
  <si>
    <t>Sab-</t>
  </si>
  <si>
    <t>boho-</t>
  </si>
  <si>
    <t>en-</t>
  </si>
  <si>
    <t>pand-</t>
  </si>
  <si>
    <t>pandora-</t>
  </si>
  <si>
    <t>togg-</t>
  </si>
  <si>
    <t>Abdu-</t>
  </si>
  <si>
    <t>Ale-</t>
  </si>
  <si>
    <t>Ap-</t>
  </si>
  <si>
    <t>Apple -</t>
  </si>
  <si>
    <t>Apple store-</t>
  </si>
  <si>
    <t>Ata-</t>
  </si>
  <si>
    <t>Atasa-</t>
  </si>
  <si>
    <t>Beyme-</t>
  </si>
  <si>
    <t>Big ch-</t>
  </si>
  <si>
    <t>Bo-</t>
  </si>
  <si>
    <t>Bob-</t>
  </si>
  <si>
    <t>Bowling-</t>
  </si>
  <si>
    <t>Cafe-</t>
  </si>
  <si>
    <t>Calze-</t>
  </si>
  <si>
    <t>Camper-</t>
  </si>
  <si>
    <t>Ch-</t>
  </si>
  <si>
    <t>Co-</t>
  </si>
  <si>
    <t>Col-</t>
  </si>
  <si>
    <t>Cr-</t>
  </si>
  <si>
    <t>Cu-</t>
  </si>
  <si>
    <t>Cup -</t>
  </si>
  <si>
    <t>Cup of -</t>
  </si>
  <si>
    <t>Curr-</t>
  </si>
  <si>
    <t>Divare-</t>
  </si>
  <si>
    <t>Dyson-</t>
  </si>
  <si>
    <t>Eatl-</t>
  </si>
  <si>
    <t>Ecz-</t>
  </si>
  <si>
    <t>Eczane Zorlu Center</t>
  </si>
  <si>
    <t>Infirmary</t>
  </si>
  <si>
    <t>En-</t>
  </si>
  <si>
    <t>Engli-</t>
  </si>
  <si>
    <t>Exchange Zor</t>
  </si>
  <si>
    <t>Fendi-</t>
  </si>
  <si>
    <t>Five-</t>
  </si>
  <si>
    <t>Garanti-</t>
  </si>
  <si>
    <t>Glo-</t>
  </si>
  <si>
    <t>Global-</t>
  </si>
  <si>
    <t>Gol-</t>
  </si>
  <si>
    <t>Golden-</t>
  </si>
  <si>
    <t>Gözlük-</t>
  </si>
  <si>
    <t>Gün-</t>
  </si>
  <si>
    <t>Günayd-</t>
  </si>
  <si>
    <t>H and m -</t>
  </si>
  <si>
    <t>H&amp;M-</t>
  </si>
  <si>
    <t>Hai-</t>
  </si>
  <si>
    <t>Ital-</t>
  </si>
  <si>
    <t>Jbl-</t>
  </si>
  <si>
    <t>Kie-</t>
  </si>
  <si>
    <t>Kitap-</t>
  </si>
  <si>
    <t>Laco-</t>
  </si>
  <si>
    <t>Levis-</t>
  </si>
  <si>
    <t>Lin-</t>
  </si>
  <si>
    <t>Loc-</t>
  </si>
  <si>
    <t>Loui-</t>
  </si>
  <si>
    <t>Makr-</t>
  </si>
  <si>
    <t>Makro-</t>
  </si>
  <si>
    <t>Mas-</t>
  </si>
  <si>
    <t>Masjid</t>
  </si>
  <si>
    <t>Mer-</t>
  </si>
  <si>
    <t>Mesc-</t>
  </si>
  <si>
    <t>Metro-</t>
  </si>
  <si>
    <t>Subway Metrobus</t>
  </si>
  <si>
    <t>Mie-</t>
  </si>
  <si>
    <t>Mori-</t>
  </si>
  <si>
    <t>Nik-</t>
  </si>
  <si>
    <t>Nu-</t>
  </si>
  <si>
    <t>Opti-</t>
  </si>
  <si>
    <t>Otopark Giriş Levazım</t>
  </si>
  <si>
    <t>Oyun-</t>
  </si>
  <si>
    <t>Pasab-</t>
  </si>
  <si>
    <t>Paşabahçe-</t>
  </si>
  <si>
    <t>Pen-</t>
  </si>
  <si>
    <t>Pene-</t>
  </si>
  <si>
    <t>Pray-</t>
  </si>
  <si>
    <t>Prayer-</t>
  </si>
  <si>
    <t>Ps-</t>
  </si>
  <si>
    <t>Zorlu PSM Square Floor</t>
  </si>
  <si>
    <t>Re-</t>
  </si>
  <si>
    <t>Rolex-</t>
  </si>
  <si>
    <t>Saat-</t>
  </si>
  <si>
    <t>Sai-</t>
  </si>
  <si>
    <t>Sara-</t>
  </si>
  <si>
    <t>Sevil-</t>
  </si>
  <si>
    <t>Sn-</t>
  </si>
  <si>
    <t>Starbu-</t>
  </si>
  <si>
    <t>Su-</t>
  </si>
  <si>
    <t>Tax -</t>
  </si>
  <si>
    <t>Tiffa-</t>
  </si>
  <si>
    <t>Tobacc-</t>
  </si>
  <si>
    <t>Tod-</t>
  </si>
  <si>
    <t>Toilet-</t>
  </si>
  <si>
    <t>Tou-</t>
  </si>
  <si>
    <t>Toys-</t>
  </si>
  <si>
    <t>Turkc-</t>
  </si>
  <si>
    <t>Twis-</t>
  </si>
  <si>
    <t>Va-</t>
  </si>
  <si>
    <t>Vakkorama-</t>
  </si>
  <si>
    <t>Vale-</t>
  </si>
  <si>
    <t>Vari-</t>
  </si>
  <si>
    <t>Vestel-</t>
  </si>
  <si>
    <t>Vesto-</t>
  </si>
  <si>
    <t>Victo-</t>
  </si>
  <si>
    <t>We-</t>
  </si>
  <si>
    <t>Yve-</t>
  </si>
  <si>
    <t>Yves-</t>
  </si>
  <si>
    <t>Zanzi-</t>
  </si>
  <si>
    <t>big-</t>
  </si>
  <si>
    <t>ea-</t>
  </si>
  <si>
    <t>happ-</t>
  </si>
  <si>
    <t>ital-</t>
  </si>
  <si>
    <t>levi-</t>
  </si>
  <si>
    <t>levis-</t>
  </si>
  <si>
    <t>macr-</t>
  </si>
  <si>
    <t>massi-</t>
  </si>
  <si>
    <t>mavi-</t>
  </si>
  <si>
    <t>park-</t>
  </si>
  <si>
    <t>polo-</t>
  </si>
  <si>
    <t>psm-</t>
  </si>
  <si>
    <t>Zorlu PSM Meydan Katı</t>
  </si>
  <si>
    <t>sne-</t>
  </si>
  <si>
    <t>starb-</t>
  </si>
  <si>
    <t>tax-</t>
  </si>
  <si>
    <t>tiff-</t>
  </si>
  <si>
    <t>tommy-</t>
  </si>
  <si>
    <t>vakko-</t>
  </si>
  <si>
    <t>vict-</t>
  </si>
  <si>
    <t>watso-</t>
  </si>
  <si>
    <t>za-</t>
  </si>
  <si>
    <t>zu-</t>
  </si>
  <si>
    <t>çıkış-</t>
  </si>
  <si>
    <t>Giriş Zincirlikuyu</t>
  </si>
  <si>
    <t>İp-</t>
  </si>
  <si>
    <t>İpe-</t>
  </si>
  <si>
    <t>Akbank-</t>
  </si>
  <si>
    <t>Akbank (Şube)</t>
  </si>
  <si>
    <t>Cinema-</t>
  </si>
  <si>
    <t>Dudu-</t>
  </si>
  <si>
    <t>Elek-</t>
  </si>
  <si>
    <t>Funlo-</t>
  </si>
  <si>
    <t>Grocer-</t>
  </si>
  <si>
    <t>Levazım-</t>
  </si>
  <si>
    <t>Giriş Levazım</t>
  </si>
  <si>
    <t>Moncler-</t>
  </si>
  <si>
    <t>Network-</t>
  </si>
  <si>
    <t>Nıke-</t>
  </si>
  <si>
    <t>Tu-</t>
  </si>
  <si>
    <t>abdu-</t>
  </si>
  <si>
    <t>adid-</t>
  </si>
  <si>
    <t>d r-</t>
  </si>
  <si>
    <t>dag-</t>
  </si>
  <si>
    <t>lou-</t>
  </si>
  <si>
    <t>mango-</t>
  </si>
  <si>
    <t>otop-</t>
  </si>
  <si>
    <t>sag-</t>
  </si>
  <si>
    <t>İsokyo-</t>
  </si>
  <si>
    <t>_x0010_0-</t>
  </si>
  <si>
    <t>ADCO Sağlık Hizm. ve Tic. A.Ş.</t>
  </si>
  <si>
    <t>Akbank (Branch)</t>
  </si>
  <si>
    <t>Bob Valet Parking (Levazım/Beymen)</t>
  </si>
  <si>
    <t>Fun Master</t>
  </si>
  <si>
    <t>Info Desk</t>
  </si>
  <si>
    <t>değişken</t>
  </si>
  <si>
    <t>karavan</t>
  </si>
  <si>
    <t>mokassini</t>
  </si>
  <si>
    <t>1290-</t>
  </si>
  <si>
    <t>Ab-</t>
  </si>
  <si>
    <t>Abd-</t>
  </si>
  <si>
    <t>Abdul-</t>
  </si>
  <si>
    <t>Accessories -</t>
  </si>
  <si>
    <t>Adida-</t>
  </si>
  <si>
    <t>Akb-</t>
  </si>
  <si>
    <t>Ald-</t>
  </si>
  <si>
    <t>Aldo-</t>
  </si>
  <si>
    <t>Altı-</t>
  </si>
  <si>
    <t>Ame-</t>
  </si>
  <si>
    <t>Amet-</t>
  </si>
  <si>
    <t>Anti-</t>
  </si>
  <si>
    <t>Apple stor-</t>
  </si>
  <si>
    <t>Aras-</t>
  </si>
  <si>
    <t>Arby-</t>
  </si>
  <si>
    <t>Ari-</t>
  </si>
  <si>
    <t>Armani-</t>
  </si>
  <si>
    <t>Ash refund-</t>
  </si>
  <si>
    <t>Asicd-</t>
  </si>
  <si>
    <t>Asics-</t>
  </si>
  <si>
    <t>Assi-</t>
  </si>
  <si>
    <t>At-</t>
  </si>
  <si>
    <t>Atas-</t>
  </si>
  <si>
    <t>DenizBank (ATM)</t>
  </si>
  <si>
    <t>Aves-</t>
  </si>
  <si>
    <t>Ayakkabı -</t>
  </si>
  <si>
    <t>Ayakkabı-</t>
  </si>
  <si>
    <t>Açık -</t>
  </si>
  <si>
    <t>Açık-</t>
  </si>
  <si>
    <t>Ağple-</t>
  </si>
  <si>
    <t>Baby-</t>
  </si>
  <si>
    <t>Bakir-</t>
  </si>
  <si>
    <t>Bakır kazan-</t>
  </si>
  <si>
    <t>Bal-</t>
  </si>
  <si>
    <t>Bale-</t>
  </si>
  <si>
    <t>Balen-</t>
  </si>
  <si>
    <t>Bank-</t>
  </si>
  <si>
    <t>Barshka-</t>
  </si>
  <si>
    <t>Bath-</t>
  </si>
  <si>
    <t>Beand-</t>
  </si>
  <si>
    <t>Bebe-</t>
  </si>
  <si>
    <t>Ber g-</t>
  </si>
  <si>
    <t>Beymen vale-</t>
  </si>
  <si>
    <t>Beyö-</t>
  </si>
  <si>
    <t>Beyöe-</t>
  </si>
  <si>
    <t>Beyöen-</t>
  </si>
  <si>
    <t>Bg-</t>
  </si>
  <si>
    <t>Bictor-</t>
  </si>
  <si>
    <t>Bilgisayar -</t>
  </si>
  <si>
    <t>Blobs blue-</t>
  </si>
  <si>
    <t>Bob Vale Park (Ulus/Raffles)</t>
  </si>
  <si>
    <t>Boh-</t>
  </si>
  <si>
    <t>Bones-</t>
  </si>
  <si>
    <t>Boss-</t>
  </si>
  <si>
    <t>Botte-</t>
  </si>
  <si>
    <t>Bow-</t>
  </si>
  <si>
    <t>Bowli-</t>
  </si>
  <si>
    <t>Bowlin-</t>
  </si>
  <si>
    <t>Bra-</t>
  </si>
  <si>
    <t>Bran-</t>
  </si>
  <si>
    <t>Bro-</t>
  </si>
  <si>
    <t>Bulgar-</t>
  </si>
  <si>
    <t>Bur-</t>
  </si>
  <si>
    <t>Burberry kids-</t>
  </si>
  <si>
    <t>Burger-</t>
  </si>
  <si>
    <t>Byme-</t>
  </si>
  <si>
    <t>Byment-</t>
  </si>
  <si>
    <t>Bıg-</t>
  </si>
  <si>
    <t>CHP of joy-</t>
  </si>
  <si>
    <t>COS-</t>
  </si>
  <si>
    <t>Caf-</t>
  </si>
  <si>
    <t>Cake-</t>
  </si>
  <si>
    <t>Calv-</t>
  </si>
  <si>
    <t>Calvin clei-</t>
  </si>
  <si>
    <t>Camii-</t>
  </si>
  <si>
    <t>Camp-</t>
  </si>
  <si>
    <t>Cant-</t>
  </si>
  <si>
    <t>Cantinery-</t>
  </si>
  <si>
    <t>Car-</t>
  </si>
  <si>
    <t>Cashmere-</t>
  </si>
  <si>
    <t>Ce-</t>
  </si>
  <si>
    <t>Celine (Soon)</t>
  </si>
  <si>
    <t>Ceossing-</t>
  </si>
  <si>
    <t>Chak-</t>
  </si>
  <si>
    <t>Chan-</t>
  </si>
  <si>
    <t>Chann-</t>
  </si>
  <si>
    <t>Chef-</t>
  </si>
  <si>
    <t>Chennel-</t>
  </si>
  <si>
    <t>Cin-</t>
  </si>
  <si>
    <t>Colum-</t>
  </si>
  <si>
    <t>Colı-</t>
  </si>
  <si>
    <t>Cro-</t>
  </si>
  <si>
    <t>Crocs-</t>
  </si>
  <si>
    <t>Cros-</t>
  </si>
  <si>
    <t>Cup of-</t>
  </si>
  <si>
    <t>Currency -</t>
  </si>
  <si>
    <t>D R-</t>
  </si>
  <si>
    <t>D r-</t>
  </si>
  <si>
    <t>D&amp;-</t>
  </si>
  <si>
    <t>D&amp;r -</t>
  </si>
  <si>
    <t>D-</t>
  </si>
  <si>
    <t>DNR-</t>
  </si>
  <si>
    <t>Da-</t>
  </si>
  <si>
    <t>Dagi-</t>
  </si>
  <si>
    <t>Dama-</t>
  </si>
  <si>
    <t>Damat-</t>
  </si>
  <si>
    <t>Danı-</t>
  </si>
  <si>
    <t>Tax Free Zone (Danışma Masası)</t>
  </si>
  <si>
    <t>Desi-</t>
  </si>
  <si>
    <t>Dies-</t>
  </si>
  <si>
    <t>Divan-</t>
  </si>
  <si>
    <t>Divarese-</t>
  </si>
  <si>
    <t>Divars-</t>
  </si>
  <si>
    <t>Diır-</t>
  </si>
  <si>
    <t>Dn-</t>
  </si>
  <si>
    <t>Dolc-</t>
  </si>
  <si>
    <t>Dond-</t>
  </si>
  <si>
    <t>Dondurma-</t>
  </si>
  <si>
    <t>Doviz-</t>
  </si>
  <si>
    <t>Zor Döviz</t>
  </si>
  <si>
    <t>Dutti-</t>
  </si>
  <si>
    <t>Dy-</t>
  </si>
  <si>
    <t>Dö-</t>
  </si>
  <si>
    <t>Döner-</t>
  </si>
  <si>
    <t>Dövi-</t>
  </si>
  <si>
    <t>Döviz Zor</t>
  </si>
  <si>
    <t>Döviz -</t>
  </si>
  <si>
    <t>Dıor-</t>
  </si>
  <si>
    <t>E ately-</t>
  </si>
  <si>
    <t>E bebec-</t>
  </si>
  <si>
    <t>E-</t>
  </si>
  <si>
    <t>Easy-</t>
  </si>
  <si>
    <t>Eatil-</t>
  </si>
  <si>
    <t>Ec-</t>
  </si>
  <si>
    <t>Ecza-</t>
  </si>
  <si>
    <t>Eczane-</t>
  </si>
  <si>
    <t>Eczane</t>
  </si>
  <si>
    <t>Edi-</t>
  </si>
  <si>
    <t>Eell-</t>
  </si>
  <si>
    <t>Electrical -</t>
  </si>
  <si>
    <t>Electronic-</t>
  </si>
  <si>
    <t>Electronics-</t>
  </si>
  <si>
    <t>Elekt-</t>
  </si>
  <si>
    <t>Engi-</t>
  </si>
  <si>
    <t>Englis-</t>
  </si>
  <si>
    <t>English -</t>
  </si>
  <si>
    <t>English home-</t>
  </si>
  <si>
    <t>Eole-</t>
  </si>
  <si>
    <t>Erkek-</t>
  </si>
  <si>
    <t>Esta-</t>
  </si>
  <si>
    <t>Etally-</t>
  </si>
  <si>
    <t>Etiler çıkış-</t>
  </si>
  <si>
    <t>Ets-</t>
  </si>
  <si>
    <t>Ev -</t>
  </si>
  <si>
    <t>Exch-</t>
  </si>
  <si>
    <t>Exchang-</t>
  </si>
  <si>
    <t>Exchange -</t>
  </si>
  <si>
    <t>Exi-</t>
  </si>
  <si>
    <t>Entrance Levazım</t>
  </si>
  <si>
    <t>Exit-</t>
  </si>
  <si>
    <t>Fau-</t>
  </si>
  <si>
    <t>Finansbank -</t>
  </si>
  <si>
    <t>QNB Finansbank (ATM)</t>
  </si>
  <si>
    <t>Fiv-</t>
  </si>
  <si>
    <t>Fot-</t>
  </si>
  <si>
    <t>Game-</t>
  </si>
  <si>
    <t>ARN Game</t>
  </si>
  <si>
    <t>Games-</t>
  </si>
  <si>
    <t>Gl-</t>
  </si>
  <si>
    <t>Glasses-</t>
  </si>
  <si>
    <t>Glob-</t>
  </si>
  <si>
    <t>Godiv-</t>
  </si>
  <si>
    <t>Golde-</t>
  </si>
  <si>
    <t>Gre-</t>
  </si>
  <si>
    <t>Green park-</t>
  </si>
  <si>
    <t>Greenwi-</t>
  </si>
  <si>
    <t>Gril-</t>
  </si>
  <si>
    <t>Gu-</t>
  </si>
  <si>
    <t>Göz-</t>
  </si>
  <si>
    <t>Gü-</t>
  </si>
  <si>
    <t>Günaydın-</t>
  </si>
  <si>
    <t>H &amp; m-</t>
  </si>
  <si>
    <t>H&amp;m -</t>
  </si>
  <si>
    <t>H.m-</t>
  </si>
  <si>
    <t>Hair girl-</t>
  </si>
  <si>
    <t>Happy -</t>
  </si>
  <si>
    <t>Harem-</t>
  </si>
  <si>
    <t>Hopp-</t>
  </si>
  <si>
    <t>Hugo-</t>
  </si>
  <si>
    <t>I-</t>
  </si>
  <si>
    <t>In-</t>
  </si>
  <si>
    <t>Indian-</t>
  </si>
  <si>
    <t>Inf-</t>
  </si>
  <si>
    <t>Info-</t>
  </si>
  <si>
    <t>Int-</t>
  </si>
  <si>
    <t>Ipak-</t>
  </si>
  <si>
    <t>Ipekyo-</t>
  </si>
  <si>
    <t>Irb-</t>
  </si>
  <si>
    <t>Itali-</t>
  </si>
  <si>
    <t>Italian-</t>
  </si>
  <si>
    <t>Jac-</t>
  </si>
  <si>
    <t>Jacadi-</t>
  </si>
  <si>
    <t>Jeans-</t>
  </si>
  <si>
    <t>Jo-</t>
  </si>
  <si>
    <t>Joy-</t>
  </si>
  <si>
    <t>Kaf-</t>
  </si>
  <si>
    <t>Kafe v-</t>
  </si>
  <si>
    <t>Kafe-</t>
  </si>
  <si>
    <t>Kahv-</t>
  </si>
  <si>
    <t>Kahvalt-</t>
  </si>
  <si>
    <t>Kids-</t>
  </si>
  <si>
    <t>Kiel-</t>
  </si>
  <si>
    <t>Kita-</t>
  </si>
  <si>
    <t>Kitch-</t>
  </si>
  <si>
    <t>Kitxh-</t>
  </si>
  <si>
    <t>Kiğılı-</t>
  </si>
  <si>
    <t>Kl-</t>
  </si>
  <si>
    <t>Kot gömlek-</t>
  </si>
  <si>
    <t>Kua-</t>
  </si>
  <si>
    <t>Kuaför-</t>
  </si>
  <si>
    <t>Kutumcu-</t>
  </si>
  <si>
    <t>Kuyu-</t>
  </si>
  <si>
    <t>Kırtasiye-</t>
  </si>
  <si>
    <t>Kırts-</t>
  </si>
  <si>
    <t>Kıs-</t>
  </si>
  <si>
    <t>Kısm-</t>
  </si>
  <si>
    <t>L-</t>
  </si>
  <si>
    <t>La-</t>
  </si>
  <si>
    <t>Lacos-</t>
  </si>
  <si>
    <t>Lamy-</t>
  </si>
  <si>
    <t>Lapp-</t>
  </si>
  <si>
    <t>Laser-</t>
  </si>
  <si>
    <t>Lavobo-</t>
  </si>
  <si>
    <t>Tuvalet</t>
  </si>
  <si>
    <t>Lc -</t>
  </si>
  <si>
    <t>Bilca</t>
  </si>
  <si>
    <t>Le-</t>
  </si>
  <si>
    <t>Leva-</t>
  </si>
  <si>
    <t>Levazım -</t>
  </si>
  <si>
    <t>Levent los-</t>
  </si>
  <si>
    <t>Lewis-</t>
  </si>
  <si>
    <t>Line-</t>
  </si>
  <si>
    <t>Linen-</t>
  </si>
  <si>
    <t>Loiu-</t>
  </si>
  <si>
    <t>Louis-</t>
  </si>
  <si>
    <t>Louise-</t>
  </si>
  <si>
    <t>Luggage -</t>
  </si>
  <si>
    <t>Luggage-</t>
  </si>
  <si>
    <t>LUISA VIA ROMA</t>
  </si>
  <si>
    <t>Lui-</t>
  </si>
  <si>
    <t>Maasi-</t>
  </si>
  <si>
    <t>Mac -</t>
  </si>
  <si>
    <t>Macdo-</t>
  </si>
  <si>
    <t>Maceo-</t>
  </si>
  <si>
    <t>Macf-</t>
  </si>
  <si>
    <t>Mach-</t>
  </si>
  <si>
    <t>Machia-</t>
  </si>
  <si>
    <t>Mack-</t>
  </si>
  <si>
    <t>Macri-</t>
  </si>
  <si>
    <t>Macroc-</t>
  </si>
  <si>
    <t>Macrocent-</t>
  </si>
  <si>
    <t>Mai-</t>
  </si>
  <si>
    <t>Makrocwnter-</t>
  </si>
  <si>
    <t>Mamg-</t>
  </si>
  <si>
    <t>Managm-</t>
  </si>
  <si>
    <t>Mango -</t>
  </si>
  <si>
    <t>Mapa-</t>
  </si>
  <si>
    <t>Mar-</t>
  </si>
  <si>
    <t>Marl-</t>
  </si>
  <si>
    <t>Mars-</t>
  </si>
  <si>
    <t>Masj-</t>
  </si>
  <si>
    <t>Massage -</t>
  </si>
  <si>
    <t>Matssimo-</t>
  </si>
  <si>
    <t>Mazs-</t>
  </si>
  <si>
    <t>McDonald’s -</t>
  </si>
  <si>
    <t>Media market-</t>
  </si>
  <si>
    <t>Mediam-</t>
  </si>
  <si>
    <t>Mediamae-</t>
  </si>
  <si>
    <t>Mediamar-</t>
  </si>
  <si>
    <t>Memor-</t>
  </si>
  <si>
    <t>Mens-</t>
  </si>
  <si>
    <t>Mescid-</t>
  </si>
  <si>
    <t>Mesi-</t>
  </si>
  <si>
    <t>Mesia-</t>
  </si>
  <si>
    <t>Metr-</t>
  </si>
  <si>
    <t>Entrance Metro Floor</t>
  </si>
  <si>
    <t>Giriş Metro Katı</t>
  </si>
  <si>
    <t>Metro Metrobüs</t>
  </si>
  <si>
    <t>Metrobus-</t>
  </si>
  <si>
    <t>Meyda-</t>
  </si>
  <si>
    <t>Miel-</t>
  </si>
  <si>
    <t>Miu-</t>
  </si>
  <si>
    <t>Mngo-</t>
  </si>
  <si>
    <t>Mont-</t>
  </si>
  <si>
    <t>Mor-</t>
  </si>
  <si>
    <t>Morin-</t>
  </si>
  <si>
    <t>Morini-</t>
  </si>
  <si>
    <t>Moschino-</t>
  </si>
  <si>
    <t>Mossi-</t>
  </si>
  <si>
    <t>Mountblank-</t>
  </si>
  <si>
    <t>Mqngo-</t>
  </si>
  <si>
    <t>Muss-</t>
  </si>
  <si>
    <t>Naut-</t>
  </si>
  <si>
    <t>Nautic-</t>
  </si>
  <si>
    <t>Nesa-</t>
  </si>
  <si>
    <t>Nesğ-</t>
  </si>
  <si>
    <t>Netwo-</t>
  </si>
  <si>
    <t>New-</t>
  </si>
  <si>
    <t>Noodl-</t>
  </si>
  <si>
    <t>Odas-</t>
  </si>
  <si>
    <t>Optük-</t>
  </si>
  <si>
    <t>Os-</t>
  </si>
  <si>
    <t>Ot-</t>
  </si>
  <si>
    <t>Otopa-</t>
  </si>
  <si>
    <t>Otopar-</t>
  </si>
  <si>
    <t>Otopark öd-</t>
  </si>
  <si>
    <t>Otopark-</t>
  </si>
  <si>
    <t>Otopark Giriş Zincirlikuyu</t>
  </si>
  <si>
    <t>Oyu-</t>
  </si>
  <si>
    <t>Oyun hamuru-</t>
  </si>
  <si>
    <t>Oyuncak-</t>
  </si>
  <si>
    <t>PSM-</t>
  </si>
  <si>
    <t>Pan-</t>
  </si>
  <si>
    <t>Pandor-</t>
  </si>
  <si>
    <t>Paner-</t>
  </si>
  <si>
    <t>Paröe-</t>
  </si>
  <si>
    <t>Pasa bahce-</t>
  </si>
  <si>
    <t>Pasta-</t>
  </si>
  <si>
    <t>Paul-</t>
  </si>
  <si>
    <t>Paşab-</t>
  </si>
  <si>
    <t>Paşabahöe-</t>
  </si>
  <si>
    <t>Peak-</t>
  </si>
  <si>
    <t>Pem-</t>
  </si>
  <si>
    <t>Pemb-</t>
  </si>
  <si>
    <t>pentie</t>
  </si>
  <si>
    <t>Pent-</t>
  </si>
  <si>
    <t>Pere-</t>
  </si>
  <si>
    <t>Perf-</t>
  </si>
  <si>
    <t>Perl-</t>
  </si>
  <si>
    <t>Persul-</t>
  </si>
  <si>
    <t>Ph-</t>
  </si>
  <si>
    <t>Pharm-</t>
  </si>
  <si>
    <t>Pharma-</t>
  </si>
  <si>
    <t>Pin-</t>
  </si>
  <si>
    <t>Pink-</t>
  </si>
  <si>
    <t>Pirlanta-</t>
  </si>
  <si>
    <t>Plates-</t>
  </si>
  <si>
    <t>Play-</t>
  </si>
  <si>
    <t>Poi-</t>
  </si>
  <si>
    <t>Pol-</t>
  </si>
  <si>
    <t>Poli-</t>
  </si>
  <si>
    <t>Polo -</t>
  </si>
  <si>
    <t>Pop-</t>
  </si>
  <si>
    <t>Popp-</t>
  </si>
  <si>
    <t>Pple-</t>
  </si>
  <si>
    <t>Pra-</t>
  </si>
  <si>
    <t>Prad-</t>
  </si>
  <si>
    <t>Prada-</t>
  </si>
  <si>
    <t>Pronovi-</t>
  </si>
  <si>
    <t>Pronovias-</t>
  </si>
  <si>
    <t>Psm -</t>
  </si>
  <si>
    <t>Pull-</t>
  </si>
  <si>
    <t>Qnb-</t>
  </si>
  <si>
    <t>Raff-</t>
  </si>
  <si>
    <t>Raffles-</t>
  </si>
  <si>
    <t>Ram-</t>
  </si>
  <si>
    <t>Ramsey-</t>
  </si>
  <si>
    <t>Remz-</t>
  </si>
  <si>
    <t>Renzi-</t>
  </si>
  <si>
    <t>Requi-</t>
  </si>
  <si>
    <t>Res-</t>
  </si>
  <si>
    <t>Ricet-</t>
  </si>
  <si>
    <t>Ro-</t>
  </si>
  <si>
    <t>Role-</t>
  </si>
  <si>
    <t>Rose-</t>
  </si>
  <si>
    <t>Rota-</t>
  </si>
  <si>
    <t>Saat</t>
  </si>
  <si>
    <t>Sabit-</t>
  </si>
  <si>
    <t>Sain-</t>
  </si>
  <si>
    <t>Saint-</t>
  </si>
  <si>
    <t>Sar-</t>
  </si>
  <si>
    <t>Scher-</t>
  </si>
  <si>
    <t>Sefora-</t>
  </si>
  <si>
    <t>Sephor-</t>
  </si>
  <si>
    <t>Shisha-</t>
  </si>
  <si>
    <t>Shoe-</t>
  </si>
  <si>
    <t>Shoes-</t>
  </si>
  <si>
    <t>Sig-</t>
  </si>
  <si>
    <t>Siga-</t>
  </si>
  <si>
    <t>Sine-</t>
  </si>
  <si>
    <t>Sinem-</t>
  </si>
  <si>
    <t>Sip-</t>
  </si>
  <si>
    <t>Skechers-</t>
  </si>
  <si>
    <t>Sne-</t>
  </si>
  <si>
    <t>Sneak-</t>
  </si>
  <si>
    <t>Sneaks-</t>
  </si>
  <si>
    <t>Sosa-</t>
  </si>
  <si>
    <t>Sport -</t>
  </si>
  <si>
    <t>Sport-</t>
  </si>
  <si>
    <t>Stat-</t>
  </si>
  <si>
    <t>Sula-</t>
  </si>
  <si>
    <t>Sun-</t>
  </si>
  <si>
    <t>Supe-</t>
  </si>
  <si>
    <t>Supermarket -</t>
  </si>
  <si>
    <t>Sushıco-</t>
  </si>
  <si>
    <t>Svar-</t>
  </si>
  <si>
    <t>Swa-</t>
  </si>
  <si>
    <t>Swim-</t>
  </si>
  <si>
    <t>Sı-</t>
  </si>
  <si>
    <t>Sır-</t>
  </si>
  <si>
    <t>Tabac-</t>
  </si>
  <si>
    <t>Tabbocc-</t>
  </si>
  <si>
    <t>Tabocco-</t>
  </si>
  <si>
    <t>Tak-</t>
  </si>
  <si>
    <t>Taksi</t>
  </si>
  <si>
    <t>Tatlı-</t>
  </si>
  <si>
    <t>Tax re-</t>
  </si>
  <si>
    <t>Teknosa-</t>
  </si>
  <si>
    <t>Tele-</t>
  </si>
  <si>
    <t>Terea-</t>
  </si>
  <si>
    <t>Terr-</t>
  </si>
  <si>
    <t>Terra-</t>
  </si>
  <si>
    <t>Terzi-</t>
  </si>
  <si>
    <t>The-</t>
  </si>
  <si>
    <t>Ti-</t>
  </si>
  <si>
    <t>Tiffany</t>
  </si>
  <si>
    <t>Tif-</t>
  </si>
  <si>
    <t>Tifa-</t>
  </si>
  <si>
    <t>Tiffany and-</t>
  </si>
  <si>
    <t>To -</t>
  </si>
  <si>
    <t>Tobac-</t>
  </si>
  <si>
    <t>Tobe-</t>
  </si>
  <si>
    <t>Togo -</t>
  </si>
  <si>
    <t>Tole-</t>
  </si>
  <si>
    <t>Tom-</t>
  </si>
  <si>
    <t>Tommi-</t>
  </si>
  <si>
    <t>Tommy-</t>
  </si>
  <si>
    <t>Tona-</t>
  </si>
  <si>
    <t>Toss-</t>
  </si>
  <si>
    <t>Touc-</t>
  </si>
  <si>
    <t>Touch-</t>
  </si>
  <si>
    <t>Touche-</t>
  </si>
  <si>
    <t>Toy -</t>
  </si>
  <si>
    <t>Toyche-</t>
  </si>
  <si>
    <t>Tuav-</t>
  </si>
  <si>
    <t>Tumi-</t>
  </si>
  <si>
    <t>Turk telekom-</t>
  </si>
  <si>
    <t>Turkce-</t>
  </si>
  <si>
    <t>Turkish-</t>
  </si>
  <si>
    <t>Turuncu otopark-</t>
  </si>
  <si>
    <t>Tuv-</t>
  </si>
  <si>
    <t>Tuva-</t>
  </si>
  <si>
    <t>Twi-</t>
  </si>
  <si>
    <t>Türk forması-</t>
  </si>
  <si>
    <t>Türkc-</t>
  </si>
  <si>
    <t>Türkcell-</t>
  </si>
  <si>
    <t>Türksel sahne-</t>
  </si>
  <si>
    <t>Tırk-</t>
  </si>
  <si>
    <t>U.s-</t>
  </si>
  <si>
    <t>Un-</t>
  </si>
  <si>
    <t>Unde-</t>
  </si>
  <si>
    <t>Ura-</t>
  </si>
  <si>
    <t>Us-</t>
  </si>
  <si>
    <t>Vak-</t>
  </si>
  <si>
    <t>Vakara-</t>
  </si>
  <si>
    <t>Vakko -</t>
  </si>
  <si>
    <t>Vakko we-</t>
  </si>
  <si>
    <t>Vakkor-</t>
  </si>
  <si>
    <t>Bob Vale Park (Levazım/Beymen)</t>
  </si>
  <si>
    <t>Valentin-</t>
  </si>
  <si>
    <t>Valentino-</t>
  </si>
  <si>
    <t>Vel-</t>
  </si>
  <si>
    <t>Ver-</t>
  </si>
  <si>
    <t>Vestel -</t>
  </si>
  <si>
    <t>Vestel’e -</t>
  </si>
  <si>
    <t>Vestp-</t>
  </si>
  <si>
    <t>Vestı-</t>
  </si>
  <si>
    <t>Vile-</t>
  </si>
  <si>
    <t>Vr-</t>
  </si>
  <si>
    <t>Vskko-</t>
  </si>
  <si>
    <t>WAffle-</t>
  </si>
  <si>
    <t>Waffle-</t>
  </si>
  <si>
    <t>Watc-</t>
  </si>
  <si>
    <t>Welldo-</t>
  </si>
  <si>
    <t>Welldon-</t>
  </si>
  <si>
    <t>Wellness-</t>
  </si>
  <si>
    <t>Wotch-</t>
  </si>
  <si>
    <t>Y-</t>
  </si>
  <si>
    <t>Ya-</t>
  </si>
  <si>
    <t>Yal-</t>
  </si>
  <si>
    <t>Yapı-</t>
  </si>
  <si>
    <t>Yarg-</t>
  </si>
  <si>
    <t>Yargı-</t>
  </si>
  <si>
    <t>Yargıc-</t>
  </si>
  <si>
    <t>Yatak-</t>
  </si>
  <si>
    <t>Yeşil otopark -</t>
  </si>
  <si>
    <t>Zaea-</t>
  </si>
  <si>
    <t>Zamz-</t>
  </si>
  <si>
    <t>Zanz-</t>
  </si>
  <si>
    <t>Zanzib-</t>
  </si>
  <si>
    <t>Zara -</t>
  </si>
  <si>
    <t>Zara h-</t>
  </si>
  <si>
    <t>Zara’yı et bak-</t>
  </si>
  <si>
    <t>Zare-</t>
  </si>
  <si>
    <t>Zarra-</t>
  </si>
  <si>
    <t>Zata-</t>
  </si>
  <si>
    <t>Zin-</t>
  </si>
  <si>
    <t>Zinc-</t>
  </si>
  <si>
    <t>Zorlo-</t>
  </si>
  <si>
    <t>Zorlu -</t>
  </si>
  <si>
    <t>Zorlu psm-</t>
  </si>
  <si>
    <t>Zorlu PSM Bosphorus Floor</t>
  </si>
  <si>
    <t>Zorlu-</t>
  </si>
  <si>
    <t>Zoula-</t>
  </si>
  <si>
    <t>Zuşa-</t>
  </si>
  <si>
    <t>abdul-</t>
  </si>
  <si>
    <t>ad-</t>
  </si>
  <si>
    <t>ame-</t>
  </si>
  <si>
    <t>ap-</t>
  </si>
  <si>
    <t>asic-</t>
  </si>
  <si>
    <t>asics-</t>
  </si>
  <si>
    <t>atm-</t>
  </si>
  <si>
    <t>açık -</t>
  </si>
  <si>
    <t>bey-</t>
  </si>
  <si>
    <t>beym-</t>
  </si>
  <si>
    <t>beymen cafe-</t>
  </si>
  <si>
    <t>beymen-</t>
  </si>
  <si>
    <t>beytçmen-</t>
  </si>
  <si>
    <t>big che-</t>
  </si>
  <si>
    <t>bookst-</t>
  </si>
  <si>
    <t>bot-</t>
  </si>
  <si>
    <t>bott-</t>
  </si>
  <si>
    <t>caf-</t>
  </si>
  <si>
    <t>cafe-</t>
  </si>
  <si>
    <t>cam-</t>
  </si>
  <si>
    <t>cant-</t>
  </si>
  <si>
    <t>chak-</t>
  </si>
  <si>
    <t>chan-</t>
  </si>
  <si>
    <t>chanel-</t>
  </si>
  <si>
    <t>chil-</t>
  </si>
  <si>
    <t>chilren-</t>
  </si>
  <si>
    <t>clu-</t>
  </si>
  <si>
    <t>cocuk-</t>
  </si>
  <si>
    <t>col-</t>
  </si>
  <si>
    <t>colomb-</t>
  </si>
  <si>
    <t>cup-</t>
  </si>
  <si>
    <t>d-</t>
  </si>
  <si>
    <t>danışma-</t>
  </si>
  <si>
    <t>Danışma Masası</t>
  </si>
  <si>
    <t>de-</t>
  </si>
  <si>
    <t>des-</t>
  </si>
  <si>
    <t>die-</t>
  </si>
  <si>
    <t>dn-</t>
  </si>
  <si>
    <t>dö-</t>
  </si>
  <si>
    <t>dönmezsen -</t>
  </si>
  <si>
    <t>eata-</t>
  </si>
  <si>
    <t>eatlay-</t>
  </si>
  <si>
    <t>eczan-</t>
  </si>
  <si>
    <t>eczane-</t>
  </si>
  <si>
    <t>exc-</t>
  </si>
  <si>
    <t>exch-</t>
  </si>
  <si>
    <t>exchange-</t>
  </si>
  <si>
    <t>exit-</t>
  </si>
  <si>
    <t>eğl-</t>
  </si>
  <si>
    <t>falconeri-</t>
  </si>
  <si>
    <t>fu-</t>
  </si>
  <si>
    <t>game-</t>
  </si>
  <si>
    <t>glob-</t>
  </si>
  <si>
    <t>gosi-</t>
  </si>
  <si>
    <t>gree-</t>
  </si>
  <si>
    <t>gucci-</t>
  </si>
  <si>
    <t>günaydın-</t>
  </si>
  <si>
    <t>h&amp;m home-</t>
  </si>
  <si>
    <t>hap-</t>
  </si>
  <si>
    <t>hello-</t>
  </si>
  <si>
    <t>inf-</t>
  </si>
  <si>
    <t>ipe-</t>
  </si>
  <si>
    <t>lamer-</t>
  </si>
  <si>
    <t>lime-</t>
  </si>
  <si>
    <t>liv-</t>
  </si>
  <si>
    <t>loc-</t>
  </si>
  <si>
    <t>locc-</t>
  </si>
  <si>
    <t>lui-</t>
  </si>
  <si>
    <t>ma-</t>
  </si>
  <si>
    <t>macro-</t>
  </si>
  <si>
    <t>mars-</t>
  </si>
  <si>
    <t>masim-</t>
  </si>
  <si>
    <t>mavi -</t>
  </si>
  <si>
    <t>mc-</t>
  </si>
  <si>
    <t>media-</t>
  </si>
  <si>
    <t>memo-</t>
  </si>
  <si>
    <t>merc-</t>
  </si>
  <si>
    <t>mes-</t>
  </si>
  <si>
    <t>mesci-</t>
  </si>
  <si>
    <t>mescit-</t>
  </si>
  <si>
    <t>metro-</t>
  </si>
  <si>
    <t>moc-</t>
  </si>
  <si>
    <t>nes-</t>
  </si>
  <si>
    <t>net-</t>
  </si>
  <si>
    <t>oho-</t>
  </si>
  <si>
    <t>ot-</t>
  </si>
  <si>
    <t>otopa-</t>
  </si>
  <si>
    <t>otopark-</t>
  </si>
  <si>
    <t>oyuncak-</t>
  </si>
  <si>
    <t>palacio-</t>
  </si>
  <si>
    <t>parking-</t>
  </si>
  <si>
    <t>Entrance Parking Floor</t>
  </si>
  <si>
    <t>pen-</t>
  </si>
  <si>
    <t>pin-</t>
  </si>
  <si>
    <t>pink-</t>
  </si>
  <si>
    <t>plus -</t>
  </si>
  <si>
    <t>plus-</t>
  </si>
  <si>
    <t>pr-</t>
  </si>
  <si>
    <t>ps-</t>
  </si>
  <si>
    <t>PSM</t>
  </si>
  <si>
    <t>raffle-</t>
  </si>
  <si>
    <t>remzi-</t>
  </si>
  <si>
    <t>role-</t>
  </si>
  <si>
    <t>ros-</t>
  </si>
  <si>
    <t>ross-</t>
  </si>
  <si>
    <t>rossm-</t>
  </si>
  <si>
    <t>saint-</t>
  </si>
  <si>
    <t>se-</t>
  </si>
  <si>
    <t>sep-</t>
  </si>
  <si>
    <t>seph-</t>
  </si>
  <si>
    <t>sev-</t>
  </si>
  <si>
    <t>sket-</t>
  </si>
  <si>
    <t>sn-</t>
  </si>
  <si>
    <t>sta-</t>
  </si>
  <si>
    <t>such-</t>
  </si>
  <si>
    <t>sushi-</t>
  </si>
  <si>
    <t>sushic-</t>
  </si>
  <si>
    <t>sw-</t>
  </si>
  <si>
    <t>tchıbo-</t>
  </si>
  <si>
    <t>tekno sa-</t>
  </si>
  <si>
    <t>toba-</t>
  </si>
  <si>
    <t>tomm-</t>
  </si>
  <si>
    <t>toys-</t>
  </si>
  <si>
    <t>toyz-</t>
  </si>
  <si>
    <t>tum-</t>
  </si>
  <si>
    <t>turk-</t>
  </si>
  <si>
    <t>unde-</t>
  </si>
  <si>
    <t>under-</t>
  </si>
  <si>
    <t>ura-</t>
  </si>
  <si>
    <t>vak-</t>
  </si>
  <si>
    <t>vakko -</t>
  </si>
  <si>
    <t>velen-</t>
  </si>
  <si>
    <t>vestel-</t>
  </si>
  <si>
    <t>vesto-</t>
  </si>
  <si>
    <t>vil-</t>
  </si>
  <si>
    <t>vo-</t>
  </si>
  <si>
    <t>wa-</t>
  </si>
  <si>
    <t>we-</t>
  </si>
  <si>
    <t>z-</t>
  </si>
  <si>
    <t>zaea-</t>
  </si>
  <si>
    <t>zara -</t>
  </si>
  <si>
    <t>zin-</t>
  </si>
  <si>
    <t>Car Park Entrance Zincirlikuyu</t>
  </si>
  <si>
    <t>zola-</t>
  </si>
  <si>
    <t>Çıkış-</t>
  </si>
  <si>
    <t>çikolata-</t>
  </si>
  <si>
    <t>Giriş Ulus</t>
  </si>
  <si>
    <t>İmakr-</t>
  </si>
  <si>
    <t>İnsi-</t>
  </si>
  <si>
    <t>İnti-</t>
  </si>
  <si>
    <t>İpek -</t>
  </si>
  <si>
    <t>İpekyol-</t>
  </si>
  <si>
    <t>İphone-</t>
  </si>
  <si>
    <t>İsokto-</t>
  </si>
  <si>
    <t>İtaly-</t>
  </si>
  <si>
    <t>SUM of No</t>
  </si>
  <si>
    <t>Grand Total</t>
  </si>
  <si>
    <t>EVENTS</t>
  </si>
  <si>
    <t>EVENT NAME</t>
  </si>
  <si>
    <t>FROM</t>
  </si>
  <si>
    <t>&gt;</t>
  </si>
  <si>
    <t>TO</t>
  </si>
  <si>
    <t>FROM&gt;TO</t>
  </si>
  <si>
    <t>Konumunuz</t>
  </si>
  <si>
    <t>Your Location</t>
  </si>
  <si>
    <t>Prayer Room</t>
  </si>
  <si>
    <t>Beymen(Tommy Hilfiger yanı)</t>
  </si>
  <si>
    <t>Park Area</t>
  </si>
  <si>
    <t>WC</t>
  </si>
  <si>
    <t>Metro&lt;br&gt;Metrobüs</t>
  </si>
  <si>
    <t>Pharmacy</t>
  </si>
  <si>
    <t>Cinema</t>
  </si>
  <si>
    <t>Akbank (ATM)(ATM)</t>
  </si>
  <si>
    <t>Sinema</t>
  </si>
  <si>
    <t>Information Desk</t>
  </si>
  <si>
    <t>Metro&lt;br&gt;Metrobus</t>
  </si>
  <si>
    <t>Raffles İstanbul</t>
  </si>
  <si>
    <t>MediaMarkt(Paribu Cineverse yanı)</t>
  </si>
  <si>
    <t>Zorlu PSM Metro Floor</t>
  </si>
  <si>
    <t>Akbank (Şube)(Şube)</t>
  </si>
  <si>
    <t>Ben Touch A.Ş.</t>
  </si>
  <si>
    <t>Beymen(Morini yanı)</t>
  </si>
  <si>
    <t>Beymen(Next to Morini)</t>
  </si>
  <si>
    <t>Beymen(Next to Tommy Hilfiger)</t>
  </si>
  <si>
    <t>Evgaranti Gayrimenkul</t>
  </si>
  <si>
    <t>Bebek Bakım Odası</t>
  </si>
  <si>
    <t>D</t>
  </si>
  <si>
    <t>Revir</t>
  </si>
  <si>
    <t>MediaMarkt(Next to Paribu Cineverse)</t>
  </si>
  <si>
    <t>MediaMarkt(Next to Uranüs)</t>
  </si>
  <si>
    <t>QNB Finansbank (ATM)(ATM)</t>
  </si>
  <si>
    <t>Entrance Ulus</t>
  </si>
  <si>
    <t>Zorlu PSM Bosphorus FloorBosphorus Floor</t>
  </si>
  <si>
    <t>Zorlu PSM Boğaz KatıBoğaz Katı</t>
  </si>
  <si>
    <t>Zorlu PSM Metro Katı</t>
  </si>
  <si>
    <t>SUM of EVENTS</t>
  </si>
  <si>
    <t>QR-104&gt;Eataly</t>
  </si>
  <si>
    <t>QR-104&gt;Zara</t>
  </si>
  <si>
    <t>QR-104&gt;Starbucks</t>
  </si>
  <si>
    <t>QR-104&gt;Happy Moon's</t>
  </si>
  <si>
    <t>QR-104&gt;Zula</t>
  </si>
  <si>
    <t>QR006&gt;Zara</t>
  </si>
  <si>
    <t>QR-104&gt;Macrocenter</t>
  </si>
  <si>
    <t>QR-104&gt;BigChefs</t>
  </si>
  <si>
    <t>QR-112&gt;Zara</t>
  </si>
  <si>
    <t>QR-104&gt;PSM</t>
  </si>
  <si>
    <t>QR-104&gt;H&amp;M</t>
  </si>
  <si>
    <t>QR-104&gt;D&amp;R</t>
  </si>
  <si>
    <t>QR-104&gt;Watsons</t>
  </si>
  <si>
    <t>QR-104&gt;MediaMarkt</t>
  </si>
  <si>
    <t>Zara&gt;H&amp;M</t>
  </si>
  <si>
    <t>QR-203&gt;Macrocenter</t>
  </si>
  <si>
    <t>QR-203&gt;Zara</t>
  </si>
  <si>
    <t>QR-104&gt;Toyzz Shop</t>
  </si>
  <si>
    <t>Eataly&gt;Eataly</t>
  </si>
  <si>
    <t>QR-104&gt;Sephora</t>
  </si>
  <si>
    <t>QR-203&gt;Apple</t>
  </si>
  <si>
    <t>QR-104&gt;Tobacco Shop</t>
  </si>
  <si>
    <t>QR-104&gt;Cup of Joy</t>
  </si>
  <si>
    <t>QR-203&gt;Eataly</t>
  </si>
  <si>
    <t>QR-203&gt;BigChefs</t>
  </si>
  <si>
    <t>QR-104&gt;Paşabahçe Mağazaları</t>
  </si>
  <si>
    <t>QR-104&gt;Mescit</t>
  </si>
  <si>
    <t>QR-104&gt;Mango</t>
  </si>
  <si>
    <t>QR006&gt;Apple</t>
  </si>
  <si>
    <t>QR-301&gt;Apple</t>
  </si>
  <si>
    <t>QR-203&gt;D&amp;R</t>
  </si>
  <si>
    <t>QR-104&gt;Tuvalet</t>
  </si>
  <si>
    <t>QR-104&gt;Tax Free Zone (Info Desk)</t>
  </si>
  <si>
    <t>QR-104&gt;Garanti BBVA (ATM)</t>
  </si>
  <si>
    <t>QR-203&gt;Zula</t>
  </si>
  <si>
    <t>QR-104&gt;Zorlu Center Açık Hava</t>
  </si>
  <si>
    <t>QR-104&gt;Voi Coffee Company</t>
  </si>
  <si>
    <t>QR-104&gt;Turkcell</t>
  </si>
  <si>
    <t>QR-104&gt;Rossmann</t>
  </si>
  <si>
    <t>QR-104&gt;Park Alanı</t>
  </si>
  <si>
    <t>QR-302&gt;Zula</t>
  </si>
  <si>
    <t>QR-301&gt;Beymen</t>
  </si>
  <si>
    <t>QR-203&gt;Beymen</t>
  </si>
  <si>
    <t>QR-104&gt;Zorlu PSM Boğaz Katı</t>
  </si>
  <si>
    <t>QR-104&gt;SushiCo</t>
  </si>
  <si>
    <t>QR-203&gt;Happy Moon's</t>
  </si>
  <si>
    <t>QR-112&gt;H&amp;M</t>
  </si>
  <si>
    <t>QR-104&gt;Vakkorama Cafe</t>
  </si>
  <si>
    <t>QR-104&gt;Skechers</t>
  </si>
  <si>
    <t>QR-104&gt;Saray Muhallebicisi</t>
  </si>
  <si>
    <t>QR-104&gt;Funloft</t>
  </si>
  <si>
    <t>QR-104&gt;English Home</t>
  </si>
  <si>
    <t>QR-104&gt;COS</t>
  </si>
  <si>
    <t>Zara&gt;Macrocenter</t>
  </si>
  <si>
    <t>QR006&gt;Zula</t>
  </si>
  <si>
    <t>QR006&gt;COS</t>
  </si>
  <si>
    <t>QR003&gt;Paribu Cineverse</t>
  </si>
  <si>
    <t>QR-302&gt;Zara</t>
  </si>
  <si>
    <t>QR-302&gt;Apple</t>
  </si>
  <si>
    <t>QR-301&gt;Togg Deneyim Merkezi</t>
  </si>
  <si>
    <t>QR-301&gt;Arby's</t>
  </si>
  <si>
    <t>QR-203&gt;Watsons</t>
  </si>
  <si>
    <t>QR-203&gt;SushiCo</t>
  </si>
  <si>
    <t>QR-203&gt;Mescit</t>
  </si>
  <si>
    <t>QR-203&gt;MediaMarkt</t>
  </si>
  <si>
    <t>QR-203&gt;Caffe Nero</t>
  </si>
  <si>
    <t>QR-112&gt;Watsons</t>
  </si>
  <si>
    <t>QR-104&gt;Zara Home</t>
  </si>
  <si>
    <t>QR-104&gt;Yapı Kredi (ATM)</t>
  </si>
  <si>
    <t>QR-104&gt;Vakko</t>
  </si>
  <si>
    <t>QR-104&gt;Swarovski</t>
  </si>
  <si>
    <t>QR-104&gt;Prayer Room</t>
  </si>
  <si>
    <t>QR-104&gt;Massimo Dutti</t>
  </si>
  <si>
    <t>QR-104&gt;Eczane</t>
  </si>
  <si>
    <t>QR-104&gt;Beymen</t>
  </si>
  <si>
    <t>QR-104&gt;Asics</t>
  </si>
  <si>
    <t>QR-104&gt;Akbank (ATM)</t>
  </si>
  <si>
    <t>QR-104&gt;Adidas</t>
  </si>
  <si>
    <t>Etiler Marmaris&gt;AI Analiz</t>
  </si>
  <si>
    <t>Beymen(Tommy Hilfiger yanı)&gt;Starbucks</t>
  </si>
  <si>
    <t>Zara&gt;Zara</t>
  </si>
  <si>
    <t>Zara&gt;Mango</t>
  </si>
  <si>
    <t>Yargıcı&gt;Toyzz Shop</t>
  </si>
  <si>
    <t>Yargıcı&gt;Burger King</t>
  </si>
  <si>
    <t>QR006&gt;SushiCo</t>
  </si>
  <si>
    <t>QR-301&gt;Park Alanı</t>
  </si>
  <si>
    <t>QR-203&gt;Toyzz Shop</t>
  </si>
  <si>
    <t>QR-203&gt;H&amp;M</t>
  </si>
  <si>
    <t>QR-112&gt;Parle</t>
  </si>
  <si>
    <t>QR-112&gt;Nike by Levazım</t>
  </si>
  <si>
    <t>QR-104&gt;Welldone</t>
  </si>
  <si>
    <t>QR-104&gt;WC</t>
  </si>
  <si>
    <t>QR-104&gt;Victoria's Secret</t>
  </si>
  <si>
    <t>QR-104&gt;Saat &amp; Saat</t>
  </si>
  <si>
    <t>QR-104&gt;Pembecida</t>
  </si>
  <si>
    <t>QR-104&gt;Park Area</t>
  </si>
  <si>
    <t>QR-104&gt;Oniki Hukuk Bürosu</t>
  </si>
  <si>
    <t>QR-104&gt;Kafe Vesto</t>
  </si>
  <si>
    <t>QR-104&gt;Godiva</t>
  </si>
  <si>
    <t>QR-104&gt;Apple</t>
  </si>
  <si>
    <t>Kısmet by Milka&gt;Kısmet by Milka</t>
  </si>
  <si>
    <t>English Home&gt;English Home</t>
  </si>
  <si>
    <t>Zara&gt;WC</t>
  </si>
  <si>
    <t>Zara&gt;Nespresso</t>
  </si>
  <si>
    <t>Toyzz Shop&gt;Funloft</t>
  </si>
  <si>
    <t>QR006&gt;Massimo Dutti</t>
  </si>
  <si>
    <t>QR006&gt;Divarese</t>
  </si>
  <si>
    <t>QR005&gt;Zula</t>
  </si>
  <si>
    <t>QR003&gt;Pharmacy</t>
  </si>
  <si>
    <t>QR-302&gt;Welldone</t>
  </si>
  <si>
    <t>QR-302&gt;Linens</t>
  </si>
  <si>
    <t>QR-301&gt;Memorial Wellness</t>
  </si>
  <si>
    <t>QR-301&gt;Eataly</t>
  </si>
  <si>
    <t>QR-203&gt;Yargıcı</t>
  </si>
  <si>
    <t>QR-203&gt;Tommy Hilfiger</t>
  </si>
  <si>
    <t>QR-203&gt;Pandora</t>
  </si>
  <si>
    <t>QR-112&gt;Eczane</t>
  </si>
  <si>
    <t>QR-104&gt;Zor Exchange</t>
  </si>
  <si>
    <t>QR-104&gt;Vestel</t>
  </si>
  <si>
    <t>QR-104&gt;US Polo Assn.</t>
  </si>
  <si>
    <t>QR-104&gt;Superstep</t>
  </si>
  <si>
    <t>QR-104&gt;Sneaks Up</t>
  </si>
  <si>
    <t>QR-104&gt;Raffles Spa</t>
  </si>
  <si>
    <t>QR-104&gt;Plus Kitchen</t>
  </si>
  <si>
    <t>QR-104&gt;Pandora</t>
  </si>
  <si>
    <t>QR-104&gt;Nike by Levazım</t>
  </si>
  <si>
    <t>QR-104&gt;Metro&lt;br&gt;Metrobüs</t>
  </si>
  <si>
    <t>QR-104&gt;Mavi</t>
  </si>
  <si>
    <t>QR-104&gt;Masjid</t>
  </si>
  <si>
    <t>QR-104&gt;Info Desk</t>
  </si>
  <si>
    <t>QR-104&gt;Günaydın Kasap &amp; Steakhouse</t>
  </si>
  <si>
    <t>QR-104&gt;Chakra</t>
  </si>
  <si>
    <t>Louis Vuitton&gt;Eataly</t>
  </si>
  <si>
    <t>Intimissimi&gt;Watsons</t>
  </si>
  <si>
    <t>Intimissimi&gt;BigChefs</t>
  </si>
  <si>
    <t>Eataly&gt;Burger King</t>
  </si>
  <si>
    <t>COS&gt;Mescit</t>
  </si>
  <si>
    <t>Caffe Nero&gt;Eataly</t>
  </si>
  <si>
    <t>atm001&gt;Akbank (ATM)</t>
  </si>
  <si>
    <t>Zara&gt;Pandora</t>
  </si>
  <si>
    <t>Zara&gt;Mavi</t>
  </si>
  <si>
    <t>Zara&gt;Eataly</t>
  </si>
  <si>
    <t>Yargıcı&gt;H&amp;M</t>
  </si>
  <si>
    <t>Walkers Market&gt;Vakkorama Cafe</t>
  </si>
  <si>
    <t>Valentino&gt;SushiCo</t>
  </si>
  <si>
    <t>Valentino&gt;Macrocenter</t>
  </si>
  <si>
    <t>Starbucks&gt;Zara</t>
  </si>
  <si>
    <t>Starbucks&gt;Eataly</t>
  </si>
  <si>
    <t>Sevil Parfümeri&gt;BigChefs</t>
  </si>
  <si>
    <t>Rolex&gt;Eataly</t>
  </si>
  <si>
    <t>Remzi Kitabevi&gt;Mescit</t>
  </si>
  <si>
    <t>Remzi Kitabevi&gt;D&amp;R</t>
  </si>
  <si>
    <t>Ramsey&gt;Eataly</t>
  </si>
  <si>
    <t>QR006&gt;Sabit Akkaya Hair Stylist</t>
  </si>
  <si>
    <t>QR006&gt;Greenwich</t>
  </si>
  <si>
    <t>QR006&gt;Asics</t>
  </si>
  <si>
    <t>QR005&gt;Zara</t>
  </si>
  <si>
    <t>QR005&gt;MediaMarkt</t>
  </si>
  <si>
    <t>QR003&gt;Garanti BBVA (ATM)</t>
  </si>
  <si>
    <t>QR003&gt;Dyson</t>
  </si>
  <si>
    <t>QR-302&gt;Parle</t>
  </si>
  <si>
    <t>QR-302&gt;Eataly</t>
  </si>
  <si>
    <t>QR-301&gt;Parle</t>
  </si>
  <si>
    <t>QR-301&gt;Massimo Dutti</t>
  </si>
  <si>
    <t>QR-301&gt;Macrocenter</t>
  </si>
  <si>
    <t>QR-301&gt;BigChefs</t>
  </si>
  <si>
    <t>QR-203&gt;Welldone</t>
  </si>
  <si>
    <t>QR-203&gt;Vakko</t>
  </si>
  <si>
    <t>QR-203&gt;Universal Conselor</t>
  </si>
  <si>
    <t>QR-203&gt;Turkcell</t>
  </si>
  <si>
    <t>QR-203&gt;Kafe Vesto</t>
  </si>
  <si>
    <t>QR-203&gt;Isokyo</t>
  </si>
  <si>
    <t>QR-112&gt;Welldone</t>
  </si>
  <si>
    <t>QR-112&gt;Vakko</t>
  </si>
  <si>
    <t>QR-112&gt;Popeyes</t>
  </si>
  <si>
    <t>QR-112&gt;Moncler</t>
  </si>
  <si>
    <t>QR-112&gt;Macrocenter</t>
  </si>
  <si>
    <t>QR-112&gt;Louis Vuitton</t>
  </si>
  <si>
    <t>QR-112&gt;Divarese</t>
  </si>
  <si>
    <t>QR-112&gt;COS</t>
  </si>
  <si>
    <t>QR-112&gt;Adidas</t>
  </si>
  <si>
    <t>QR-112&gt;_x0010_0 Pub</t>
  </si>
  <si>
    <t>QR-109&gt;Cinema</t>
  </si>
  <si>
    <t>QR-108&gt;WC</t>
  </si>
  <si>
    <t>QR-108&gt;Happy Moon's</t>
  </si>
  <si>
    <t>QR-104&gt;Taxi</t>
  </si>
  <si>
    <t>QR-104&gt;Sagaza</t>
  </si>
  <si>
    <t>QR-104&gt;Remzi Kitabevi</t>
  </si>
  <si>
    <t>QR-104&gt;Panerai</t>
  </si>
  <si>
    <t>QR-104&gt;Nespresso</t>
  </si>
  <si>
    <t>QR-104&gt;Memorial Wellness</t>
  </si>
  <si>
    <t>QR-104&gt;MAC Mars Athletic Club</t>
  </si>
  <si>
    <t>QR-104&gt;Global Blue (Beymen)</t>
  </si>
  <si>
    <t>QR-104&gt;Entrance Levazım</t>
  </si>
  <si>
    <t>QR-104&gt;Columbia</t>
  </si>
  <si>
    <t>QR-104&gt;Cantinery</t>
  </si>
  <si>
    <t>Prada&gt;Prayer Room</t>
  </si>
  <si>
    <t>Pandora&gt;Eataly</t>
  </si>
  <si>
    <t>McDonald's&gt;Giriş Zincirlikuyu</t>
  </si>
  <si>
    <t>Mavi&gt;Skechers</t>
  </si>
  <si>
    <t>Masjid&gt;Masjid</t>
  </si>
  <si>
    <t>Linens&gt;Zara</t>
  </si>
  <si>
    <t>Intimissimi&gt;Tiffany &amp; Co.</t>
  </si>
  <si>
    <t>Intimissimi&gt;D&amp;R</t>
  </si>
  <si>
    <t>H&amp;M&gt;Beymen</t>
  </si>
  <si>
    <t>Gant&gt;Pharmacy</t>
  </si>
  <si>
    <t>Falconeri&gt;BigChefs</t>
  </si>
  <si>
    <t>Diesel&gt;Watsons</t>
  </si>
  <si>
    <t>COS&gt;Eataly</t>
  </si>
  <si>
    <t>Chanel&gt;1290SQM</t>
  </si>
  <si>
    <t>Calzedonia&gt;Eataly</t>
  </si>
  <si>
    <t>Beymen(Tommy Hilfiger yanı)&gt;Zara</t>
  </si>
  <si>
    <t>Beymen(Tommy Hilfiger yanı)&gt;Eataly</t>
  </si>
  <si>
    <t>Balmain&gt;Funloft</t>
  </si>
  <si>
    <t>Zula&gt;Zula</t>
  </si>
  <si>
    <t>Zula&gt;PSM</t>
  </si>
  <si>
    <t>Zula&gt;Eataly</t>
  </si>
  <si>
    <t>Zara&gt;Zara Home</t>
  </si>
  <si>
    <t>Zara&gt;Turkcell</t>
  </si>
  <si>
    <t>Zara&gt;Paşabahçe Mağazaları</t>
  </si>
  <si>
    <t>Zara&gt;Odaş Elektrik</t>
  </si>
  <si>
    <t>Zara&gt;Lacoste</t>
  </si>
  <si>
    <t>Zara&gt;Garanti BBVA (ATM)</t>
  </si>
  <si>
    <t>Yves Rocher&gt;Eataly</t>
  </si>
  <si>
    <t>Yargıcı&gt;Zara</t>
  </si>
  <si>
    <t>Yargıcı&gt;Vestel</t>
  </si>
  <si>
    <t>Yargıcı&gt;Tiffany &amp; Co.</t>
  </si>
  <si>
    <t>Yargıcı&gt;SushiCo</t>
  </si>
  <si>
    <t>Yargıcı&gt;Saray Muhallebicisi</t>
  </si>
  <si>
    <t>Yargıcı&gt;Mavi</t>
  </si>
  <si>
    <t>Yargıcı&gt;Mango</t>
  </si>
  <si>
    <t>Yargıcı&gt;D&amp;R</t>
  </si>
  <si>
    <t>Yargıcı&gt;Beymen</t>
  </si>
  <si>
    <t>Yargıcı&gt;Apple</t>
  </si>
  <si>
    <t>Welldone&gt;Welldone</t>
  </si>
  <si>
    <t>Welldone&gt;Apple</t>
  </si>
  <si>
    <t>Watsons&gt;Restroom</t>
  </si>
  <si>
    <t>Victoria's Secret&gt;Victoria's Secret</t>
  </si>
  <si>
    <t>Vestel&gt;Starbucks</t>
  </si>
  <si>
    <t>Vakko&gt;Vakko</t>
  </si>
  <si>
    <t>Twist&gt;Starbucks</t>
  </si>
  <si>
    <t>Twinset Milano&gt;Pharmacy Zorlu Center</t>
  </si>
  <si>
    <t>Tommy Hilfiger&gt;Burger King</t>
  </si>
  <si>
    <t>Tod's&gt;Zara</t>
  </si>
  <si>
    <t>Tod's&gt;Tod's</t>
  </si>
  <si>
    <t>The Kooples&gt;D&amp;R</t>
  </si>
  <si>
    <t>The Body Shop&gt;The Body Shop</t>
  </si>
  <si>
    <t>Tax Free Zone (Info Desk)&gt;Park Area</t>
  </si>
  <si>
    <t>SushiCo&gt;Zara</t>
  </si>
  <si>
    <t>Starbucks&gt;Lacoste</t>
  </si>
  <si>
    <t>Starbucks&gt;D&amp;R</t>
  </si>
  <si>
    <t>Starbucks&gt;Bob Vale Park (Levazım/Beymen)</t>
  </si>
  <si>
    <t>Sneaks Up&gt;Eataly</t>
  </si>
  <si>
    <t>Skechers&gt;Zara</t>
  </si>
  <si>
    <t>Skechers&gt;Toyzz Shop</t>
  </si>
  <si>
    <t>Skechers&gt;Apple</t>
  </si>
  <si>
    <t>Sevil Parfümeri&gt;Zula</t>
  </si>
  <si>
    <t>Sevil Parfümeri&gt;Starbucks</t>
  </si>
  <si>
    <t>Sevil Parfümeri&gt;Macrocenter</t>
  </si>
  <si>
    <t>Sevil Parfümeri&gt;KFC</t>
  </si>
  <si>
    <t>Sephora&gt;Starbucks</t>
  </si>
  <si>
    <t>Sephora&gt;H&amp;M</t>
  </si>
  <si>
    <t>Saat &amp; Saat&gt;Zula</t>
  </si>
  <si>
    <t>Remzi Kitabevi&gt;Macrocenter</t>
  </si>
  <si>
    <t>Remzi Kitabevi&gt;Apple</t>
  </si>
  <si>
    <t>Ramsey&gt;Zara</t>
  </si>
  <si>
    <t>Ramsey&gt;Valentino</t>
  </si>
  <si>
    <t>Ramsey&gt;Skechers</t>
  </si>
  <si>
    <t>Ramsey&gt;Morini</t>
  </si>
  <si>
    <t>QR006&gt;Zor Exchange</t>
  </si>
  <si>
    <t>QR006&gt;Superstep</t>
  </si>
  <si>
    <t>QR006&gt;Starbucks</t>
  </si>
  <si>
    <t>QR006&gt;Raffles Istanbul</t>
  </si>
  <si>
    <t>QR006&gt;Prada</t>
  </si>
  <si>
    <t>QR006&gt;Park Area</t>
  </si>
  <si>
    <t>QR006&gt;Network</t>
  </si>
  <si>
    <t>QR006&gt;MediaMarkt</t>
  </si>
  <si>
    <t>QR006&gt;McDonald's</t>
  </si>
  <si>
    <t>QR006&gt;Levi's</t>
  </si>
  <si>
    <t>QR006&gt;H&amp;M</t>
  </si>
  <si>
    <t>QR006&gt;Godiva</t>
  </si>
  <si>
    <t>QR006&gt;Exchange Zor</t>
  </si>
  <si>
    <t>QR006&gt;Crossing</t>
  </si>
  <si>
    <t>QR006&gt;Beymen</t>
  </si>
  <si>
    <t>QR006&gt;Adidas</t>
  </si>
  <si>
    <t>QR005&gt;Vilebrequin</t>
  </si>
  <si>
    <t>QR005&gt;Apple</t>
  </si>
  <si>
    <t>QR004&gt;WC</t>
  </si>
  <si>
    <t>QR003&gt;Starbucks</t>
  </si>
  <si>
    <t>QR003&gt;MediaMarkt</t>
  </si>
  <si>
    <t>QR003&gt;Machka</t>
  </si>
  <si>
    <t>QR003&gt;KFC</t>
  </si>
  <si>
    <t>QR-302&gt;Vakkorama Cafe</t>
  </si>
  <si>
    <t>QR-302&gt;Riceteria</t>
  </si>
  <si>
    <t>QR-302&gt;MOC</t>
  </si>
  <si>
    <t>QR-302&gt;Mescit</t>
  </si>
  <si>
    <t>QR-302&gt;MAC Mars Athletic Club</t>
  </si>
  <si>
    <t>QR-302&gt;Levi's</t>
  </si>
  <si>
    <t>QR-302&gt;H&amp;M</t>
  </si>
  <si>
    <t>QR-302&gt;Cantinery</t>
  </si>
  <si>
    <t>QR-302&gt;Burger King</t>
  </si>
  <si>
    <t>QR-302&gt;_x0010_0 Pub</t>
  </si>
  <si>
    <t>QR-301&gt;Zara</t>
  </si>
  <si>
    <t>QR-301&gt;Zanzibar</t>
  </si>
  <si>
    <t>QR-301&gt;WC</t>
  </si>
  <si>
    <t>QR-301&gt;Voi Coffee Company</t>
  </si>
  <si>
    <t>QR-301&gt;Victoria's Secret</t>
  </si>
  <si>
    <t>QR-301&gt;Vakko</t>
  </si>
  <si>
    <t>QR-301&gt;Tuvalet</t>
  </si>
  <si>
    <t>QR-301&gt;Paşabahçe Mağazaları</t>
  </si>
  <si>
    <t>QR-301&gt;Otopark Ödeme</t>
  </si>
  <si>
    <t>QR-301&gt;Nespresso</t>
  </si>
  <si>
    <t>QR-301&gt;Mescit</t>
  </si>
  <si>
    <t>QR-301&gt;Happy Moon's</t>
  </si>
  <si>
    <t>QR-301&gt;Gap</t>
  </si>
  <si>
    <t>QR-301&gt;Burger King</t>
  </si>
  <si>
    <t>QR-301&gt;ARN Game</t>
  </si>
  <si>
    <t>QR-203&gt;Vakkorama Cafe</t>
  </si>
  <si>
    <t>QR-203&gt;Tuvalet</t>
  </si>
  <si>
    <t>QR-203&gt;Tobacco Shop</t>
  </si>
  <si>
    <t>QR-203&gt;Tiffany &amp; Co.</t>
  </si>
  <si>
    <t>QR-203&gt;Prayer Room</t>
  </si>
  <si>
    <t>QR-203&gt;Pharmacy Zorlu Center</t>
  </si>
  <si>
    <t>QR-203&gt;Pharmacy</t>
  </si>
  <si>
    <t>QR-203&gt;Paşabahçe Mağazaları</t>
  </si>
  <si>
    <t>QR-203&gt;Morini</t>
  </si>
  <si>
    <t>QR-203&gt;Mer's</t>
  </si>
  <si>
    <t>QR-203&gt;Louis Vuitton</t>
  </si>
  <si>
    <t>QR-203&gt;Intimissimi Uomo</t>
  </si>
  <si>
    <t>QR-203&gt;Funloft</t>
  </si>
  <si>
    <t>QR-203&gt;Cup of Joy</t>
  </si>
  <si>
    <t>QR-203&gt;Burger King</t>
  </si>
  <si>
    <t>QR-203&gt;ATM</t>
  </si>
  <si>
    <t>QR-203&gt;Asics</t>
  </si>
  <si>
    <t>QR-112&gt;Zula</t>
  </si>
  <si>
    <t>QR-112&gt;Zorlu PSM Metro Floor</t>
  </si>
  <si>
    <t>QR-112&gt;Toyzz Shop</t>
  </si>
  <si>
    <t>QR-112&gt;Ramsey</t>
  </si>
  <si>
    <t>QR-112&gt;PSM</t>
  </si>
  <si>
    <t>QR-112&gt;Park Area</t>
  </si>
  <si>
    <t>QR-112&gt;Mer's</t>
  </si>
  <si>
    <t>QR-112&gt;McDonald's</t>
  </si>
  <si>
    <t>QR-112&gt;İpekyol</t>
  </si>
  <si>
    <t>QR-112&gt;Godiva</t>
  </si>
  <si>
    <t>QR-112&gt;English Home</t>
  </si>
  <si>
    <t>QR-112&gt;Chanel</t>
  </si>
  <si>
    <t>QR-112&gt;BigChefs</t>
  </si>
  <si>
    <t>QR-109&gt;Tobacco Shop</t>
  </si>
  <si>
    <t>QR-109&gt;Starbucks</t>
  </si>
  <si>
    <t>QR-108&gt;Zara</t>
  </si>
  <si>
    <t>QR-108&gt;Victoria's Secret</t>
  </si>
  <si>
    <t>QR-108&gt;PSM</t>
  </si>
  <si>
    <t>QR-104&gt;Zorlu PSM Meydan Katı</t>
  </si>
  <si>
    <t>QR-104&gt;Zanzibar</t>
  </si>
  <si>
    <t>QR-104&gt;Valentino</t>
  </si>
  <si>
    <t>QR-104&gt;Vakko Wedding</t>
  </si>
  <si>
    <t>QR-104&gt;Vakko Home</t>
  </si>
  <si>
    <t>QR-104&gt;Sinema</t>
  </si>
  <si>
    <t>QR-104&gt;Sabit Akkaya Hair Stylist</t>
  </si>
  <si>
    <t>QR-104&gt;Saat</t>
  </si>
  <si>
    <t>QR-104&gt;Rolex</t>
  </si>
  <si>
    <t>QR-104&gt;Raffles Istanbul</t>
  </si>
  <si>
    <t>QR-104&gt;Pharmacy Zorlu Center</t>
  </si>
  <si>
    <t>QR-104&gt;Pharmacy</t>
  </si>
  <si>
    <t>QR-104&gt;Metro&lt;br&gt;Metrobus</t>
  </si>
  <si>
    <t>QR-104&gt;Louis Vuitton</t>
  </si>
  <si>
    <t>QR-104&gt;Linens</t>
  </si>
  <si>
    <t>QR-104&gt;Levi's</t>
  </si>
  <si>
    <t>QR-104&gt;Kiehl's</t>
  </si>
  <si>
    <t>QR-104&gt;JBL</t>
  </si>
  <si>
    <t>QR-104&gt;Information Desk</t>
  </si>
  <si>
    <t>QR-104&gt;Halkbank (ATM)</t>
  </si>
  <si>
    <t>QR-104&gt;Golden Goose</t>
  </si>
  <si>
    <t>QR-104&gt;Gap</t>
  </si>
  <si>
    <t>QR-104&gt;Dior</t>
  </si>
  <si>
    <t>QR-104&gt;Crossing</t>
  </si>
  <si>
    <t>QR-104&gt;Chanel</t>
  </si>
  <si>
    <t>QR-104&gt;Camper</t>
  </si>
  <si>
    <t>QR-104&gt;Burberry</t>
  </si>
  <si>
    <t>QR-104&gt;Bottega Veneta</t>
  </si>
  <si>
    <t>QR-104&gt;Bakırkazan</t>
  </si>
  <si>
    <t>QR-104&gt;ATM</t>
  </si>
  <si>
    <t>QR-104&gt;Atasay</t>
  </si>
  <si>
    <t>QR-104&gt;Akbank (Şube)</t>
  </si>
  <si>
    <t>QR-104&gt;_x0010_0 Pub</t>
  </si>
  <si>
    <t>PSM&gt;Eczane</t>
  </si>
  <si>
    <t>Plus Kitchen&gt;Touche</t>
  </si>
  <si>
    <t>Pinko&gt;Zara</t>
  </si>
  <si>
    <t>Penti&gt;Starbucks</t>
  </si>
  <si>
    <t>Parle&gt;Eataly</t>
  </si>
  <si>
    <t>Pandora&gt;Zara</t>
  </si>
  <si>
    <t>Pandora&gt;Watsons</t>
  </si>
  <si>
    <t>Pandora&gt;Cup of Joy</t>
  </si>
  <si>
    <t>Otopark Giriş Zincirlikuyu&gt;KFC</t>
  </si>
  <si>
    <t>Miu Miu&gt;Eataly</t>
  </si>
  <si>
    <t>Miele&gt;Funloft</t>
  </si>
  <si>
    <t>MediaMarkt(Paribu Cineverse yanı)&gt;Garanti BBVA (ATM)</t>
  </si>
  <si>
    <t>Mavi&gt;H&amp;M</t>
  </si>
  <si>
    <t>Mapa&gt;Eczane</t>
  </si>
  <si>
    <t>Mango&gt;Prayer Room</t>
  </si>
  <si>
    <t>Louis Vuitton&gt;Louis Vuitton</t>
  </si>
  <si>
    <t>Lacoste&gt;Park Area</t>
  </si>
  <si>
    <t>Lacoste&gt;Dior</t>
  </si>
  <si>
    <t>KFC&gt;Twist</t>
  </si>
  <si>
    <t>Intimissimi&gt;Vakkorama</t>
  </si>
  <si>
    <t>Intimissimi&gt;Macrocenter</t>
  </si>
  <si>
    <t>Intimissimi&gt;Caffe Nero</t>
  </si>
  <si>
    <t>Intimissimi&gt;Beymen</t>
  </si>
  <si>
    <t>ID-166&gt;Eczane</t>
  </si>
  <si>
    <t>Gucci&gt;Funloft</t>
  </si>
  <si>
    <t>Green Salads&gt;Pharmacy</t>
  </si>
  <si>
    <t>Golden Goose&gt;WC</t>
  </si>
  <si>
    <t>Gant&gt;Sevil Parfümeri</t>
  </si>
  <si>
    <t>Fauchon Paris&gt;Otopark</t>
  </si>
  <si>
    <t>Falconeri&gt;Zula</t>
  </si>
  <si>
    <t>Falconeri&gt;Parle</t>
  </si>
  <si>
    <t>Falconeri&gt;Eataly</t>
  </si>
  <si>
    <t>Eataly&gt;Prada</t>
  </si>
  <si>
    <t>Eataly&gt;Macrocenter</t>
  </si>
  <si>
    <t>Dolce &amp; Gabbana&gt;Happy Moon's</t>
  </si>
  <si>
    <t>Diesel&gt;Zara</t>
  </si>
  <si>
    <t>Diesel&gt;Camper</t>
  </si>
  <si>
    <t>Dagi&gt;Zula</t>
  </si>
  <si>
    <t>D&amp;R&gt;Welldone</t>
  </si>
  <si>
    <t>D&amp;R&gt;Morini</t>
  </si>
  <si>
    <t>D&amp;R&gt;D&amp;R</t>
  </si>
  <si>
    <t>COS&gt;Tiffany</t>
  </si>
  <si>
    <t>COS&gt;JBL</t>
  </si>
  <si>
    <t>Columbia&gt;Skechers</t>
  </si>
  <si>
    <t>Chakra&gt;Zara Home</t>
  </si>
  <si>
    <t>Calzedonia&gt;Toyzz Shop</t>
  </si>
  <si>
    <t>Calzedonia&gt;MAC</t>
  </si>
  <si>
    <t>Calvin Klein Jeans&gt;Togg Deneyim Merkezi</t>
  </si>
  <si>
    <t>Caffe Nero&gt;Pharmacy Zorlu Center</t>
  </si>
  <si>
    <t>Caffe Nero&gt;Calvin Klein Jeans</t>
  </si>
  <si>
    <t>Burger King&gt;Tuvalet</t>
  </si>
  <si>
    <t>Burberry&gt;Raffles İstanbul</t>
  </si>
  <si>
    <t>Burberry&gt;Godiva</t>
  </si>
  <si>
    <t>Bobbi Brown&gt;Toyzz Shop</t>
  </si>
  <si>
    <t>BigChefs&gt;Harman Kardon</t>
  </si>
  <si>
    <t>Beymen(Tommy Hilfiger yanı)&gt;Macrocenter</t>
  </si>
  <si>
    <t>Balenciaga&gt;Macrocenter</t>
  </si>
  <si>
    <t>Any&gt;Welldone</t>
  </si>
  <si>
    <t>Akbank (ATM)(ATM)&gt;ATM</t>
  </si>
  <si>
    <t>Akbank (ATM)(ATM)&gt;Akbank (ATM)</t>
  </si>
  <si>
    <t>Zula&gt;Mavi</t>
  </si>
  <si>
    <t>Zorlu PSM Bosphorus FloorBosphorus Floor&gt;Pharmacy Zorlu Center</t>
  </si>
  <si>
    <t>Zorlu PSM Boğaz KatıBoğaz Katı&gt;Zorlu PSM Boğaz Katı</t>
  </si>
  <si>
    <t>Zorlu PSM Boğaz KatıBoğaz Katı&gt;Park Alanı</t>
  </si>
  <si>
    <t>Zorlu PSM Boğaz KatıBoğaz Katı&gt;Otopark Giriş Levazım</t>
  </si>
  <si>
    <t>Zorlu PSM Boğaz KatıBoğaz Katı&gt;Macrocenter</t>
  </si>
  <si>
    <t>Zor Exchange&gt;Restroom</t>
  </si>
  <si>
    <t>Ziyafe Kayseri Mutfağı&gt;Car Park</t>
  </si>
  <si>
    <t>Zara&gt;Zula</t>
  </si>
  <si>
    <t>Zara&gt;Zor Exchange</t>
  </si>
  <si>
    <t>Zara&gt;Zanzibar</t>
  </si>
  <si>
    <t>Zara&gt;Welldone</t>
  </si>
  <si>
    <t>Zara&gt;Watsons</t>
  </si>
  <si>
    <t>Zara&gt;Voi Coffee Company</t>
  </si>
  <si>
    <t>Zara&gt;Tax Free Zone (Info Desk)</t>
  </si>
  <si>
    <t>Zara&gt;Superstep</t>
  </si>
  <si>
    <t>Zara&gt;Subway Metrobus</t>
  </si>
  <si>
    <t>Zara&gt;Starbucks</t>
  </si>
  <si>
    <t>Zara&gt;Sephora</t>
  </si>
  <si>
    <t>Zara&gt;Saat</t>
  </si>
  <si>
    <t>Zara&gt;Prayer Room</t>
  </si>
  <si>
    <t>Zara&gt;Pharmacy Zorlu Center</t>
  </si>
  <si>
    <t>Zara&gt;Pharmacy</t>
  </si>
  <si>
    <t>Zara&gt;Mescit</t>
  </si>
  <si>
    <t>Zara&gt;Massimo Dutti</t>
  </si>
  <si>
    <t>Zara&gt;Louis Vuitton</t>
  </si>
  <si>
    <t>Zara&gt;Levi's</t>
  </si>
  <si>
    <t>Zara&gt;Happy Moon's</t>
  </si>
  <si>
    <t>Zara&gt;HandeHaluk Kuaför</t>
  </si>
  <si>
    <t>Zara&gt;Gran Cafe Eataly</t>
  </si>
  <si>
    <t>Zara&gt;Golden Goose</t>
  </si>
  <si>
    <t>Zara&gt;English Home</t>
  </si>
  <si>
    <t>Zara&gt;Dyson</t>
  </si>
  <si>
    <t>Zara&gt;Diesel</t>
  </si>
  <si>
    <t>Zara&gt;D&amp;R</t>
  </si>
  <si>
    <t>Zara&gt;Cup of Joy</t>
  </si>
  <si>
    <t>Zara&gt;Car Park</t>
  </si>
  <si>
    <t>Zara&gt;Beymen</t>
  </si>
  <si>
    <t>Zara&gt;ATM</t>
  </si>
  <si>
    <t>Zara&gt;Atasay</t>
  </si>
  <si>
    <t>Zara&gt;Asics</t>
  </si>
  <si>
    <t>Zara&gt;Aldo</t>
  </si>
  <si>
    <t>Zara&gt;_x0010_0 Pub</t>
  </si>
  <si>
    <t>Zara Home&gt;D&amp;R</t>
  </si>
  <si>
    <t>Zanzibar&gt;Zula</t>
  </si>
  <si>
    <t>Zanzibar&gt;Nautica</t>
  </si>
  <si>
    <t>Zanzibar&gt;Kafe Vesto</t>
  </si>
  <si>
    <t>Yves Rocher&gt;Zula</t>
  </si>
  <si>
    <t>Yves Rocher&gt;Toyzz Shop</t>
  </si>
  <si>
    <t>Yves Rocher&gt;Macrocenter</t>
  </si>
  <si>
    <t>Yves Rocher&gt;Five O'Clock</t>
  </si>
  <si>
    <t>Yargıcı&gt;Touche</t>
  </si>
  <si>
    <t>Yargıcı&gt;Sinema</t>
  </si>
  <si>
    <t>Yargıcı&gt;Sephora</t>
  </si>
  <si>
    <t>Yargıcı&gt;Paşabahçe Mağazaları</t>
  </si>
  <si>
    <t>Yargıcı&gt;MediaMarkt</t>
  </si>
  <si>
    <t>Yargıcı&gt;Masgold Kuyumculuk</t>
  </si>
  <si>
    <t>Yargıcı&gt;Macrocenter</t>
  </si>
  <si>
    <t>Yargıcı&gt;MAC Mars Athletic Club</t>
  </si>
  <si>
    <t>Yargıcı&gt;MAC</t>
  </si>
  <si>
    <t>Yargıcı&gt;Linens</t>
  </si>
  <si>
    <t>Yargıcı&gt;Eczane Zorlu Center</t>
  </si>
  <si>
    <t>Yargıcı&gt;Eataly</t>
  </si>
  <si>
    <t>Yargıcı&gt;Cup of Joy</t>
  </si>
  <si>
    <t>Yalçınlar&gt;D&amp;R</t>
  </si>
  <si>
    <t>Welldone&gt;Toyzz Shop</t>
  </si>
  <si>
    <t>Welldone&gt;Eataly</t>
  </si>
  <si>
    <t>Watsons&gt;Zula</t>
  </si>
  <si>
    <t>Watsons&gt;Watsons</t>
  </si>
  <si>
    <t>Watsons&gt;D&amp;R</t>
  </si>
  <si>
    <t>Watsons&gt;BigChefs</t>
  </si>
  <si>
    <t>Voi Coffee Company&gt;Zor Exchange</t>
  </si>
  <si>
    <t>Voi Coffee Company&gt;Happy Moon's</t>
  </si>
  <si>
    <t>Vilebrequin&gt;Toyzz Shop</t>
  </si>
  <si>
    <t>Victoria's Secret&gt;Starbucks</t>
  </si>
  <si>
    <t>Victoria's Secret&gt;Saint Laurent</t>
  </si>
  <si>
    <t>Victoria's Secret&gt;QNB Finansbank (ATM)</t>
  </si>
  <si>
    <t>Victoria's Secret&gt;Nespresso</t>
  </si>
  <si>
    <t>Victoria's Secret&gt;Macrocenter</t>
  </si>
  <si>
    <t>Victoria's Secret Pink&gt;Yalçınlar</t>
  </si>
  <si>
    <t>Victoria's Secret Pink&gt;Apple</t>
  </si>
  <si>
    <t>Vestel&gt;Zula</t>
  </si>
  <si>
    <t>Vestel&gt;MediaMarkt</t>
  </si>
  <si>
    <t>Vario&gt;Sneaks Up</t>
  </si>
  <si>
    <t>Vario&gt;Skechers</t>
  </si>
  <si>
    <t>Valeron&gt;Nespresso</t>
  </si>
  <si>
    <t>Valentino&gt;Vakko L'Atelier</t>
  </si>
  <si>
    <t>Valentino&gt;Raffles Istanbul</t>
  </si>
  <si>
    <t>Valentino&gt;Morini</t>
  </si>
  <si>
    <t>Valentino&gt;MOC</t>
  </si>
  <si>
    <t>Valentino&gt;MAC Mars Athletic Club</t>
  </si>
  <si>
    <t>Valentino&gt;Happy Moon's</t>
  </si>
  <si>
    <t>Vakkorama&gt;Nespresso</t>
  </si>
  <si>
    <t>Vakkorama Cafe&gt;Vakko L'Atelier</t>
  </si>
  <si>
    <t>Vakkorama Cafe&gt;Happy Moon's</t>
  </si>
  <si>
    <t>Vakkorama Cafe&gt;Funloft</t>
  </si>
  <si>
    <t>Vakko&gt;SushiCo</t>
  </si>
  <si>
    <t>Vakko&gt;D&amp;R</t>
  </si>
  <si>
    <t>Vakko Home&gt;Vakko Home</t>
  </si>
  <si>
    <t>Vakko Home&gt;Green Salads</t>
  </si>
  <si>
    <t>US Polo Assn.&gt;Zara</t>
  </si>
  <si>
    <t>US Polo Assn.&gt;US Polo Assn.</t>
  </si>
  <si>
    <t>US Polo Assn.&gt;Tax Free Zone (Info Desk)</t>
  </si>
  <si>
    <t>US Polo Assn.&gt;Levi's</t>
  </si>
  <si>
    <t>US Polo Assn.&gt;Global Blue (Beymen)</t>
  </si>
  <si>
    <t>Uranüs&gt;D&amp;R</t>
  </si>
  <si>
    <t>Under Armour&gt;Zara</t>
  </si>
  <si>
    <t>Under Armour&gt;Burger King</t>
  </si>
  <si>
    <t>Twist&gt;Zara</t>
  </si>
  <si>
    <t>Twist&gt;MediaMarkt</t>
  </si>
  <si>
    <t>Turkcell&gt;Prayer Room</t>
  </si>
  <si>
    <t>Toyzz Shop&gt;Starbucks</t>
  </si>
  <si>
    <t>Toyzz Shop&gt;Saray Muhallebicisi</t>
  </si>
  <si>
    <t>Toyzz Shop&gt;D&amp;R</t>
  </si>
  <si>
    <t>Tommy Hilfiger&gt;Zara Home</t>
  </si>
  <si>
    <t>Tommy Hilfiger&gt;Zara</t>
  </si>
  <si>
    <t>Tommy Hilfiger&gt;Voi Coffee Company</t>
  </si>
  <si>
    <t>Tommy Hilfiger&gt;Toyzz Shop</t>
  </si>
  <si>
    <t>Tommy Hilfiger&gt;Tommy Hilfiger</t>
  </si>
  <si>
    <t>Tommy Hilfiger&gt;Lacoste</t>
  </si>
  <si>
    <t>Tommy Hilfiger&gt;Eataly</t>
  </si>
  <si>
    <t>Tommi Brasserie&gt;Lacoste</t>
  </si>
  <si>
    <t>Tommi Brasserie&gt;COS</t>
  </si>
  <si>
    <t>Tod's&gt;Zorlu Center Açık Hava</t>
  </si>
  <si>
    <t>Tod's&gt;Tommi Brasserie</t>
  </si>
  <si>
    <t>Tod's&gt;Taxi</t>
  </si>
  <si>
    <t>Tobacco Shop&gt;Cup of Joy</t>
  </si>
  <si>
    <t>Tiffany &amp; Co.&gt;Toyzz Shop</t>
  </si>
  <si>
    <t>Tiffany &amp; Co.&gt;Tiffany &amp; Co.</t>
  </si>
  <si>
    <t>Tiffany &amp; Co.&gt;Saint Laurent</t>
  </si>
  <si>
    <t>Tiffany &amp; Co.&gt;Eataly</t>
  </si>
  <si>
    <t>The Kooples&gt;SushiCo</t>
  </si>
  <si>
    <t>The Kooples&gt;Park Area</t>
  </si>
  <si>
    <t>The Kooples&gt;Aldo</t>
  </si>
  <si>
    <t>Tax Free Zone (Info Desk)&gt;Pandora</t>
  </si>
  <si>
    <t>Tax Free Zone (Info Desk)&gt;Global Blue (Beymen)</t>
  </si>
  <si>
    <t>Tax Free Zone (Info Desk)&gt;Funloft</t>
  </si>
  <si>
    <t>Swarovski&gt;Zara</t>
  </si>
  <si>
    <t>Swarovski&gt;Rolex</t>
  </si>
  <si>
    <t>Swarovski&gt;Kiehl's</t>
  </si>
  <si>
    <t>Swarovski&gt;Beymen</t>
  </si>
  <si>
    <t>SushiCo&gt;US Polo Assn.</t>
  </si>
  <si>
    <t>SushiCo&gt;Tobacco Shop</t>
  </si>
  <si>
    <t>SushiCo&gt;Starbucks</t>
  </si>
  <si>
    <t>SushiCo&gt;PSM</t>
  </si>
  <si>
    <t>SushiCo&gt;KFC</t>
  </si>
  <si>
    <t>SushiCo&gt;Döner Stop</t>
  </si>
  <si>
    <t>SushiCo&gt;BigChefs</t>
  </si>
  <si>
    <t>Superstep&gt;Restroom</t>
  </si>
  <si>
    <t>Superstep&gt;Pandora</t>
  </si>
  <si>
    <t>Superstep&gt;Moncler</t>
  </si>
  <si>
    <t>Superstep&gt;Macrocenter</t>
  </si>
  <si>
    <t>Superstep&gt;Kafe Vesto</t>
  </si>
  <si>
    <t>Superstep&gt;Funloft</t>
  </si>
  <si>
    <t>Starbucks&gt;Zorlu PSM Boğaz Katı</t>
  </si>
  <si>
    <t>Starbucks&gt;WC</t>
  </si>
  <si>
    <t>Starbucks&gt;Vakko</t>
  </si>
  <si>
    <t>Starbucks&gt;Toyzz Shop</t>
  </si>
  <si>
    <t>Starbucks&gt;Superstep</t>
  </si>
  <si>
    <t>Starbucks&gt;Starbucks</t>
  </si>
  <si>
    <t>Starbucks&gt;Pharmacy</t>
  </si>
  <si>
    <t>Starbucks&gt;Park Alanı</t>
  </si>
  <si>
    <t>Starbucks&gt;Otopark Giriş Levazım</t>
  </si>
  <si>
    <t>Starbucks&gt;Metro&lt;br&gt;Metrobus</t>
  </si>
  <si>
    <t>Starbucks&gt;Macrocenter</t>
  </si>
  <si>
    <t>Starbucks&gt;Funloft</t>
  </si>
  <si>
    <t>Starbucks&gt;Beymen</t>
  </si>
  <si>
    <t>Sneaks Up&gt;Sneaks Up</t>
  </si>
  <si>
    <t>Skechers&gt;Zula</t>
  </si>
  <si>
    <t>Skechers&gt;US Polo Assn.</t>
  </si>
  <si>
    <t>Skechers&gt;Taksi</t>
  </si>
  <si>
    <t>Skechers&gt;SushiCo</t>
  </si>
  <si>
    <t>Skechers&gt;Superstep</t>
  </si>
  <si>
    <t>Skechers&gt;Remzi Kitabevi</t>
  </si>
  <si>
    <t>Skechers&gt;Mavi</t>
  </si>
  <si>
    <t>Skechers&gt;H&amp;M</t>
  </si>
  <si>
    <t>Skechers&gt;Green Salads</t>
  </si>
  <si>
    <t>Skechers&gt;English Home</t>
  </si>
  <si>
    <t>Skechers&gt;Divarese</t>
  </si>
  <si>
    <t>Skechers&gt;Cup of Joy</t>
  </si>
  <si>
    <t>Skechers&gt;Arby's</t>
  </si>
  <si>
    <t>Sevil Parfümeri&gt;Yves Rocher</t>
  </si>
  <si>
    <t>Sevil Parfümeri&gt;Watsons</t>
  </si>
  <si>
    <t>Sevil Parfümeri&gt;Vestel</t>
  </si>
  <si>
    <t>Sevil Parfümeri&gt;SushiCo</t>
  </si>
  <si>
    <t>Sevil Parfümeri&gt;Rossmann</t>
  </si>
  <si>
    <t>Sevil Parfümeri&gt;Remzi Kitabevi</t>
  </si>
  <si>
    <t>Sevil Parfümeri&gt;Peak</t>
  </si>
  <si>
    <t>Sevil Parfümeri&gt;Paşabahçe Mağazaları</t>
  </si>
  <si>
    <t>Sevil Parfümeri&gt;Pandora</t>
  </si>
  <si>
    <t>Sevil Parfümeri&gt;MAC Mars Athletic Club</t>
  </si>
  <si>
    <t>Sevil Parfümeri&gt;Happy Moon's</t>
  </si>
  <si>
    <t>Sevil Parfümeri&gt;H&amp;M</t>
  </si>
  <si>
    <t>Sevil Parfümeri&gt;Eataly</t>
  </si>
  <si>
    <t>Sevil Parfümeri&gt;Burger King</t>
  </si>
  <si>
    <t>Sevil Parfümeri&gt;Beymen</t>
  </si>
  <si>
    <t>Sevil Parfümeri&gt;Ametist</t>
  </si>
  <si>
    <t>Sephora&gt;Zula</t>
  </si>
  <si>
    <t>Sephora&gt;Vakkorama Cafe</t>
  </si>
  <si>
    <t>Sephora&gt;SushiCo</t>
  </si>
  <si>
    <t>Sephora&gt;Rossmann</t>
  </si>
  <si>
    <t>Sephora&gt;Otopark Giriş Levazım</t>
  </si>
  <si>
    <t>Sephora&gt;Eataly</t>
  </si>
  <si>
    <t>Sephora&gt;Apple</t>
  </si>
  <si>
    <t>Saray Muhallebicisi&gt;Zorlu PSM Meydan Katı</t>
  </si>
  <si>
    <t>Saray Muhallebicisi&gt;Watsons</t>
  </si>
  <si>
    <t>Saray Muhallebicisi&gt;Tobacco Shop</t>
  </si>
  <si>
    <t>Saray Muhallebicisi&gt;Restroom</t>
  </si>
  <si>
    <t>Saray Muhallebicisi&gt;MOC</t>
  </si>
  <si>
    <t>Saray Muhallebicisi&gt;HandeHaluk Kuaför</t>
  </si>
  <si>
    <t>Saray Muhallebicisi&gt;D&amp;R</t>
  </si>
  <si>
    <t>Saint Laurent&gt;Marie Antoinette Chocolatier</t>
  </si>
  <si>
    <t>Saint Laurent&gt;Louis Vuitton</t>
  </si>
  <si>
    <t>Saint Laurent&gt;Balenciaga</t>
  </si>
  <si>
    <t>Saat &amp; Saat&gt;Starbucks</t>
  </si>
  <si>
    <t>Saat &amp; Saat&gt;Rocca</t>
  </si>
  <si>
    <t>Saat &amp; Saat&gt;Otopark</t>
  </si>
  <si>
    <t>Saat &amp; Saat&gt;Morini</t>
  </si>
  <si>
    <t>Saat &amp; Saat&gt;Cup of Joy</t>
  </si>
  <si>
    <t>Saat &amp; Saat&gt;Caffe Nero</t>
  </si>
  <si>
    <t>Rossmann&gt;Eataly</t>
  </si>
  <si>
    <t>Rolex&gt;Welldone</t>
  </si>
  <si>
    <t>Rolex&gt;SushiCo</t>
  </si>
  <si>
    <t>Rolex&gt;Otopark</t>
  </si>
  <si>
    <t>Rolex&gt;Nautica</t>
  </si>
  <si>
    <t>Rolex&gt;Memorial Wellness</t>
  </si>
  <si>
    <t>Rolex&gt;Macrocenter</t>
  </si>
  <si>
    <t>Rolex&gt;Cinema</t>
  </si>
  <si>
    <t>Riceteria&gt;Voi Coffee Company</t>
  </si>
  <si>
    <t>Remzi Kitabevi&gt;Welldone</t>
  </si>
  <si>
    <t>Remzi Kitabevi&gt;Voi Coffee Company</t>
  </si>
  <si>
    <t>Remzi Kitabevi&gt;Toyzz Shop</t>
  </si>
  <si>
    <t>Remzi Kitabevi&gt;Starbucks</t>
  </si>
  <si>
    <t>Remzi Kitabevi&gt;Paşabahçe Mağazaları</t>
  </si>
  <si>
    <t>Remzi Kitabevi&gt;Memorial Wellness</t>
  </si>
  <si>
    <t>Remzi Kitabevi&gt;Green Salads</t>
  </si>
  <si>
    <t>Remzi Kitabevi&gt;Beymen</t>
  </si>
  <si>
    <t>Ramsey&gt;Welldone</t>
  </si>
  <si>
    <t>Ramsey&gt;Tax Free Zone (Info Desk)</t>
  </si>
  <si>
    <t>Ramsey&gt;Pandora</t>
  </si>
  <si>
    <t>Ramsey&gt;Massimo Dutti</t>
  </si>
  <si>
    <t>Ramsey&gt;KFC</t>
  </si>
  <si>
    <t>Ramsey&gt;Haremlique Istanbul</t>
  </si>
  <si>
    <t>Ramsey&gt;Godiva</t>
  </si>
  <si>
    <t>Ramsey&gt;Cup of Joy</t>
  </si>
  <si>
    <t>Ramsey&gt;Abdullah Kiğılı Exclusive Cut</t>
  </si>
  <si>
    <t>Ramiz&gt;Tuvalet</t>
  </si>
  <si>
    <t>Ramiz&gt;Ramiz</t>
  </si>
  <si>
    <t>Ramiz&gt;Raffles İstanbul</t>
  </si>
  <si>
    <t>Ramiz&gt;Metro&lt;br&gt;Metrobüs</t>
  </si>
  <si>
    <t>Raffles Istanbul&gt;Raffles Istanbul</t>
  </si>
  <si>
    <t>QR007&gt;Zula</t>
  </si>
  <si>
    <t>QR006&gt;Zorlu PSM Square Floor</t>
  </si>
  <si>
    <t>QR006&gt;Zorlu PSM Meydan Katı</t>
  </si>
  <si>
    <t>QR006&gt;Zanzibar</t>
  </si>
  <si>
    <t>QR006&gt;Welldone</t>
  </si>
  <si>
    <t>QR006&gt;WC</t>
  </si>
  <si>
    <t>QR006&gt;Vakko Wedding</t>
  </si>
  <si>
    <t>QR006&gt;Tuvalet</t>
  </si>
  <si>
    <t>QR006&gt;Toyzz Shop</t>
  </si>
  <si>
    <t>QR006&gt;Tax Free Zone (Info Desk)</t>
  </si>
  <si>
    <t>QR006&gt;Swarovski</t>
  </si>
  <si>
    <t>QR006&gt;Sosa</t>
  </si>
  <si>
    <t>QR006&gt;Sevil Parfümeri</t>
  </si>
  <si>
    <t>QR006&gt;Saint Laurent</t>
  </si>
  <si>
    <t>QR006&gt;Pandora</t>
  </si>
  <si>
    <t>QR006&gt;Nike by Levazım</t>
  </si>
  <si>
    <t>QR006&gt;MontBlanc</t>
  </si>
  <si>
    <t>QR006&gt;Memorial Wellness</t>
  </si>
  <si>
    <t>QR006&gt;Macrocenter</t>
  </si>
  <si>
    <t>QR006&gt;MAC Mars Athletic Club</t>
  </si>
  <si>
    <t>QR006&gt;KFC</t>
  </si>
  <si>
    <t>QR006&gt;IRB Sigorta</t>
  </si>
  <si>
    <t>QR006&gt;İpekyol</t>
  </si>
  <si>
    <t>QR006&gt;Happy Moon's</t>
  </si>
  <si>
    <t>QR006&gt;Golden Goose</t>
  </si>
  <si>
    <t>QR006&gt;Gant</t>
  </si>
  <si>
    <t>QR006&gt;English Home</t>
  </si>
  <si>
    <t>QR006&gt;Dyson</t>
  </si>
  <si>
    <t>QR006&gt;Casa</t>
  </si>
  <si>
    <t>QR006&gt;Burger King</t>
  </si>
  <si>
    <t>QR006&gt;Baqa</t>
  </si>
  <si>
    <t>QR006&gt;B&amp;G Store</t>
  </si>
  <si>
    <t>QR006&gt;Arby's</t>
  </si>
  <si>
    <t>QR006&gt;Aldo</t>
  </si>
  <si>
    <t>QR006&gt;_x0010_0 Pub</t>
  </si>
  <si>
    <t>QR005&gt;Zanzibar</t>
  </si>
  <si>
    <t>QR005&gt;Vakkorama</t>
  </si>
  <si>
    <t>QR005&gt;Tommi Brasserie</t>
  </si>
  <si>
    <t>QR005&gt;Terazza Italia</t>
  </si>
  <si>
    <t>QR005&gt;Pharmacy</t>
  </si>
  <si>
    <t>QR005&gt;Pandora</t>
  </si>
  <si>
    <t>QR005&gt;D&amp;R</t>
  </si>
  <si>
    <t>QR005&gt;Columbia</t>
  </si>
  <si>
    <t>QR005&gt;Cantinery</t>
  </si>
  <si>
    <t>QR005&gt;Arby's</t>
  </si>
  <si>
    <t>QR004&gt;Tuvalet</t>
  </si>
  <si>
    <t>QR004&gt;Subway Metrobus</t>
  </si>
  <si>
    <t>QR004&gt;Massimo Dutti</t>
  </si>
  <si>
    <t>QR004&gt;Crossing</t>
  </si>
  <si>
    <t>QR004&gt;Burger King</t>
  </si>
  <si>
    <t>QR004&gt;Apple</t>
  </si>
  <si>
    <t>QR003&gt;Zula</t>
  </si>
  <si>
    <t>QR003&gt;Zorlu Center Açık Hava</t>
  </si>
  <si>
    <t>QR003&gt;Zara</t>
  </si>
  <si>
    <t>QR003&gt;Welldone</t>
  </si>
  <si>
    <t>QR003&gt;Park Area</t>
  </si>
  <si>
    <t>QR003&gt;Park Alanı</t>
  </si>
  <si>
    <t>QR003&gt;MOC</t>
  </si>
  <si>
    <t>QR003&gt;Eataly</t>
  </si>
  <si>
    <t>QR003&gt;Cantinery</t>
  </si>
  <si>
    <t>QR003&gt;BigChefs</t>
  </si>
  <si>
    <t>QR-302&gt;Zanzibar</t>
  </si>
  <si>
    <t>QR-302&gt;Watsons</t>
  </si>
  <si>
    <t>QR-302&gt;Vakko</t>
  </si>
  <si>
    <t>QR-302&gt;Tommy Hilfiger</t>
  </si>
  <si>
    <t>QR-302&gt;Togg Deneyim Merkezi</t>
  </si>
  <si>
    <t>QR-302&gt;Sinema</t>
  </si>
  <si>
    <t>QR-302&gt;Revir</t>
  </si>
  <si>
    <t>QR-302&gt;PSM</t>
  </si>
  <si>
    <t>QR-302&gt;Paşabahçe Mağazaları</t>
  </si>
  <si>
    <t>QR-302&gt;Park Area</t>
  </si>
  <si>
    <t>QR-302&gt;Otopark</t>
  </si>
  <si>
    <t>QR-302&gt;MediaMarkt</t>
  </si>
  <si>
    <t>QR-302&gt;MAC</t>
  </si>
  <si>
    <t>QR-302&gt;Happy Moon's</t>
  </si>
  <si>
    <t>QR-302&gt;Günaydın Kasap &amp; Steakhouse</t>
  </si>
  <si>
    <t>QR-302&gt;Et İşleri</t>
  </si>
  <si>
    <t>QR-302&gt;English Home</t>
  </si>
  <si>
    <t>QR-302&gt;D&amp;R</t>
  </si>
  <si>
    <t>QR-302&gt;COS</t>
  </si>
  <si>
    <t>QR-302&gt;Chakra</t>
  </si>
  <si>
    <t>QR-302&gt;Caffe Nero</t>
  </si>
  <si>
    <t>QR-302&gt;BigChefs</t>
  </si>
  <si>
    <t>QR-302&gt;Asics</t>
  </si>
  <si>
    <t>QR-302&gt;Alexander McQueen</t>
  </si>
  <si>
    <t>QR-302&gt;Akbank (Şube)</t>
  </si>
  <si>
    <t>QR-302&gt;Akbank (ATM)</t>
  </si>
  <si>
    <t>QR-301&gt;Zula</t>
  </si>
  <si>
    <t>QR-301&gt;Zorlu PSM Square Floor</t>
  </si>
  <si>
    <t>QR-301&gt;Welldone</t>
  </si>
  <si>
    <t>QR-301&gt;Valentino</t>
  </si>
  <si>
    <t>QR-301&gt;Vakkorama</t>
  </si>
  <si>
    <t>QR-301&gt;Turkcell</t>
  </si>
  <si>
    <t>QR-301&gt;Tommi Brasserie</t>
  </si>
  <si>
    <t>QR-301&gt;Starbucks</t>
  </si>
  <si>
    <t>QR-301&gt;Saray Muhallebicisi</t>
  </si>
  <si>
    <t>QR-301&gt;Rolex</t>
  </si>
  <si>
    <t>QR-301&gt;Remzi Kitabevi</t>
  </si>
  <si>
    <t>QR-301&gt;Raffles İstanbul</t>
  </si>
  <si>
    <t>QR-301&gt;PSM</t>
  </si>
  <si>
    <t>QR-301&gt;Popeyes</t>
  </si>
  <si>
    <t>QR-301&gt;Otopark Giriş Zincirlikuyu</t>
  </si>
  <si>
    <t>QR-301&gt;Network</t>
  </si>
  <si>
    <t>QR-301&gt;Morini</t>
  </si>
  <si>
    <t>QR-301&gt;Moncler</t>
  </si>
  <si>
    <t>QR-301&gt;MediaMarkt</t>
  </si>
  <si>
    <t>QR-301&gt;McDonald's</t>
  </si>
  <si>
    <t>QR-301&gt;Lacoste</t>
  </si>
  <si>
    <t>QR-301&gt;KFC</t>
  </si>
  <si>
    <t>QR-301&gt;Jacadi Paris</t>
  </si>
  <si>
    <t>QR-301&gt;İpekyol</t>
  </si>
  <si>
    <t>QR-301&gt;Gran Cafe Eataly</t>
  </si>
  <si>
    <t>QR-301&gt;Et İşleri</t>
  </si>
  <si>
    <t>QR-301&gt;Dyson</t>
  </si>
  <si>
    <t>QR-301&gt;Döner Stop</t>
  </si>
  <si>
    <t>QR-301&gt;Crossing</t>
  </si>
  <si>
    <t>QR-301&gt;Chakra</t>
  </si>
  <si>
    <t>QR-301&gt;Car Park</t>
  </si>
  <si>
    <t>QR-301&gt;Cantinery</t>
  </si>
  <si>
    <t>QR-301&gt;Calzedonia</t>
  </si>
  <si>
    <t>QR-301&gt;Calvin Klein Jeans</t>
  </si>
  <si>
    <t>QR-301&gt;Caffe Nero</t>
  </si>
  <si>
    <t>QR-301&gt;Burberry</t>
  </si>
  <si>
    <t>QR-301&gt;Asics</t>
  </si>
  <si>
    <t>QR-203&gt;Zorlu PSM Metro Floor</t>
  </si>
  <si>
    <t>QR-203&gt;Zorlu Gayrimenkul</t>
  </si>
  <si>
    <t>QR-203&gt;Z Terzi</t>
  </si>
  <si>
    <t>QR-203&gt;Yalçınlar</t>
  </si>
  <si>
    <t>QR-203&gt;Victoria's Secret</t>
  </si>
  <si>
    <t>QR-203&gt;Vakkorama</t>
  </si>
  <si>
    <t>QR-203&gt;Twist</t>
  </si>
  <si>
    <t>QR-203&gt;Türkiye İş Bankası (ATM)</t>
  </si>
  <si>
    <t>QR-203&gt;Tod's</t>
  </si>
  <si>
    <t>QR-203&gt;Swarovski</t>
  </si>
  <si>
    <t>QR-203&gt;Starbucks</t>
  </si>
  <si>
    <t>QR-203&gt;Skechers</t>
  </si>
  <si>
    <t>QR-203&gt;Sevil Parfümeri</t>
  </si>
  <si>
    <t>QR-203&gt;Sephora</t>
  </si>
  <si>
    <t>QR-203&gt;Remzi Kitabevi</t>
  </si>
  <si>
    <t>QR-203&gt;QNB Finansbank (ATM)</t>
  </si>
  <si>
    <t>QR-203&gt;Prada</t>
  </si>
  <si>
    <t>QR-203&gt;Plus Kitchen</t>
  </si>
  <si>
    <t>QR-203&gt;Penti</t>
  </si>
  <si>
    <t>QR-203&gt;Park Area</t>
  </si>
  <si>
    <t>QR-203&gt;Paribu Cineverse</t>
  </si>
  <si>
    <t>QR-203&gt;Odaş Elektrik</t>
  </si>
  <si>
    <t>QR-203&gt;Nike by Levazım</t>
  </si>
  <si>
    <t>QR-203&gt;Network</t>
  </si>
  <si>
    <t>QR-203&gt;Nespresso</t>
  </si>
  <si>
    <t>QR-203&gt;MOC</t>
  </si>
  <si>
    <t>QR-203&gt;Miele</t>
  </si>
  <si>
    <t>QR-203&gt;Metro&lt;br&gt;Metrobus</t>
  </si>
  <si>
    <t>QR-203&gt;McDonald's</t>
  </si>
  <si>
    <t>QR-203&gt;Massimo Dutti</t>
  </si>
  <si>
    <t>QR-203&gt;Masjid</t>
  </si>
  <si>
    <t>QR-203&gt;Linens</t>
  </si>
  <si>
    <t>QR-203&gt;Levent Lostra</t>
  </si>
  <si>
    <t>QR-203&gt;Le Baron</t>
  </si>
  <si>
    <t>QR-203&gt;KFC</t>
  </si>
  <si>
    <t>QR-203&gt;İpekyol</t>
  </si>
  <si>
    <t>QR-203&gt;Info Desk</t>
  </si>
  <si>
    <t>QR-203&gt;Günaydın Köfte &amp; Döner</t>
  </si>
  <si>
    <t>QR-203&gt;Greenwich</t>
  </si>
  <si>
    <t>QR-203&gt;Gözgrup Optik</t>
  </si>
  <si>
    <t>QR-203&gt;Golden Goose</t>
  </si>
  <si>
    <t>QR-203&gt;Godiva</t>
  </si>
  <si>
    <t>QR-203&gt;Giriş Levazım</t>
  </si>
  <si>
    <t>QR-203&gt;Gap</t>
  </si>
  <si>
    <t>QR-203&gt;Five O'Clock</t>
  </si>
  <si>
    <t>QR-203&gt;Fendi</t>
  </si>
  <si>
    <t>QR-203&gt;Et İşleri</t>
  </si>
  <si>
    <t>QR-203&gt;Eczane Zorlu Center</t>
  </si>
  <si>
    <t>QR-203&gt;Easy Point</t>
  </si>
  <si>
    <t>QR-203&gt;Divarese</t>
  </si>
  <si>
    <t>QR-203&gt;Dior</t>
  </si>
  <si>
    <t>QR-203&gt;D</t>
  </si>
  <si>
    <t>QR-203&gt;COS</t>
  </si>
  <si>
    <t>QR-203&gt;Chanel</t>
  </si>
  <si>
    <t>QR-203&gt;Chakra</t>
  </si>
  <si>
    <t>QR-203&gt;Carl's Jr.</t>
  </si>
  <si>
    <t>QR-203&gt;Car Park</t>
  </si>
  <si>
    <t>QR-203&gt;Camper</t>
  </si>
  <si>
    <t>QR-203&gt;Burberry</t>
  </si>
  <si>
    <t>QR-203&gt;Balmain</t>
  </si>
  <si>
    <t>QR-203&gt;Balenciaga</t>
  </si>
  <si>
    <t>QR-203&gt;Atasay</t>
  </si>
  <si>
    <t>QR-203&gt;Arifoğlu</t>
  </si>
  <si>
    <t>QR-203&gt;Arby's</t>
  </si>
  <si>
    <t>QR-203&gt;Aldo</t>
  </si>
  <si>
    <t>QR-203&gt;1290SQM</t>
  </si>
  <si>
    <t>QR-112&gt;Zorlu PSM Bosphorus Floor</t>
  </si>
  <si>
    <t>QR-112&gt;Voi Coffee Company</t>
  </si>
  <si>
    <t>QR-112&gt;Tumi</t>
  </si>
  <si>
    <t>QR-112&gt;Touche</t>
  </si>
  <si>
    <t>QR-112&gt;Togg Deneyim Merkezi</t>
  </si>
  <si>
    <t>QR-112&gt;Tiffany &amp; Co.</t>
  </si>
  <si>
    <t>QR-112&gt;Superstep</t>
  </si>
  <si>
    <t>QR-112&gt;Starbucks</t>
  </si>
  <si>
    <t>QR-112&gt;Sosa</t>
  </si>
  <si>
    <t>QR-112&gt;Skechers</t>
  </si>
  <si>
    <t>QR-112&gt;Saray Muhallebicisi</t>
  </si>
  <si>
    <t>QR-112&gt;Raffles Istanbul</t>
  </si>
  <si>
    <t>QR-112&gt;Pinko</t>
  </si>
  <si>
    <t>QR-112&gt;Pharmacy Zorlu Center</t>
  </si>
  <si>
    <t>QR-112&gt;Pharmacy</t>
  </si>
  <si>
    <t>QR-112&gt;Park Alanı</t>
  </si>
  <si>
    <t>QR-112&gt;Pandora</t>
  </si>
  <si>
    <t>QR-112&gt;Network</t>
  </si>
  <si>
    <t>QR-112&gt;Metro&lt;br&gt;Metrobus</t>
  </si>
  <si>
    <t>QR-112&gt;Mescit</t>
  </si>
  <si>
    <t>QR-112&gt;Massimo Dutti</t>
  </si>
  <si>
    <t>QR-112&gt;Mapa</t>
  </si>
  <si>
    <t>QR-112&gt;Mango</t>
  </si>
  <si>
    <t>QR-112&gt;Levi's</t>
  </si>
  <si>
    <t>QR-112&gt;Kısmet by Milka</t>
  </si>
  <si>
    <t>QR-112&gt;Happy Moon's</t>
  </si>
  <si>
    <t>QR-112&gt;HandeHaluk Kuaför</t>
  </si>
  <si>
    <t>QR-112&gt;Günaydın Kasap &amp; Steakhouse</t>
  </si>
  <si>
    <t>QR-112&gt;Gran Cafe Eataly</t>
  </si>
  <si>
    <t>QR-112&gt;Franck Muller</t>
  </si>
  <si>
    <t>QR-112&gt;Döner Stop</t>
  </si>
  <si>
    <t>QR-112&gt;D&amp;R</t>
  </si>
  <si>
    <t>QR-112&gt;Concierge</t>
  </si>
  <si>
    <t>QR-112&gt;Calzedonia</t>
  </si>
  <si>
    <t>QR-112&gt;Calvin Klein Jeans</t>
  </si>
  <si>
    <t>QR-112&gt;Caffe Nero</t>
  </si>
  <si>
    <t>QR-112&gt;Bobbi Brown</t>
  </si>
  <si>
    <t>QR-112&gt;Beymen</t>
  </si>
  <si>
    <t>QR-112&gt;ATM</t>
  </si>
  <si>
    <t>QR-112&gt;Apple</t>
  </si>
  <si>
    <t>QR-112&gt;Ametist</t>
  </si>
  <si>
    <t>QR-109&gt;Zorlu PSM Meydan Katı</t>
  </si>
  <si>
    <t>QR-109&gt;Zorlu Center Açık Hava</t>
  </si>
  <si>
    <t>QR-109&gt;Victoria's Secret Pink</t>
  </si>
  <si>
    <t>QR-109&gt;Türkiye İş Bankası (ATM)</t>
  </si>
  <si>
    <t>QR-109&gt;Skechers</t>
  </si>
  <si>
    <t>QR-109&gt;Sinema</t>
  </si>
  <si>
    <t>QR-109&gt;Saray Muhallebicisi</t>
  </si>
  <si>
    <t>QR-109&gt;Park Alanı</t>
  </si>
  <si>
    <t>QR-109&gt;Otopark Ödeme</t>
  </si>
  <si>
    <t>QR-109&gt;Otopark Giriş Levazım</t>
  </si>
  <si>
    <t>QR-109&gt;Mescit</t>
  </si>
  <si>
    <t>QR-109&gt;HandeHaluk Kuaför</t>
  </si>
  <si>
    <t>QR-109&gt;Godiva</t>
  </si>
  <si>
    <t>QR-109&gt;Funloft</t>
  </si>
  <si>
    <t>QR-109&gt;D&amp;R</t>
  </si>
  <si>
    <t>QR-109&gt;Cup of Joy</t>
  </si>
  <si>
    <t>QR-109&gt;COS</t>
  </si>
  <si>
    <t>QR-109&gt;Caffe Nero</t>
  </si>
  <si>
    <t>QR-109&gt;BigChefs</t>
  </si>
  <si>
    <t>QR-108&gt;Zorlu PSM Boğaz Katı</t>
  </si>
  <si>
    <t>QR-108&gt;Skechers</t>
  </si>
  <si>
    <t>QR-108&gt;Plus Kitchen</t>
  </si>
  <si>
    <t>QR-108&gt;Otopark</t>
  </si>
  <si>
    <t>QR-108&gt;Mocassini</t>
  </si>
  <si>
    <t>QR-108&gt;MediaMarkt</t>
  </si>
  <si>
    <t>QR-108&gt;Macrocenter</t>
  </si>
  <si>
    <t>QR-108&gt;Eczane</t>
  </si>
  <si>
    <t>QR-108&gt;D&amp;R</t>
  </si>
  <si>
    <t>QR-108&gt;Cinema</t>
  </si>
  <si>
    <t>QR-108&gt;Burger King</t>
  </si>
  <si>
    <t>QR-108&gt;Burberry Children</t>
  </si>
  <si>
    <t>QR-108&gt;Apple</t>
  </si>
  <si>
    <t>QR-104&gt;Zorlu PSM Square Floor</t>
  </si>
  <si>
    <t>QR-104&gt;Ziyafe Kayseri Mutfağı</t>
  </si>
  <si>
    <t>QR-104&gt;VR Gayrimenkul A.Ş.</t>
  </si>
  <si>
    <t>QR-104&gt;Vennüs Telefon Aksesuar</t>
  </si>
  <si>
    <t>QR-104&gt;Vakkorama</t>
  </si>
  <si>
    <t>QR-104&gt;Universal Conselor</t>
  </si>
  <si>
    <t>QR-104&gt;Under Armour</t>
  </si>
  <si>
    <t>QR-104&gt;Tommi Brasserie</t>
  </si>
  <si>
    <t>QR-104&gt;Togg Deneyim Merkezi</t>
  </si>
  <si>
    <t>QR-104&gt;Tiffany &amp; Co.</t>
  </si>
  <si>
    <t>QR-104&gt;Terazza Italia</t>
  </si>
  <si>
    <t>QR-104&gt;Tax Free Zone (Danışma Masası)</t>
  </si>
  <si>
    <t>QR-104&gt;Taksi</t>
  </si>
  <si>
    <t>QR-104&gt;Sevil Parfümeri</t>
  </si>
  <si>
    <t>QR-104&gt;Restroom</t>
  </si>
  <si>
    <t>QR-104&gt;Ramsey</t>
  </si>
  <si>
    <t>QR-104&gt;Prada</t>
  </si>
  <si>
    <t>QR-104&gt;Penelope</t>
  </si>
  <si>
    <t>QR-104&gt;Parle</t>
  </si>
  <si>
    <t>QR-104&gt;Otopark Giriş Zincirlikuyu</t>
  </si>
  <si>
    <t>QR-104&gt;Otopark Giriş Levazım</t>
  </si>
  <si>
    <t>QR-104&gt;Otopark</t>
  </si>
  <si>
    <t>QR-104&gt;Network</t>
  </si>
  <si>
    <t>QR-104&gt;MOC</t>
  </si>
  <si>
    <t>QR-104&gt;Miu Miu</t>
  </si>
  <si>
    <t>QR-104&gt;Mer's</t>
  </si>
  <si>
    <t>QR-104&gt;McDonald's</t>
  </si>
  <si>
    <t>QR-104&gt;Masgold Kuyumculuk</t>
  </si>
  <si>
    <t>QR-104&gt;Mariposa</t>
  </si>
  <si>
    <t>QR-104&gt;MAC</t>
  </si>
  <si>
    <t>QR-104&gt;İpekyol</t>
  </si>
  <si>
    <t>QR-104&gt;Intimissimi</t>
  </si>
  <si>
    <t>QR-104&gt;Infirmary</t>
  </si>
  <si>
    <t>QR-104&gt;Günaydın Köfte &amp; Döner</t>
  </si>
  <si>
    <t>QR-104&gt;Gözgrup Optik</t>
  </si>
  <si>
    <t>QR-104&gt;Giriş Zincirlikuyu</t>
  </si>
  <si>
    <t>QR-104&gt;Giriş Levazım</t>
  </si>
  <si>
    <t>QR-104&gt;Five O'Clock</t>
  </si>
  <si>
    <t>QR-104&gt;Falconeri</t>
  </si>
  <si>
    <t>QR-104&gt;Entrance Ulus</t>
  </si>
  <si>
    <t>QR-104&gt;Emo Optik</t>
  </si>
  <si>
    <t>QR-104&gt;Eczane Zorlu Center</t>
  </si>
  <si>
    <t>QR-104&gt;Dyson</t>
  </si>
  <si>
    <t>QR-104&gt;Dorya Home</t>
  </si>
  <si>
    <t>QR-104&gt;DenizBank (ATM)</t>
  </si>
  <si>
    <t>QR-104&gt;D</t>
  </si>
  <si>
    <t>QR-104&gt;Cinema</t>
  </si>
  <si>
    <t>QR-104&gt;Car Park Entrance Zincirlikuyu</t>
  </si>
  <si>
    <t>QR-104&gt;Calvin Klein Jeans</t>
  </si>
  <si>
    <t>QR-104&gt;Caffe Nero</t>
  </si>
  <si>
    <t>QR-104&gt;Burger King</t>
  </si>
  <si>
    <t>QR-104&gt;Burberry Children</t>
  </si>
  <si>
    <t>QR-104&gt;Brooks Brothers</t>
  </si>
  <si>
    <t>QR-104&gt;Beymen Club</t>
  </si>
  <si>
    <t>QR-104&gt;Bebek Bakım Odası</t>
  </si>
  <si>
    <t>QR-104&gt;Alexander McQueen</t>
  </si>
  <si>
    <t>QR-104&gt;Aldo</t>
  </si>
  <si>
    <t>QR-104&gt;Akbank (Branch)</t>
  </si>
  <si>
    <t>QNB Finansbank (ATM)(ATM)&gt;Akbank (ATM)</t>
  </si>
  <si>
    <t>PSM&gt;PSM</t>
  </si>
  <si>
    <t>Prada&gt;Zara</t>
  </si>
  <si>
    <t>Prada&gt;WC</t>
  </si>
  <si>
    <t>Prada&gt;Toyzz Shop</t>
  </si>
  <si>
    <t>Prada&gt;Panerai</t>
  </si>
  <si>
    <t>Prada&gt;Otopark</t>
  </si>
  <si>
    <t>Prada&gt;Morini</t>
  </si>
  <si>
    <t>Prada&gt;Minycenter Carter’s</t>
  </si>
  <si>
    <t>Prada&gt;Memorial Wellness</t>
  </si>
  <si>
    <t>Prada&gt;Massimo Dutti</t>
  </si>
  <si>
    <t>Prada&gt;Macrocenter</t>
  </si>
  <si>
    <t>Prada&gt;Linens</t>
  </si>
  <si>
    <t>Prada&gt;Kafe Vesto</t>
  </si>
  <si>
    <t>Prada&gt;Infirmary</t>
  </si>
  <si>
    <t>Prada&gt;Exchange Zor</t>
  </si>
  <si>
    <t>Prada&gt;BigChefs</t>
  </si>
  <si>
    <t>Popeyes&gt;Eataly</t>
  </si>
  <si>
    <t>Plus Kitchen&gt;Voi Coffee Company</t>
  </si>
  <si>
    <t>Pinko&gt;Tiffany &amp; Co.</t>
  </si>
  <si>
    <t>Pinko&gt;Eataly</t>
  </si>
  <si>
    <t>Pidem&gt;Zara Home</t>
  </si>
  <si>
    <t>Pidem&gt;Tobacco Shop</t>
  </si>
  <si>
    <t>Pidem&gt;Raffles Istanbul</t>
  </si>
  <si>
    <t>Pharmacy&gt;Pharmacy</t>
  </si>
  <si>
    <t>Perspective&gt;Zula</t>
  </si>
  <si>
    <t>Perspective&gt;Network</t>
  </si>
  <si>
    <t>Perspective&gt;Infirmary</t>
  </si>
  <si>
    <t>Penelope&gt;Metro&lt;br&gt;Metrobus</t>
  </si>
  <si>
    <t>Penelope&gt;Memorial Wellness</t>
  </si>
  <si>
    <t>Passo Bilet Gişesi&gt;PSM</t>
  </si>
  <si>
    <t>Paşabahçe Mağazaları&gt;Toyzz Shop</t>
  </si>
  <si>
    <t>Paşabahçe Mağazaları&gt;Starbucks</t>
  </si>
  <si>
    <t>Paşabahçe Mağazaları&gt;Metro&lt;br&gt;Metrobüs</t>
  </si>
  <si>
    <t>Paşabahçe Mağazaları&gt;Eczane</t>
  </si>
  <si>
    <t>Paşabahçe Mağazaları&gt;Eataly</t>
  </si>
  <si>
    <t>Paşabahçe Mağazaları&gt;BigChefs</t>
  </si>
  <si>
    <t>Parle&gt;Zula</t>
  </si>
  <si>
    <t>Parle&gt;Pandora</t>
  </si>
  <si>
    <t>Paribu Cineverse&gt;Victoria's Secret</t>
  </si>
  <si>
    <t>Paribu Cineverse&gt;Günaydın Kasap &amp; Steakhouse</t>
  </si>
  <si>
    <t>Pandora&gt;Zula</t>
  </si>
  <si>
    <t>Pandora&gt;Vario</t>
  </si>
  <si>
    <t>Pandora&gt;Tommi Brasserie</t>
  </si>
  <si>
    <t>Pandora&gt;SushiCo</t>
  </si>
  <si>
    <t>Pandora&gt;Saray Muhallebicisi</t>
  </si>
  <si>
    <t>Pandora&gt;Machka</t>
  </si>
  <si>
    <t>Pandora&gt;Information Desk</t>
  </si>
  <si>
    <t>Pandora&gt;Happy Moon's</t>
  </si>
  <si>
    <t>Pandora&gt;Global Blue (Beymen)</t>
  </si>
  <si>
    <t>Pandora&gt;Dolce &amp; Gabbana</t>
  </si>
  <si>
    <t>Pandora&gt;D&amp;R</t>
  </si>
  <si>
    <t>Pandora&gt;Camper</t>
  </si>
  <si>
    <t>Pandora&gt;BigChefs</t>
  </si>
  <si>
    <t>Pandora&gt;Atasay</t>
  </si>
  <si>
    <t>Odaş Elektrik&gt;Odaş Elektrik</t>
  </si>
  <si>
    <t>NU&gt;Tax Free Zone (Info Desk)</t>
  </si>
  <si>
    <t>Nike by Levazım&gt;Zara</t>
  </si>
  <si>
    <t>Network&gt;Zorlu PSM Boğaz Katı</t>
  </si>
  <si>
    <t>Network&gt;WC</t>
  </si>
  <si>
    <t>Network&gt;Tumi</t>
  </si>
  <si>
    <t>Network&gt;Tax Free Zone (Info Desk)</t>
  </si>
  <si>
    <t>Network&gt;Studio</t>
  </si>
  <si>
    <t>Network&gt;Rolex</t>
  </si>
  <si>
    <t>Network&gt;MediaMarkt</t>
  </si>
  <si>
    <t>Network&gt;Giriş Levazım</t>
  </si>
  <si>
    <t>Network&gt;Diesel</t>
  </si>
  <si>
    <t>Nespresso&gt;WC</t>
  </si>
  <si>
    <t>Nautica&gt;Prayer Room</t>
  </si>
  <si>
    <t>Nautica&gt;MediaMarkt</t>
  </si>
  <si>
    <t>Nautica&gt;Caffe Nero</t>
  </si>
  <si>
    <t>Morini&gt;Global Blue (Beymen)</t>
  </si>
  <si>
    <t>MOC&gt;Zorlu PSM Boğaz Katı</t>
  </si>
  <si>
    <t>MOC&gt;Nespresso</t>
  </si>
  <si>
    <t>Miu Miu&gt;Macrocenter</t>
  </si>
  <si>
    <t>Miu Miu&gt;Crossing</t>
  </si>
  <si>
    <t>Minycenter Carter’s&gt;Welldone</t>
  </si>
  <si>
    <t>Minycenter Carter’s&gt;Toyzz Shop</t>
  </si>
  <si>
    <t>Minycenter Carter’s&gt;Tobacco Shop</t>
  </si>
  <si>
    <t>Minycenter Carter’s&gt;Rolex</t>
  </si>
  <si>
    <t>Miele&gt;Zara</t>
  </si>
  <si>
    <t>Miele&gt;Starbucks</t>
  </si>
  <si>
    <t>Miele&gt;Otopark Giriş Levazım</t>
  </si>
  <si>
    <t>Miele&gt;MOC</t>
  </si>
  <si>
    <t>Miele&gt;MediaMarkt</t>
  </si>
  <si>
    <t>Miele&gt;Mango</t>
  </si>
  <si>
    <t>Miele&gt;Macrocenter</t>
  </si>
  <si>
    <t>Miele&gt;Harman Kardon</t>
  </si>
  <si>
    <t>Miele&gt;COS</t>
  </si>
  <si>
    <t>Miele&gt;BigChefs</t>
  </si>
  <si>
    <t>Mescit&gt;Apple</t>
  </si>
  <si>
    <t>Memorial Wellness&gt;Zorlu PSM Meydan Katı</t>
  </si>
  <si>
    <t>MediaMarkt(Paribu Cineverse yanı)&gt;Watsons</t>
  </si>
  <si>
    <t>MediaMarkt(Paribu Cineverse yanı)&gt;Günaydın Köfte &amp; Döner</t>
  </si>
  <si>
    <t>MediaMarkt(Paribu Cineverse yanı)&gt;_x0010_0 Pub</t>
  </si>
  <si>
    <t>MediaMarkt(Next to Uranüs)&gt;MediaMarkt</t>
  </si>
  <si>
    <t>MediaMarkt(Next to Uranüs)&gt;Chanel</t>
  </si>
  <si>
    <t>MediaMarkt(Next to Paribu Cineverse)&gt;Yalçınlar</t>
  </si>
  <si>
    <t>MediaMarkt(Next to Paribu Cineverse)&gt;Vestel</t>
  </si>
  <si>
    <t>MediaMarkt(Next to Paribu Cineverse)&gt;MediaMarkt</t>
  </si>
  <si>
    <t>McDonald's&gt;Zara</t>
  </si>
  <si>
    <t>McDonald's&gt;Taxi</t>
  </si>
  <si>
    <t>McDonald's&gt;Skechers</t>
  </si>
  <si>
    <t>McDonald's&gt;Macrocenter</t>
  </si>
  <si>
    <t>McDonald's&gt;BigChefs</t>
  </si>
  <si>
    <t>Mavi&gt;Zorlu PSM Meydan Katı</t>
  </si>
  <si>
    <t>Mavi&gt;Şükrü Dudu Barber’s Club</t>
  </si>
  <si>
    <t>Mavi&gt;Starbucks</t>
  </si>
  <si>
    <t>Mavi&gt;MediaMarkt</t>
  </si>
  <si>
    <t>Massimo Dutti&gt;Zula</t>
  </si>
  <si>
    <t>Massimo Dutti&gt;Zara</t>
  </si>
  <si>
    <t>Massimo Dutti&gt;Watsons</t>
  </si>
  <si>
    <t>Massimo Dutti&gt;PSM</t>
  </si>
  <si>
    <t>Massimo Dutti&gt;Parle</t>
  </si>
  <si>
    <t>Massimo Dutti&gt;Levi's</t>
  </si>
  <si>
    <t>Massimo Dutti&gt;Balmain</t>
  </si>
  <si>
    <t>Massimo Dutti&gt;B&amp;G Store</t>
  </si>
  <si>
    <t>Mapa&gt;Starbucks</t>
  </si>
  <si>
    <t>Mapa&gt;MOC</t>
  </si>
  <si>
    <t>Mapa&gt;Eataly</t>
  </si>
  <si>
    <t>Mango&gt;Watsons</t>
  </si>
  <si>
    <t>Mango&gt;Voi Coffee Company</t>
  </si>
  <si>
    <t>Mango&gt;Victoria's Secret</t>
  </si>
  <si>
    <t>Mango&gt;Subway Metrobus</t>
  </si>
  <si>
    <t>Mango&gt;Pinko</t>
  </si>
  <si>
    <t>Mango&gt;Otopark Giriş Levazım</t>
  </si>
  <si>
    <t>Mango&gt;Mango</t>
  </si>
  <si>
    <t>Mango&gt;Macrocenter</t>
  </si>
  <si>
    <t>Mango&gt;MAC Mars Athletic Club</t>
  </si>
  <si>
    <t>Mango&gt;H&amp;M</t>
  </si>
  <si>
    <t>Mango&gt;Chakra</t>
  </si>
  <si>
    <t>Mango&gt;Beymen Club</t>
  </si>
  <si>
    <t>Macrocenter&gt;Zula</t>
  </si>
  <si>
    <t>Macrocenter&gt;Prayer Room</t>
  </si>
  <si>
    <t>Macrocenter&gt;Pidem</t>
  </si>
  <si>
    <t>Macrocenter&gt;Kafe Vesto</t>
  </si>
  <si>
    <t>Macrocenter&gt;Funloft</t>
  </si>
  <si>
    <t>Macrocenter&gt;Entrance Metro Floor</t>
  </si>
  <si>
    <t>Machka&gt;Zara</t>
  </si>
  <si>
    <t>MAC&gt;Zara</t>
  </si>
  <si>
    <t>MAC&gt;Watsons</t>
  </si>
  <si>
    <t>MAC&gt;Nespresso</t>
  </si>
  <si>
    <t>MAC&gt;MediaMarkt</t>
  </si>
  <si>
    <t>MAC&gt;Macrocenter</t>
  </si>
  <si>
    <t>Louis Vuitton&gt;Zula</t>
  </si>
  <si>
    <t>Louis Vuitton&gt;Zorlu PSM Bosphorus Floor</t>
  </si>
  <si>
    <t>Louis Vuitton&gt;Valentino</t>
  </si>
  <si>
    <t>Louis Vuitton&gt;Saint Laurent</t>
  </si>
  <si>
    <t>Louis Vuitton&gt;Plus Kitchen</t>
  </si>
  <si>
    <t>Louis Vuitton&gt;Mer's</t>
  </si>
  <si>
    <t>Louis Vuitton&gt;Lacoste</t>
  </si>
  <si>
    <t>Louis Vuitton&gt;Garanti BBVA (ATM)</t>
  </si>
  <si>
    <t>Louis Vuitton&gt;Columbia</t>
  </si>
  <si>
    <t>Louis Vuitton&gt;Chanel</t>
  </si>
  <si>
    <t>Louis Vuitton&gt;BigChefs</t>
  </si>
  <si>
    <t>Louis Vuitton&gt;Akbank (Branch)</t>
  </si>
  <si>
    <t>lobyy-101&gt;Odaş Elektrik</t>
  </si>
  <si>
    <t>Linens&gt;Zara Home</t>
  </si>
  <si>
    <t>Linens&gt;Welldone</t>
  </si>
  <si>
    <t>Linens&gt;Voi Coffee Company</t>
  </si>
  <si>
    <t>Linens&gt;Türkiye İş Bankası (ATM)</t>
  </si>
  <si>
    <t>Linens&gt;Superstep</t>
  </si>
  <si>
    <t>Linens&gt;Popeyes</t>
  </si>
  <si>
    <t>Linens&gt;Mescit</t>
  </si>
  <si>
    <t>Linens&gt;KFC</t>
  </si>
  <si>
    <t>Levi's&gt;Otopark</t>
  </si>
  <si>
    <t>Levi's&gt;Nike by Levazım</t>
  </si>
  <si>
    <t>Levi's&gt;Mer's</t>
  </si>
  <si>
    <t>Levi's&gt;Massimo Dutti</t>
  </si>
  <si>
    <t>Levi's&gt;MAC Mars Athletic Club</t>
  </si>
  <si>
    <t>Levi's&gt;Levi's</t>
  </si>
  <si>
    <t>Levi's&gt;Eataly</t>
  </si>
  <si>
    <t>Levi's&gt;Damac</t>
  </si>
  <si>
    <t>Levent Lostra&gt;Caffe Nero</t>
  </si>
  <si>
    <t>Lacoste&gt;Zara</t>
  </si>
  <si>
    <t>Lacoste&gt;Turkcell</t>
  </si>
  <si>
    <t>Lacoste&gt;Starbucks</t>
  </si>
  <si>
    <t>Lacoste&gt;Pharmacy</t>
  </si>
  <si>
    <t>Lacoste&gt;Pandora</t>
  </si>
  <si>
    <t>Lacoste&gt;Nev Lokanta Meze</t>
  </si>
  <si>
    <t>Lacoste&gt;McDonald's</t>
  </si>
  <si>
    <t>Lacoste&gt;Godiva</t>
  </si>
  <si>
    <t>Lacoste&gt;ATM</t>
  </si>
  <si>
    <t>L'Occitane&gt;Park Area</t>
  </si>
  <si>
    <t>L'Occitane&gt;MAC Mars Athletic Club</t>
  </si>
  <si>
    <t>Kısmet by Milka&gt;Funloft</t>
  </si>
  <si>
    <t>Kiehl's&gt;Pandora</t>
  </si>
  <si>
    <t>KFC&gt;Taxi</t>
  </si>
  <si>
    <t>KFC&gt;Raffles İstanbul</t>
  </si>
  <si>
    <t>KFC&gt;Louis Vuitton</t>
  </si>
  <si>
    <t>Kafe Vesto&gt;Kafe Vesto</t>
  </si>
  <si>
    <t>Jo Malone&gt;Günaydın Kasap &amp; Steakhouse</t>
  </si>
  <si>
    <t>JBL&gt;Zula</t>
  </si>
  <si>
    <t>JBL&gt;Zara</t>
  </si>
  <si>
    <t>JBL&gt;Kafe Vesto</t>
  </si>
  <si>
    <t>Jacadi Paris&gt;Information Desk</t>
  </si>
  <si>
    <t>Isokyo&gt;Isokyo</t>
  </si>
  <si>
    <t>Intimissimi&gt;Zula</t>
  </si>
  <si>
    <t>Intimissimi&gt;Vestel</t>
  </si>
  <si>
    <t>Intimissimi&gt;Toyzz Shop</t>
  </si>
  <si>
    <t>Intimissimi&gt;Tommy Hilfiger</t>
  </si>
  <si>
    <t>Intimissimi&gt;SushiCo</t>
  </si>
  <si>
    <t>Intimissimi&gt;Prayer Room</t>
  </si>
  <si>
    <t>Intimissimi&gt;Nespresso</t>
  </si>
  <si>
    <t>Intimissimi&gt;Mer's</t>
  </si>
  <si>
    <t>Intimissimi&gt;MediaMarkt</t>
  </si>
  <si>
    <t>Intimissimi&gt;MAC Mars Athletic Club</t>
  </si>
  <si>
    <t>Intimissimi&gt;Günaydın Kasap &amp; Steakhouse</t>
  </si>
  <si>
    <t>Intimissimi&gt;Godiva</t>
  </si>
  <si>
    <t>Intimissimi&gt;English Home</t>
  </si>
  <si>
    <t>Intimissimi&gt;Emo Optik</t>
  </si>
  <si>
    <t>Intimissimi&gt;Calvin Klein Jeans</t>
  </si>
  <si>
    <t>Intimissimi&gt;Apple</t>
  </si>
  <si>
    <t>Intimissimi&gt;Akbank (ATM)</t>
  </si>
  <si>
    <t>ID-245&gt;PSM</t>
  </si>
  <si>
    <t>Harman Kardon&gt;Yapı Kredi (ATM)</t>
  </si>
  <si>
    <t>Haremlique Istanbul&gt;Paşabahçe Mağazaları</t>
  </si>
  <si>
    <t>Happy Moon's&gt;Tuvalet</t>
  </si>
  <si>
    <t>Happy Moon's&gt;Saray Muhallebicisi</t>
  </si>
  <si>
    <t>Happy Moon's&gt;Pharmacy Zorlu Center</t>
  </si>
  <si>
    <t>Happy Moon's&gt;KFC</t>
  </si>
  <si>
    <t>Happy Moon's&gt;Happy Moon's</t>
  </si>
  <si>
    <t>Happy Moon's&gt;Günaydın Köfte &amp; Döner</t>
  </si>
  <si>
    <t>Happy Moon's&gt;Eczane</t>
  </si>
  <si>
    <t>HandeHaluk Kuaför&gt;Etstur</t>
  </si>
  <si>
    <t>H&amp;M&gt;Zula</t>
  </si>
  <si>
    <t>H&amp;M&gt;Watsons</t>
  </si>
  <si>
    <t>H&amp;M&gt;Pharmacy</t>
  </si>
  <si>
    <t>H&amp;M&gt;Masjid</t>
  </si>
  <si>
    <t>H&amp;M&gt;H&amp;M</t>
  </si>
  <si>
    <t>H&amp;M&gt;Diesel</t>
  </si>
  <si>
    <t>H&amp;M&gt;D&amp;R</t>
  </si>
  <si>
    <t>H&amp;M&gt;Atasay</t>
  </si>
  <si>
    <t>H&amp;M&gt;Adidas</t>
  </si>
  <si>
    <t>Günaydın Köfte &amp; Döner&gt;Akbank (ATM)</t>
  </si>
  <si>
    <t>Günaydın Kasap &amp; Steakhouse&gt;Funloft</t>
  </si>
  <si>
    <t>Gucci&gt;Zula</t>
  </si>
  <si>
    <t>Gucci&gt;Zor Exchange</t>
  </si>
  <si>
    <t>Gucci&gt;Zanzibar</t>
  </si>
  <si>
    <t>Gucci&gt;Türkiye İş Bankası (ATM)</t>
  </si>
  <si>
    <t>Gucci&gt;Mavi</t>
  </si>
  <si>
    <t>Gucci&gt;Massimo Dutti</t>
  </si>
  <si>
    <t>Gucci&gt;Isokyo</t>
  </si>
  <si>
    <t>Green Salads&gt;Watsons</t>
  </si>
  <si>
    <t>Green Salads&gt;MediaMarkt</t>
  </si>
  <si>
    <t>Green Salads&gt;Kafe Vesto</t>
  </si>
  <si>
    <t>Green Salads&gt;Adidas</t>
  </si>
  <si>
    <t>Gran Cafe Eataly&gt;Tuvalet</t>
  </si>
  <si>
    <t>Golden Goose&gt;Toyzz Shop</t>
  </si>
  <si>
    <t>Golden Goose&gt;Tahin</t>
  </si>
  <si>
    <t>Godiva&gt;Welldone</t>
  </si>
  <si>
    <t>Godiva&gt;Sabit Akkaya Hair Stylist</t>
  </si>
  <si>
    <t>Godiva&gt;Macrocenter</t>
  </si>
  <si>
    <t>Godiva&gt;Hello Sweetie</t>
  </si>
  <si>
    <t>Godiva&gt;Happy Moon's</t>
  </si>
  <si>
    <t>Godiva&gt;Global Blue (Beymen)</t>
  </si>
  <si>
    <t>Godiva&gt;BigChefs</t>
  </si>
  <si>
    <t>Gilan&gt;Sabit Akkaya Hair Stylist</t>
  </si>
  <si>
    <t>Gilan&gt;Kafe Vesto</t>
  </si>
  <si>
    <t>Gilan&gt;Eataly</t>
  </si>
  <si>
    <t>Gap&gt;Zula</t>
  </si>
  <si>
    <t>Gap&gt;Zara</t>
  </si>
  <si>
    <t>Gap&gt;Toyzz Shop</t>
  </si>
  <si>
    <t>Gap&gt;Tobacco Shop</t>
  </si>
  <si>
    <t>Gap&gt;Starbucks</t>
  </si>
  <si>
    <t>Gant&gt;Levi's</t>
  </si>
  <si>
    <t>Gant&gt;Aldo</t>
  </si>
  <si>
    <t>Funloft&gt;Pandora</t>
  </si>
  <si>
    <t>Funloft&gt;Nike by Levazım</t>
  </si>
  <si>
    <t>Five O'Clock&gt;Taxi</t>
  </si>
  <si>
    <t>Five O'Clock&gt;Cinema</t>
  </si>
  <si>
    <t>Fendi&gt;Zara</t>
  </si>
  <si>
    <t>Fendi&gt;BigChefs</t>
  </si>
  <si>
    <t>Falconeri&gt;WMF</t>
  </si>
  <si>
    <t>Falconeri&gt;Welldone</t>
  </si>
  <si>
    <t>Falconeri&gt;WC</t>
  </si>
  <si>
    <t>Falconeri&gt;US Polo Assn.</t>
  </si>
  <si>
    <t>Falconeri&gt;Toyzz Shop</t>
  </si>
  <si>
    <t>Falconeri&gt;Rolex</t>
  </si>
  <si>
    <t>Falconeri&gt;PSM</t>
  </si>
  <si>
    <t>Falconeri&gt;Prada</t>
  </si>
  <si>
    <t>Falconeri&gt;Panerai</t>
  </si>
  <si>
    <t>Falconeri&gt;Moncler</t>
  </si>
  <si>
    <t>Falconeri&gt;Macrocenter</t>
  </si>
  <si>
    <t>Falconeri&gt;Louis Vuitton</t>
  </si>
  <si>
    <t>Falconeri&gt;Levi's</t>
  </si>
  <si>
    <t>Falconeri&gt;KFC</t>
  </si>
  <si>
    <t>Falconeri&gt;Happy Moon's</t>
  </si>
  <si>
    <t>Falconeri&gt;English Home</t>
  </si>
  <si>
    <t>Falconeri&gt;COS</t>
  </si>
  <si>
    <t>Falconeri&gt;Beymen Club</t>
  </si>
  <si>
    <t>Falconeri&gt;Arby's</t>
  </si>
  <si>
    <t>Evgaranti Gayrimenkul&gt;Infirmary</t>
  </si>
  <si>
    <t>Etiler Marmaris&gt;Apple</t>
  </si>
  <si>
    <t>English Home&gt;WC</t>
  </si>
  <si>
    <t>English Home&gt;Toyzz Shop</t>
  </si>
  <si>
    <t>English Home&gt;Sosa</t>
  </si>
  <si>
    <t>English Home&gt;Funloft</t>
  </si>
  <si>
    <t>English Home&gt;COS</t>
  </si>
  <si>
    <t>Emo Optik&gt;Zor Exchange</t>
  </si>
  <si>
    <t>Eataly&gt;Terazza Italia</t>
  </si>
  <si>
    <t>Eataly&gt;Raffles Istanbul</t>
  </si>
  <si>
    <t>Eataly&gt;Popeyes</t>
  </si>
  <si>
    <t>Eataly&gt;Otopark Giriş Zincirlikuyu</t>
  </si>
  <si>
    <t>Eataly&gt;Oniki Hukuk Bürosu</t>
  </si>
  <si>
    <t>Eataly&gt;Cinema</t>
  </si>
  <si>
    <t>Eataly&gt;Beymen Club</t>
  </si>
  <si>
    <t>Dyson&gt;Saat</t>
  </si>
  <si>
    <t>Dry Corner&gt;Park Alanı</t>
  </si>
  <si>
    <t>Dorya Home&gt;Mescit</t>
  </si>
  <si>
    <t>Dolce &amp; Gabbana&gt;Zula</t>
  </si>
  <si>
    <t>Dolce &amp; Gabbana&gt;Welldone</t>
  </si>
  <si>
    <t>Dolce &amp; Gabbana&gt;Vakkorama Cafe</t>
  </si>
  <si>
    <t>Dolce &amp; Gabbana&gt;Park Alanı</t>
  </si>
  <si>
    <t>Dolce &amp; Gabbana&gt;Nike by Levazım</t>
  </si>
  <si>
    <t>Dolce &amp; Gabbana&gt;Macrocenter</t>
  </si>
  <si>
    <t>Dolce &amp; Gabbana&gt;H&amp;M</t>
  </si>
  <si>
    <t>Dolce &amp; Gabbana&gt;Akbank (Şube)</t>
  </si>
  <si>
    <t>Divarese&gt;Vakko</t>
  </si>
  <si>
    <t>Divarese&gt;MediaMarkt</t>
  </si>
  <si>
    <t>Divarese&gt;Mango</t>
  </si>
  <si>
    <t>Divarese&gt;Happy Moon's</t>
  </si>
  <si>
    <t>Divarese&gt;Garanti BBVA (ATM)</t>
  </si>
  <si>
    <t>Divarese&gt;Eataly</t>
  </si>
  <si>
    <t>Divarese&gt;Carl's Jr.</t>
  </si>
  <si>
    <t>Divarese&gt;BigChefs</t>
  </si>
  <si>
    <t>Dior&gt;Zara</t>
  </si>
  <si>
    <t>Dior&gt;Zanzibar</t>
  </si>
  <si>
    <t>Dior&gt;Sabit Akkaya Hair Stylist</t>
  </si>
  <si>
    <t>Dior&gt;İpekyol</t>
  </si>
  <si>
    <t>Diesel&gt;Zara Home</t>
  </si>
  <si>
    <t>Diesel&gt;Yapı Kredi (ATM)</t>
  </si>
  <si>
    <t>Diesel&gt;Skechers</t>
  </si>
  <si>
    <t>Diesel&gt;PSM</t>
  </si>
  <si>
    <t>Diesel&gt;Nespresso</t>
  </si>
  <si>
    <t>Diesel&gt;Moncler</t>
  </si>
  <si>
    <t>Diesel&gt;McDonald's</t>
  </si>
  <si>
    <t>Diesel&gt;Macrocenter</t>
  </si>
  <si>
    <t>Diesel&gt;Levi's</t>
  </si>
  <si>
    <t>Diesel&gt;H&amp;M</t>
  </si>
  <si>
    <t>Diesel&gt;English Home</t>
  </si>
  <si>
    <t>Diesel&gt;COS</t>
  </si>
  <si>
    <t>Diesel&gt;Cinema</t>
  </si>
  <si>
    <t>Dagi&gt;Metro&lt;br&gt;Metrobüs</t>
  </si>
  <si>
    <t>Dagi&gt;Mango</t>
  </si>
  <si>
    <t>Dagi&gt;Apple</t>
  </si>
  <si>
    <t>Dagi&gt;Adidas</t>
  </si>
  <si>
    <t>D&amp;R&gt;Ziyafe Kayseri Mutfağı</t>
  </si>
  <si>
    <t>D&amp;R&gt;Voi Coffee Company</t>
  </si>
  <si>
    <t>D&amp;R&gt;Vakko L'Atelier</t>
  </si>
  <si>
    <t>D&amp;R&gt;Dyson</t>
  </si>
  <si>
    <t>Cup of Joy&gt;Prayer Room</t>
  </si>
  <si>
    <t>Cup of Joy&gt;MediaMarkt</t>
  </si>
  <si>
    <t>COS&gt;Zula</t>
  </si>
  <si>
    <t>COS&gt;Zor Exchange</t>
  </si>
  <si>
    <t>COS&gt;Vakko L'Atelier</t>
  </si>
  <si>
    <t>COS&gt;Taxi</t>
  </si>
  <si>
    <t>COS&gt;Saint Laurent</t>
  </si>
  <si>
    <t>COS&gt;Paşabahçe Mağazaları</t>
  </si>
  <si>
    <t>COS&gt;Macrocenter</t>
  </si>
  <si>
    <t>COS&gt;İpekyol</t>
  </si>
  <si>
    <t>COS&gt;D&amp;R</t>
  </si>
  <si>
    <t>COS&gt;Bob Vale Park (Ulus/Raffles)</t>
  </si>
  <si>
    <t>COS&gt;Bob Vale Park (Levazım/Beymen)</t>
  </si>
  <si>
    <t>COS&gt;BigChefs</t>
  </si>
  <si>
    <t>Concierge&gt;Zara</t>
  </si>
  <si>
    <t>Columbia&gt;Zula</t>
  </si>
  <si>
    <t>Columbia&gt;Parle</t>
  </si>
  <si>
    <t>Cinema&gt;Fauchon Paris</t>
  </si>
  <si>
    <t>Chanel&gt;WC</t>
  </si>
  <si>
    <t>Chanel&gt;Skechers</t>
  </si>
  <si>
    <t>Chanel&gt;Eataly</t>
  </si>
  <si>
    <t>Chakra&gt;Victoria's Secret Pink</t>
  </si>
  <si>
    <t>Chakra&gt;Raffles Istanbul</t>
  </si>
  <si>
    <t>Chakra&gt;Camper</t>
  </si>
  <si>
    <t>Casa&gt;Watsons</t>
  </si>
  <si>
    <t>Casa&gt;Memorial Wellness</t>
  </si>
  <si>
    <t>Cantinery&gt;Zara</t>
  </si>
  <si>
    <t>Cantinery&gt;Tommy Hilfiger</t>
  </si>
  <si>
    <t>Cantinery&gt;MontBlanc</t>
  </si>
  <si>
    <t>Cantinery&gt;Caffe Nero</t>
  </si>
  <si>
    <t>Camper&gt;Skechers</t>
  </si>
  <si>
    <t>Camper&gt;Giriş Metro Katı</t>
  </si>
  <si>
    <t>Camper&gt;English Home</t>
  </si>
  <si>
    <t>Camper&gt;Döviz Zor</t>
  </si>
  <si>
    <t>Camper&gt;Dagi</t>
  </si>
  <si>
    <t>Calzedonia&gt;Victoria's Secret</t>
  </si>
  <si>
    <t>Calzedonia&gt;Tax Free Zone (Info Desk)</t>
  </si>
  <si>
    <t>Calzedonia&gt;Memorial Wellness</t>
  </si>
  <si>
    <t>Calzedonia&gt;Giriş Levazım</t>
  </si>
  <si>
    <t>Calzedonia&gt;English Home</t>
  </si>
  <si>
    <t>Calzedonia&gt;D&amp;R</t>
  </si>
  <si>
    <t>Calzedonia&gt;COS</t>
  </si>
  <si>
    <t>Calvin Klein Jeans&gt;Zara</t>
  </si>
  <si>
    <t>Calvin Klein Jeans&gt;Watsons</t>
  </si>
  <si>
    <t>Calvin Klein Jeans&gt;Toyzz Shop</t>
  </si>
  <si>
    <t>Calvin Klein Jeans&gt;Otopark Giriş Levazım</t>
  </si>
  <si>
    <t>Calvin Klein Jeans&gt;MediaMarkt</t>
  </si>
  <si>
    <t>Calvin Klein Jeans&gt;Green Salads</t>
  </si>
  <si>
    <t>Calvin Klein Jeans&gt;Godiva</t>
  </si>
  <si>
    <t>Calvin Klein Jeans&gt;Eataly</t>
  </si>
  <si>
    <t>Calvin Klein Jeans&gt;Camper</t>
  </si>
  <si>
    <t>Calvin Klein Jeans&gt;Akbank (ATM)</t>
  </si>
  <si>
    <t>Calvin Klein Jeans&gt;Abdullah Kiğılı Exclusive Cut</t>
  </si>
  <si>
    <t>Caffe Nero&gt;Watsons</t>
  </si>
  <si>
    <t>Caffe Nero&gt;Victoria's Secret</t>
  </si>
  <si>
    <t>Caffe Nero&gt;SushiCo</t>
  </si>
  <si>
    <t>Caffe Nero&gt;Starbucks</t>
  </si>
  <si>
    <t>Caffe Nero&gt;Sephora</t>
  </si>
  <si>
    <t>Caffe Nero&gt;Prayer Room</t>
  </si>
  <si>
    <t>Caffe Nero&gt;Plus Kitchen</t>
  </si>
  <si>
    <t>Caffe Nero&gt;Otopark</t>
  </si>
  <si>
    <t>Caffe Nero&gt;Nike by Levazım</t>
  </si>
  <si>
    <t>Caffe Nero&gt;MOC</t>
  </si>
  <si>
    <t>Caffe Nero&gt;Metro&lt;br&gt;Metrobus</t>
  </si>
  <si>
    <t>Caffe Nero&gt;Louis Vuitton</t>
  </si>
  <si>
    <t>Caffe Nero&gt;Haremlique Istanbul</t>
  </si>
  <si>
    <t>Caffe Nero&gt;H&amp;M</t>
  </si>
  <si>
    <t>Caffe Nero&gt;English Home</t>
  </si>
  <si>
    <t>Bvlgari&gt;Raffles İstanbul</t>
  </si>
  <si>
    <t>Bvlgari&gt;Eataly</t>
  </si>
  <si>
    <t>Burger King&gt;Sinema</t>
  </si>
  <si>
    <t>Burger King&gt;Eataly</t>
  </si>
  <si>
    <t>Burger King&gt;ATM</t>
  </si>
  <si>
    <t>Burberry&gt;Zara</t>
  </si>
  <si>
    <t>Burberry&gt;Pharmacy</t>
  </si>
  <si>
    <t>Burberry&gt;MOC</t>
  </si>
  <si>
    <t>Burberry&gt;MAC Mars Athletic Club</t>
  </si>
  <si>
    <t>Burberry&gt;Burger King</t>
  </si>
  <si>
    <t>Burberry&gt;BigChefs</t>
  </si>
  <si>
    <t>Burberry Children&gt;Saint Laurent</t>
  </si>
  <si>
    <t>Brooks Brothers&gt;Vakko</t>
  </si>
  <si>
    <t>Brooks Brothers&gt;Starbucks</t>
  </si>
  <si>
    <t>Brooks Brothers&gt;Cantinery</t>
  </si>
  <si>
    <t>Brooks Brothers&gt;Brooks Brothers</t>
  </si>
  <si>
    <t>Brandy's&gt;Victoria's Secret Pink</t>
  </si>
  <si>
    <t>Brandy's&gt;US Polo Assn.</t>
  </si>
  <si>
    <t>Brandy's&gt;Tuvalet</t>
  </si>
  <si>
    <t>Brandy's&gt;Saray Muhallebicisi</t>
  </si>
  <si>
    <t>Bobbi Brown&gt;Plus Kitchen</t>
  </si>
  <si>
    <t>Bobbi Brown&gt;Günaydın Kasap &amp; Steakhouse</t>
  </si>
  <si>
    <t>BigChefs&gt;Zula</t>
  </si>
  <si>
    <t>BigChefs&gt;Zara</t>
  </si>
  <si>
    <t>BigChefs&gt;Welldone</t>
  </si>
  <si>
    <t>BigChefs&gt;Watsons</t>
  </si>
  <si>
    <t>BigChefs&gt;Toyzz Shop</t>
  </si>
  <si>
    <t>BigChefs&gt;Şükrü Dudu Barber’s Club</t>
  </si>
  <si>
    <t>BigChefs&gt;Sneaks Up</t>
  </si>
  <si>
    <t>BigChefs&gt;Raffles İstanbul</t>
  </si>
  <si>
    <t>BigChefs&gt;Otopark</t>
  </si>
  <si>
    <t>BigChefs&gt;Nike by Levazım</t>
  </si>
  <si>
    <t>BigChefs&gt;Happy Moon's</t>
  </si>
  <si>
    <t>BigChefs&gt;Beymen</t>
  </si>
  <si>
    <t>Beymen(Tommy Hilfiger yanı)&gt;Zula</t>
  </si>
  <si>
    <t>Beymen(Tommy Hilfiger yanı)&gt;Toyzz Shop</t>
  </si>
  <si>
    <t>Beymen(Tommy Hilfiger yanı)&gt;PSM</t>
  </si>
  <si>
    <t>Beymen(Tommy Hilfiger yanı)&gt;Morini</t>
  </si>
  <si>
    <t>Beymen(Tommy Hilfiger yanı)&gt;Happy Moon's</t>
  </si>
  <si>
    <t>Beymen(Tommy Hilfiger yanı)&gt;BigChefs</t>
  </si>
  <si>
    <t>Beymen(Tommy Hilfiger yanı)&gt;Beymen Club</t>
  </si>
  <si>
    <t>Beymen(Next to Tommy Hilfiger)&gt;Zara</t>
  </si>
  <si>
    <t>Beymen(Next to Tommy Hilfiger)&gt;Ramsey</t>
  </si>
  <si>
    <t>Beymen(Next to Tommy Hilfiger)&gt;Parle</t>
  </si>
  <si>
    <t>Beymen(Next to Tommy Hilfiger)&gt;Louis Vuitton</t>
  </si>
  <si>
    <t>Beymen(Next to Tommy Hilfiger)&gt;COS</t>
  </si>
  <si>
    <t>Beymen(Next to Tommy Hilfiger)&gt;Burger King</t>
  </si>
  <si>
    <t>Beymen(Next to Tommy Hilfiger)&gt;Beymen</t>
  </si>
  <si>
    <t>Beymen(Next to Morini)&gt;WC</t>
  </si>
  <si>
    <t>Beymen(Next to Morini)&gt;Infirmary</t>
  </si>
  <si>
    <t>Beymen(Next to Morini)&gt;Burger King</t>
  </si>
  <si>
    <t>Beymen(Morini yanı)&gt;Vakko Home</t>
  </si>
  <si>
    <t>Beymen(Morini yanı)&gt;Günaydın Kasap &amp; Steakhouse</t>
  </si>
  <si>
    <t>Beymen(Morini yanı)&gt;Beymen</t>
  </si>
  <si>
    <t>Beymen(Morini yanı)&gt;Apple</t>
  </si>
  <si>
    <t>Beymen Club&gt;Zula</t>
  </si>
  <si>
    <t>Beymen Club&gt;Zara</t>
  </si>
  <si>
    <t>Beymen Club&gt;Sneaks Up</t>
  </si>
  <si>
    <t>Beymen Club&gt;Raffles Istanbul</t>
  </si>
  <si>
    <t>Beymen Club&gt;Macrocenter</t>
  </si>
  <si>
    <t>Beymen Club&gt;Greenwich</t>
  </si>
  <si>
    <t>Beymen Club&gt;Dyson</t>
  </si>
  <si>
    <t>Ben Touch A.Ş.&gt;Sneaks Up</t>
  </si>
  <si>
    <t>Bee Goddess&gt;Bee Goddess</t>
  </si>
  <si>
    <t>Baqa&gt;Zara</t>
  </si>
  <si>
    <t>Baqa&gt;Starbucks</t>
  </si>
  <si>
    <t>Baqa&gt;Pharmacy Zorlu Center</t>
  </si>
  <si>
    <t>Baqa&gt;Nike by Levazım</t>
  </si>
  <si>
    <t>Baqa&gt;Macrocenter</t>
  </si>
  <si>
    <t>Baqa&gt;D&amp;R</t>
  </si>
  <si>
    <t>Baqa&gt;Chakra</t>
  </si>
  <si>
    <t>Baqa&gt;Burger King</t>
  </si>
  <si>
    <t>Balonevi&gt;Tuvalet</t>
  </si>
  <si>
    <t>Balmain&gt;Tiffany</t>
  </si>
  <si>
    <t>Balmain&gt;Eataly</t>
  </si>
  <si>
    <t>Balenciaga&gt;Starbucks</t>
  </si>
  <si>
    <t>Balenciaga&gt;Massimo Dutti</t>
  </si>
  <si>
    <t>Balenciaga&gt;Happy Moon's</t>
  </si>
  <si>
    <t>B&amp;G Store&gt;Metro&lt;br&gt;Metrobus</t>
  </si>
  <si>
    <t>Atelier Rebul&gt;Sneaks Up</t>
  </si>
  <si>
    <t>Atelier Rebul&gt;Rossmann</t>
  </si>
  <si>
    <t>Atasay&gt;Memorial Wellness</t>
  </si>
  <si>
    <t>Atasay&gt;Godiva</t>
  </si>
  <si>
    <t>Asics&gt;Pharmacy</t>
  </si>
  <si>
    <t>Asics&gt;Park Area</t>
  </si>
  <si>
    <t>Asics&gt;Fauchon Paris</t>
  </si>
  <si>
    <t>Asics&gt;Eataly</t>
  </si>
  <si>
    <t>Asics&gt;Asics</t>
  </si>
  <si>
    <t>Arifoğlu&gt;Starbucks</t>
  </si>
  <si>
    <t>Arby's&gt;Happy Moon's</t>
  </si>
  <si>
    <t>Arby's&gt;D&amp;R</t>
  </si>
  <si>
    <t>Any&gt;Starbucks</t>
  </si>
  <si>
    <t>Any&gt;Memorial Wellness</t>
  </si>
  <si>
    <t>Anatoli&gt;Cantinery</t>
  </si>
  <si>
    <t>Aldo&gt;Vario</t>
  </si>
  <si>
    <t>Aldo&gt;US Polo Assn.</t>
  </si>
  <si>
    <t>Aldo&gt;Otopark</t>
  </si>
  <si>
    <t>Aldo&gt;Crossing</t>
  </si>
  <si>
    <t>Akbank (Şube)(Şube)&gt;Toyzz Shop</t>
  </si>
  <si>
    <t>Adidas&gt;Zara</t>
  </si>
  <si>
    <t>Adidas&gt;Togg Deneyim Merkezi</t>
  </si>
  <si>
    <t>Adidas&gt;Macrocenter</t>
  </si>
  <si>
    <t>Adidas&gt;Intimissimi</t>
  </si>
  <si>
    <t>Adidas&gt;H&amp;M</t>
  </si>
  <si>
    <t>Adidas&gt;Garanti BBVA (ATM)</t>
  </si>
  <si>
    <t>Adidas&gt;Fun Master</t>
  </si>
  <si>
    <t>Adidas&gt;Eataly</t>
  </si>
  <si>
    <t>Adidas&gt;Adidas</t>
  </si>
  <si>
    <t>ATLANTIC DENTAL CLINIC</t>
  </si>
  <si>
    <t>OFIS AVM LOBI</t>
  </si>
  <si>
    <t>ESTEE LAUDER COMPANES TÜRKIYE</t>
  </si>
  <si>
    <t>Estee Lauder Companes Türkiye</t>
  </si>
  <si>
    <t>KARANFIL-BABIL GRUP</t>
  </si>
  <si>
    <t>KIBAR HOLDING</t>
  </si>
  <si>
    <t>LIMAK HOLDING</t>
  </si>
  <si>
    <t>MEDBULK DENIZCILIK</t>
  </si>
  <si>
    <t>OLTAN VE KÖLEOĞLU ENERJI</t>
  </si>
  <si>
    <t>PEAK</t>
  </si>
  <si>
    <t>POSCO ASSAN TST ÇELIK SAN. A.Ş.</t>
  </si>
  <si>
    <t>TOREN A.Ş.</t>
  </si>
  <si>
    <t>ABDULLAH KIĞILI</t>
  </si>
  <si>
    <t>TA LOBI</t>
  </si>
  <si>
    <t>Abdullah Kiğili</t>
  </si>
  <si>
    <t>ASSESSMENT SYSTEMS</t>
  </si>
  <si>
    <t>AVIC INTERNATIONAL CORPORATION</t>
  </si>
  <si>
    <t>BAŞKA GAYRIMENKUL</t>
  </si>
  <si>
    <t>BULGARI TURKEY</t>
  </si>
  <si>
    <t>Bvlgari Turkey</t>
  </si>
  <si>
    <t>ÇAĞDAŞ KIŞLAOĞLU (ESTETIK DIŞ HEKIMI)</t>
  </si>
  <si>
    <t>ÇAMLICA PETROL LTD. ŞTI.</t>
  </si>
  <si>
    <t>CENTERDENT</t>
  </si>
  <si>
    <t>DR. ERDEM GÜVEN</t>
  </si>
  <si>
    <t>ERGÜL KESKIN CONTURE MAKE-UP STUDIO</t>
  </si>
  <si>
    <t>Ergül Keskin Conture Make-Up Studio</t>
  </si>
  <si>
    <t>FMG AND GENERATION</t>
  </si>
  <si>
    <t>GREEN AND BLACK MARINE LOGISTICS</t>
  </si>
  <si>
    <t>KARANFIL CONSTRUCTION</t>
  </si>
  <si>
    <t>LEON TIC. A.Ş.</t>
  </si>
  <si>
    <t>Leon Tic. A.Ş.</t>
  </si>
  <si>
    <t>LMC PETROKIMYA YATIRIM A.Ş.</t>
  </si>
  <si>
    <t>MAYHOOLA</t>
  </si>
  <si>
    <t>ONIKI HUKUK BÜROSU</t>
  </si>
  <si>
    <t>OPR. DR. ÜMRAN ILERI (ESTETIK PLASTIK CERRAHI)</t>
  </si>
  <si>
    <t>Opr. Dr. Ümran Ileri (Estetik Plastik Cerrahi)</t>
  </si>
  <si>
    <t>PBA IÇ VE DIŞ TIC.</t>
  </si>
  <si>
    <t>PBA Iç ve Dış Tic.</t>
  </si>
  <si>
    <t>PEREZOĞLU&amp;ÖZBILEN AVUKATLIK BÜROSU</t>
  </si>
  <si>
    <t>Perezoğlu &amp; Özbilen Avukatlık Bürosu</t>
  </si>
  <si>
    <t>PROF.DR. AYLIN BILGIN KARABULUT</t>
  </si>
  <si>
    <t>PROF.DR. SAADETTIN ESKIÇORAPÇI</t>
  </si>
  <si>
    <t>PROF.DR. SERDAR YALÇIN</t>
  </si>
  <si>
    <t>RESNE GAYRIMENKUL A.Ş.</t>
  </si>
  <si>
    <t>Ş.A. YEMINLI MALI MÜŞAVIRLIK</t>
  </si>
  <si>
    <t>TARMAN GROUP</t>
  </si>
  <si>
    <t>VERSATIE GAYRIMENKUL</t>
  </si>
  <si>
    <t>ZUUKS BILIŞIM</t>
  </si>
  <si>
    <t>AYAYDIN MAĞAZACILIK A.Ş.</t>
  </si>
  <si>
    <t>TA LOBI - TB LOBI</t>
  </si>
  <si>
    <t>DR. SEYFI AKBAY</t>
  </si>
  <si>
    <t>GENEIS SAĞLIK HIZMETLERI</t>
  </si>
  <si>
    <t>ALI DUMAN CLINIC</t>
  </si>
  <si>
    <t>TB LOBI</t>
  </si>
  <si>
    <t>ARMATRAN GROUP (CMA Otomotiv- Armatran Otomotiv)</t>
  </si>
  <si>
    <t>DAMAC</t>
  </si>
  <si>
    <t>DOKA IPLIK</t>
  </si>
  <si>
    <t>DR. MURAT BERKSOY</t>
  </si>
  <si>
    <t>IRB SIGORTA</t>
  </si>
  <si>
    <t>IRG TÜRKIYE</t>
  </si>
  <si>
    <t>IRG Türkiye</t>
  </si>
  <si>
    <t>LAFFAN MÜCEVHER EVI</t>
  </si>
  <si>
    <t>Laffan Mücevher Evi</t>
  </si>
  <si>
    <t>MAKTEL INŞAAT / FARUK YALÇIN HAYVANAT BAHÇESI VE BOTANIK PARKI A.Ş.</t>
  </si>
  <si>
    <t>MIKROPOR</t>
  </si>
  <si>
    <t>NGA INŞAAT A.Ş.</t>
  </si>
  <si>
    <t>ÖZKANCALAR LTD. ŞTI.</t>
  </si>
  <si>
    <t>PROF.DR. YUNUS AYDIN</t>
  </si>
  <si>
    <t>TRICON</t>
  </si>
  <si>
    <t>TURKUAZ TURIZM YATIRIM ve TIC. A.Ş.</t>
  </si>
  <si>
    <t>WORDS &amp; PAPERS INTERNATIONAL LAW BUREAU</t>
  </si>
  <si>
    <t>A1 CAPITAL</t>
  </si>
  <si>
    <t>TD LOBI</t>
  </si>
  <si>
    <t>AI ANALIZ</t>
  </si>
  <si>
    <t>ASLANOBA YATIRIM</t>
  </si>
  <si>
    <t>ASMIR PETROLCÜLÜK A.Ş.</t>
  </si>
  <si>
    <t>Asmir Petrolcülük A.Ş.</t>
  </si>
  <si>
    <t>AYF YATIRIM</t>
  </si>
  <si>
    <t>AYF Yatırım</t>
  </si>
  <si>
    <t>BIOEKSIM A.Ş.</t>
  </si>
  <si>
    <t>BULADI HUKUK BÜROSU</t>
  </si>
  <si>
    <t>ÇAKMAK AVUKATLIK</t>
  </si>
  <si>
    <t>CEVIZ DANIŞMANLIK</t>
  </si>
  <si>
    <t>Ceviz Danışmanlık</t>
  </si>
  <si>
    <t>DR. ALP MAMAK</t>
  </si>
  <si>
    <t>DR. IREM ORAL</t>
  </si>
  <si>
    <t>Dr. Irem Oral</t>
  </si>
  <si>
    <t>DR. SERKAN ORAL</t>
  </si>
  <si>
    <t>Dr. Serkan Oral</t>
  </si>
  <si>
    <t>EC GAYRIMENKUL A.Ş.</t>
  </si>
  <si>
    <t>EMIR HUKUK MÜŞAVIRLIĞI  IBRAHIM SAPAN</t>
  </si>
  <si>
    <t>ERKIM ILAÇ SANAYI VE TICARET A.Ş.</t>
  </si>
  <si>
    <t>Erkim İlaç San. ve Tic. A.Ş.</t>
  </si>
  <si>
    <t>FORM YAPI / INKA BILIŞIM</t>
  </si>
  <si>
    <t>FUN MASTER</t>
  </si>
  <si>
    <t>Galleass Danışmanlık</t>
  </si>
  <si>
    <t>GLOBAL MADEN DOĞALGAZ</t>
  </si>
  <si>
    <t>GÜRIŞ HOLDING</t>
  </si>
  <si>
    <t>KARAMAN HUKUK BÜROSU</t>
  </si>
  <si>
    <t>MAI DIŞ TIC.</t>
  </si>
  <si>
    <t>MAİ Dış Tic.</t>
  </si>
  <si>
    <t>MARUBENI ITOCHU STEEL</t>
  </si>
  <si>
    <t>MASGOLD KUYUMCULUK</t>
  </si>
  <si>
    <t>MASLAK GAYRIMENKUL</t>
  </si>
  <si>
    <t>Maslak Gayrimenkul</t>
  </si>
  <si>
    <t>METREKÜP MIMARLIK</t>
  </si>
  <si>
    <t>MIKARE GAYRIMENKUL</t>
  </si>
  <si>
    <t>Mikare Gayrimenkul</t>
  </si>
  <si>
    <t>PINAR DANIŞMANLIK</t>
  </si>
  <si>
    <t>PROF.DR. UĞUR HAKLAR</t>
  </si>
  <si>
    <t>ROYAL INNOVATIVE</t>
  </si>
  <si>
    <t>ROZAK MAKINE SAN.</t>
  </si>
  <si>
    <t>SACE SPA ISTANBUL REPRESANTATIVE OFFICE</t>
  </si>
  <si>
    <t>SALCHER ENERJI DANIŞMANLIĞI LTD. ŞTI.</t>
  </si>
  <si>
    <t>Salcher Enerji Danışmanlığı Ltd. Şti.</t>
  </si>
  <si>
    <t>SENLE BERABER TIC. A.Ş.</t>
  </si>
  <si>
    <t>Senle Beraber Tic. A.Ş.</t>
  </si>
  <si>
    <t>SYZ PRIVATE BANKING</t>
  </si>
  <si>
    <t>TAB TURIZM A.Ş.</t>
  </si>
  <si>
    <t>Tab Turizm A.Ş.</t>
  </si>
  <si>
    <t>UNIVERSAL CONSELOR</t>
  </si>
  <si>
    <t>VALUEGENE CONSULTING GROUP</t>
  </si>
  <si>
    <t>VR GAYRIMENKUL A.Ş.</t>
  </si>
  <si>
    <t>WIPRO</t>
  </si>
  <si>
    <t>YAPI SET A.Ş.</t>
  </si>
  <si>
    <t>Yas Trade</t>
  </si>
  <si>
    <t>YAZICI AVUKATLIK ORTAKLIĞI</t>
  </si>
  <si>
    <t>ZKURTUL DANIŞMANLIK</t>
  </si>
  <si>
    <t>Zkurtul Danışmanlık</t>
  </si>
  <si>
    <t>36 COE TEKNOLOJİ</t>
  </si>
  <si>
    <t>ABDULLAH KİĞILI</t>
  </si>
  <si>
    <t>ABS GAYRİMENKUL</t>
  </si>
  <si>
    <t>ABS GAYRİMENKUL.</t>
  </si>
  <si>
    <t xml:space="preserve">ADCO Sağlık Hizm. ve Tic. A.Ş.       </t>
  </si>
  <si>
    <t>ADCO SAĞLIK HİZM. VE TİC. A.Ş.</t>
  </si>
  <si>
    <t>Aİ ANALİZ</t>
  </si>
  <si>
    <t>ALİ ATAY - CANDAN KARACA</t>
  </si>
  <si>
    <t>ALİ DUMAN CLINIC</t>
  </si>
  <si>
    <t>ARKAS LOJİSTİK A.Ş.</t>
  </si>
  <si>
    <t>ARN GAME</t>
  </si>
  <si>
    <t>ASMİR PETROLCÜLÜK A.Ş.</t>
  </si>
  <si>
    <t>TA LOBİ - TB LOBİ</t>
  </si>
  <si>
    <t>BEN TOUCH A.Ş.</t>
  </si>
  <si>
    <t>BİLCA</t>
  </si>
  <si>
    <t>BİOEKSİM A.Ş.</t>
  </si>
  <si>
    <t>BLOCKVILLE</t>
  </si>
  <si>
    <t>TA Lobi, bulgari</t>
  </si>
  <si>
    <t>BULGARİ TURKEY</t>
  </si>
  <si>
    <t>ÇAĞDAŞ KIŞLAOĞLU (ESTETİK DİŞ HEKİMİ)</t>
  </si>
  <si>
    <t>CEVİZ DANIŞMANLIK</t>
  </si>
  <si>
    <t>ÇAMLICA PETROL LTD. ŞTİ.</t>
  </si>
  <si>
    <t>DOKA İPLİK</t>
  </si>
  <si>
    <t>DR. SEYFİ AKBAY</t>
  </si>
  <si>
    <t>EC GAYRİMENKUL A.Ş.</t>
  </si>
  <si>
    <t>EMİR HUKUK MÜŞAVİRLİĞİ - İBRAHİM SAPAN</t>
  </si>
  <si>
    <t>ENSARİ DERİ A.Ş.</t>
  </si>
  <si>
    <t>ERGÜL KESKİN CONTURE MAKE-UP STUDIO</t>
  </si>
  <si>
    <t>FORM YAPI / İNKA BİLİŞİM</t>
  </si>
  <si>
    <t>GENEİS SAĞLIK HİZMETLERİ</t>
  </si>
  <si>
    <t>GÜRİŞ HOLDİNG</t>
  </si>
  <si>
    <t>IRB SİGORTA</t>
  </si>
  <si>
    <t>IRG TÜRKİYE</t>
  </si>
  <si>
    <t>KARANFİL-BABİL GRUP</t>
  </si>
  <si>
    <t>KARANFİL CONSTRUCTION</t>
  </si>
  <si>
    <t>KİBAR HOLDİNG</t>
  </si>
  <si>
    <t>LEON TİC. A.Ş.</t>
  </si>
  <si>
    <t>LİMAK HOLDİNG</t>
  </si>
  <si>
    <t>LMC PETROKİMYA YATIRIM A.Ş.</t>
  </si>
  <si>
    <t>MAKTEL İNŞAAT / FARUK YALÇIN HAYVANAT BAHÇESİ VE BOTANİK PARKI A.Ş.</t>
  </si>
  <si>
    <t>MASLAK GAYRİMENKUL</t>
  </si>
  <si>
    <t>MEDBULK DENİZCİLİK</t>
  </si>
  <si>
    <t>METREKÜP MİMARLIK</t>
  </si>
  <si>
    <t>MİKROPOR</t>
  </si>
  <si>
    <t>NATUREL ENERJİ A.Ş.</t>
  </si>
  <si>
    <t>NGA İNŞAAT A.Ş.</t>
  </si>
  <si>
    <t>Oasis Investment</t>
  </si>
  <si>
    <t>OLTAN VE KÖLEOĞLU ENERJİ</t>
  </si>
  <si>
    <t>ONİKİ HUKUK BÜROSU</t>
  </si>
  <si>
    <t>OPR. DR. ÜMRAN İLERİ (ESTETİK PLASTİK CERRAHİ)</t>
  </si>
  <si>
    <t>ORNA İNŞAAT</t>
  </si>
  <si>
    <t>ÖZBİLEN AVUKATLIK BÜROSU</t>
  </si>
  <si>
    <t>ÖZKANCALAR LTD. ŞTİ.</t>
  </si>
  <si>
    <t>PBA İÇ VE DIŞ TİC.</t>
  </si>
  <si>
    <t>POSCO ASSAN TST ÇELİK SAN. A.Ş.</t>
  </si>
  <si>
    <t>PROF.DR. AYLİN BİLGİN KARABULUT</t>
  </si>
  <si>
    <t>PROF.DR. SAADETTİN ESKİÇORAPÇI</t>
  </si>
  <si>
    <t>RESNE GAYRİMENKUL A.Ş.</t>
  </si>
  <si>
    <t>ROZAK MAKİNE SAN.</t>
  </si>
  <si>
    <t>SACE SPA İSTANBUL REPRESANTATIVE OFFICE</t>
  </si>
  <si>
    <t>SLPLUS METAL MADEN SAN. DIŞ. TİC. A.Ş.</t>
  </si>
  <si>
    <t>Ş.A. YEMİNLİ MALİ MÜŞAVİRLİK</t>
  </si>
  <si>
    <t>THE BO VIERA / BESA GRUP</t>
  </si>
  <si>
    <t>TAB TURİZM A.Ş.</t>
  </si>
  <si>
    <t>TOLGAHAN MÜHENDİSLİK</t>
  </si>
  <si>
    <t>TRİCON</t>
  </si>
  <si>
    <t>TURKUAZ TURİZM YATIRIM ve TİC. A.Ş.</t>
  </si>
  <si>
    <t>VERSATİE GAYRİMENKUL</t>
  </si>
  <si>
    <t>VR GAYRİMENKUL A.Ş.</t>
  </si>
  <si>
    <t>WİPRO</t>
  </si>
  <si>
    <t>ZETA İNVESTMENT</t>
  </si>
  <si>
    <t>ZUUKS BİLİŞİM</t>
  </si>
  <si>
    <t>Ana Kategori Kodu</t>
  </si>
  <si>
    <t>Ana Kategori - TR</t>
  </si>
  <si>
    <t>Ana Kategori - EN</t>
  </si>
  <si>
    <t>Ana Kategori - ZH</t>
  </si>
  <si>
    <t>Alt Kategori Kodu</t>
  </si>
  <si>
    <t>Alt Kategori - TR</t>
  </si>
  <si>
    <t>Alt Kategori - EN</t>
  </si>
  <si>
    <t>Alt Kategori - ZH</t>
  </si>
  <si>
    <t>Mağazalar</t>
  </si>
  <si>
    <t>Shops</t>
  </si>
  <si>
    <t>商店</t>
  </si>
  <si>
    <t>Accessories &amp; Jewellery</t>
  </si>
  <si>
    <t>配件&amp;珠宝</t>
  </si>
  <si>
    <t>Shoes &amp; Bags</t>
  </si>
  <si>
    <t>鞋&amp;袋</t>
  </si>
  <si>
    <t>Kids</t>
  </si>
  <si>
    <t>孩子们</t>
  </si>
  <si>
    <t>Electronics</t>
  </si>
  <si>
    <t>数码产品</t>
  </si>
  <si>
    <t>Home &amp; Decoration</t>
  </si>
  <si>
    <t>家</t>
  </si>
  <si>
    <t>Fashion</t>
  </si>
  <si>
    <t>流行服饰</t>
  </si>
  <si>
    <t>Cosmetics &amp; Health</t>
  </si>
  <si>
    <t>化妆品&amp;健康</t>
  </si>
  <si>
    <t>市场</t>
  </si>
  <si>
    <t>Fitness</t>
  </si>
  <si>
    <t>体育保健用品</t>
  </si>
  <si>
    <t>Service Stores</t>
  </si>
  <si>
    <t>服务商店</t>
  </si>
  <si>
    <t>Culture &amp; Entertainment</t>
  </si>
  <si>
    <t>游戏娱乐</t>
  </si>
  <si>
    <t>Yiyecek İçecek</t>
  </si>
  <si>
    <t>Food Drink</t>
  </si>
  <si>
    <t>食品饮料</t>
  </si>
  <si>
    <t>快餐食品</t>
  </si>
  <si>
    <t>Turkish Delight &amp; Confectionery</t>
  </si>
  <si>
    <t>土耳其软糖和糖果</t>
  </si>
  <si>
    <t>Restaurant &amp; Cafe</t>
  </si>
  <si>
    <t>餐厅&amp;咖啡厅</t>
  </si>
  <si>
    <t>Services</t>
  </si>
  <si>
    <t>服务</t>
  </si>
  <si>
    <t>{“id”:”entrance”} Metro</t>
  </si>
  <si>
    <t>{“id”:”entrance”} Otopark</t>
  </si>
  <si>
    <t>{“id”:”info”}</t>
  </si>
  <si>
    <t>{“id”:”metro”}{“id”:”metrobus”}</t>
  </si>
  <si>
    <t>Abdullah Kiğılı</t>
  </si>
  <si>
    <t>13</t>
  </si>
  <si>
    <t>10</t>
  </si>
  <si>
    <t>18</t>
  </si>
  <si>
    <t>17</t>
  </si>
  <si>
    <t>Agatha</t>
  </si>
  <si>
    <t>11</t>
  </si>
  <si>
    <t>Aigner</t>
  </si>
  <si>
    <t>34</t>
  </si>
  <si>
    <t>Akbank {“id”:”atm”}</t>
  </si>
  <si>
    <t>09</t>
  </si>
  <si>
    <t>Akbank {“id”:”branch”}</t>
  </si>
  <si>
    <t>Alternatif Bank {“id”:”atm”}</t>
  </si>
  <si>
    <t>07</t>
  </si>
  <si>
    <t>06</t>
  </si>
  <si>
    <t>24</t>
  </si>
  <si>
    <t>29</t>
  </si>
  <si>
    <t>Artı Yatırım Holding A.Ş.</t>
  </si>
  <si>
    <t>14</t>
  </si>
  <si>
    <t>01</t>
  </si>
  <si>
    <t>Atış Gayrimenkul Pazarlama Ltd.</t>
  </si>
  <si>
    <t xml:space="preserve"> 22</t>
  </si>
  <si>
    <t>Aveda HandeHaluk</t>
  </si>
  <si>
    <t>02</t>
  </si>
  <si>
    <t>16</t>
  </si>
  <si>
    <t>15</t>
  </si>
  <si>
    <t>Bob {“id”:”valet”} (Otopark)</t>
  </si>
  <si>
    <t>05</t>
  </si>
  <si>
    <t>Bulgari Turkey</t>
  </si>
  <si>
    <t>19</t>
  </si>
  <si>
    <t>20</t>
  </si>
  <si>
    <t>25</t>
  </si>
  <si>
    <t>08</t>
  </si>
  <si>
    <t>26</t>
  </si>
  <si>
    <t>Calvin Klein</t>
  </si>
  <si>
    <t>Capital Partners</t>
  </si>
  <si>
    <t>Carter's / Oshkosh B'gosh</t>
  </si>
  <si>
    <t>CC Finans Danışmanlık</t>
  </si>
  <si>
    <t>CHS Group</t>
  </si>
  <si>
    <t>22</t>
  </si>
  <si>
    <t>Çocuk Etkinlik Alanı</t>
  </si>
  <si>
    <t>04</t>
  </si>
  <si>
    <t>30</t>
  </si>
  <si>
    <t>21</t>
  </si>
  <si>
    <t>DenizBank {“id”:”atm”}</t>
  </si>
  <si>
    <t>27</t>
  </si>
  <si>
    <t>Dorya Mobilya</t>
  </si>
  <si>
    <t>Dpara</t>
  </si>
  <si>
    <t>Dr. B. Bülent Cihantimur</t>
  </si>
  <si>
    <t>Dr. Gaffar Aslan</t>
  </si>
  <si>
    <t>Dr. İrem Oral</t>
  </si>
  <si>
    <t>23</t>
  </si>
  <si>
    <t>Dsquared2</t>
  </si>
  <si>
    <t>Duxiana</t>
  </si>
  <si>
    <t>33</t>
  </si>
  <si>
    <t>Eataly Market</t>
  </si>
  <si>
    <t>Estee Lauder Companies Türkiye</t>
  </si>
  <si>
    <t>03</t>
  </si>
  <si>
    <t>Fauchon</t>
  </si>
  <si>
    <t>Fikiron</t>
  </si>
  <si>
    <t>Fons A.Ş.</t>
  </si>
  <si>
    <t>Garanti Bankası {“id”:”atm”}</t>
  </si>
  <si>
    <t>Gizia Gate</t>
  </si>
  <si>
    <t>Global Blue (Concierge)</t>
  </si>
  <si>
    <t>32</t>
  </si>
  <si>
    <t>Gratis</t>
  </si>
  <si>
    <t>31</t>
  </si>
  <si>
    <t>Günaydın Kasap Steakhouse</t>
  </si>
  <si>
    <t>12</t>
  </si>
  <si>
    <t>28</t>
  </si>
  <si>
    <t>Hacı Abdullah Lokantası</t>
  </si>
  <si>
    <t>Halkbank {“id”:”atm”}</t>
  </si>
  <si>
    <t>Haremlique</t>
  </si>
  <si>
    <t>Harman Luxury Audio</t>
  </si>
  <si>
    <t>HD İskender</t>
  </si>
  <si>
    <t>Hotiç</t>
  </si>
  <si>
    <t>HSBC {“id”:”atm”}</t>
  </si>
  <si>
    <t>Icons and Styles</t>
  </si>
  <si>
    <t>Imaginarium</t>
  </si>
  <si>
    <t>ING Bank {“id”:”atm”}</t>
  </si>
  <si>
    <t>İstantuni</t>
  </si>
  <si>
    <t>İstihale Müzayedecilik</t>
  </si>
  <si>
    <t>Jacadi</t>
  </si>
  <si>
    <t>Jaeger-LeCoultre</t>
  </si>
  <si>
    <t>Joker Baby</t>
  </si>
  <si>
    <t>Joker Toys</t>
  </si>
  <si>
    <t>Jolly Tur</t>
  </si>
  <si>
    <t>Kybele</t>
  </si>
  <si>
    <t xml:space="preserve"> 04</t>
  </si>
  <si>
    <t>Lanvin</t>
  </si>
  <si>
    <t xml:space="preserve"> 12</t>
  </si>
  <si>
    <t>LMC Yatırım A.Ş.</t>
  </si>
  <si>
    <t>Madencom</t>
  </si>
  <si>
    <t>Maktel İnşaat / Faruk Yalçın Hayvan. Bah.</t>
  </si>
  <si>
    <t>Marie Antoinette</t>
  </si>
  <si>
    <t>Michael Kors</t>
  </si>
  <si>
    <t>Microstrategy</t>
  </si>
  <si>
    <t>MOC Coffee Roastery</t>
  </si>
  <si>
    <t>Moca Kids&amp;Young</t>
  </si>
  <si>
    <t>Mont Blanc</t>
  </si>
  <si>
    <t>Montegrappa</t>
  </si>
  <si>
    <t>Mosafer</t>
  </si>
  <si>
    <t>NetWork</t>
  </si>
  <si>
    <t>New Balance</t>
  </si>
  <si>
    <t>NG Style</t>
  </si>
  <si>
    <t>Novrum Real Estate</t>
  </si>
  <si>
    <t>Nu</t>
  </si>
  <si>
    <t>Obakur A.Ş.</t>
  </si>
  <si>
    <t>Oltan ve Köleoğlu Gayrimenkul</t>
  </si>
  <si>
    <t>Origins</t>
  </si>
  <si>
    <t>Otomol</t>
  </si>
  <si>
    <t>PBA İç ve Diş Tic.</t>
  </si>
  <si>
    <t>Phinix Terapi Sağlık Hizmetleri</t>
  </si>
  <si>
    <t>Pioppo Gelato</t>
  </si>
  <si>
    <t>Prime Store</t>
  </si>
  <si>
    <t>Prof. Dr. Serdar Yalçin</t>
  </si>
  <si>
    <t>Punto</t>
  </si>
  <si>
    <t>QNB Finansbank {“id”:”atm”}</t>
  </si>
  <si>
    <t>Quaz Global</t>
  </si>
  <si>
    <t>Raffles Patisserie</t>
  </si>
  <si>
    <t>Roberto Cavalli</t>
  </si>
  <si>
    <t>Rocca Brasserie</t>
  </si>
  <si>
    <t>Sace Spa İstanbul Representative Office</t>
  </si>
  <si>
    <t>Sele</t>
  </si>
  <si>
    <t>Sems Kalıcı Makyaj Eğitim</t>
  </si>
  <si>
    <t>Semt Tavukçusu</t>
  </si>
  <si>
    <t>Silk&amp;Cashmere</t>
  </si>
  <si>
    <t>Smashbox</t>
  </si>
  <si>
    <t>Socionext Europe</t>
  </si>
  <si>
    <t>Stella McCartney</t>
  </si>
  <si>
    <t>Sunvest Investment / Ere Mühendislik</t>
  </si>
  <si>
    <t>Superdry</t>
  </si>
  <si>
    <t>SuperStep</t>
  </si>
  <si>
    <t>Tax Free Zone (Info Levazım)</t>
  </si>
  <si>
    <t>TEB {“id”:”atm”}</t>
  </si>
  <si>
    <t>Teşekkürler Mimarlık</t>
  </si>
  <si>
    <t>Tory Burch</t>
  </si>
  <si>
    <t>Toyyz Shop</t>
  </si>
  <si>
    <t>Trenkwalder</t>
  </si>
  <si>
    <t>Turin Enerji</t>
  </si>
  <si>
    <t>Türkiye İş Bankası {“id”:”atm”}</t>
  </si>
  <si>
    <t>Turkos İnşaat</t>
  </si>
  <si>
    <t>VakıfBank {“id”:”atm”}</t>
  </si>
  <si>
    <t>Waffle Stop</t>
  </si>
  <si>
    <t>Yapı Kredi {“id”:”atm”}</t>
  </si>
  <si>
    <t>Yazici Avukatlık Ortaklığı</t>
  </si>
  <si>
    <t>Zip Car</t>
  </si>
  <si>
    <t>Ziraat Bankası {“id”:”atm”}</t>
  </si>
  <si>
    <t>Zone Fitness&amp;Spa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</si>
</sst>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48">
    <font>
      <sz val="10.0"/>
      <color rgb="FF000000"/>
      <name val="Arial"/>
      <scheme val="minor"/>
    </font>
    <font>
      <b/>
      <sz val="10.0"/>
      <color theme="1"/>
      <name val="Arial"/>
    </font>
    <font>
      <u/>
      <color rgb="FF000000"/>
      <name val="Roboto"/>
    </font>
    <font>
      <sz val="10.0"/>
      <color theme="1"/>
      <name val="Arial"/>
    </font>
    <font>
      <color theme="1"/>
      <name val="Arial"/>
      <scheme val="minor"/>
    </font>
    <font>
      <color rgb="FF000000"/>
      <name val="Arial"/>
    </font>
    <font>
      <u/>
      <sz val="10.0"/>
      <color rgb="FF0000FF"/>
      <name val="Arial"/>
    </font>
    <font>
      <u/>
      <sz val="10.0"/>
      <color rgb="FF1155CC"/>
      <name val="Arial"/>
    </font>
    <font>
      <sz val="10.0"/>
      <color rgb="FF000000"/>
      <name val="Arial"/>
    </font>
    <font>
      <u/>
      <color rgb="FF0000FF"/>
    </font>
    <font>
      <u/>
      <color rgb="FF0000FF"/>
    </font>
    <font>
      <color theme="1"/>
      <name val="Arial"/>
    </font>
    <font>
      <u/>
      <color rgb="FF0000FF"/>
      <name val="Arial"/>
    </font>
    <font>
      <u/>
      <color rgb="FF0000FF"/>
      <name val="Arial"/>
    </font>
    <font>
      <u/>
      <sz val="10.0"/>
      <color rgb="FF0000FF"/>
      <name val="Arial"/>
    </font>
    <font>
      <u/>
      <sz val="10.0"/>
      <color rgb="FF0000FF"/>
      <name val="Arial"/>
    </font>
    <font>
      <color rgb="FF000000"/>
      <name val="Roboto"/>
    </font>
    <font>
      <u/>
      <sz val="10.0"/>
      <color rgb="FF0000FF"/>
      <name val="Arial"/>
    </font>
    <font>
      <u/>
      <color rgb="FF1155CC"/>
    </font>
    <font>
      <u/>
      <sz val="11.0"/>
      <color rgb="FF0000FF"/>
      <name val="Calibri"/>
    </font>
    <font>
      <u/>
      <sz val="10.0"/>
      <color rgb="FF0000FF"/>
      <name val="Arial"/>
    </font>
    <font>
      <u/>
      <sz val="10.0"/>
      <color rgb="FF0000FF"/>
      <name val="Arial"/>
    </font>
    <font>
      <u/>
      <color rgb="FF0000FF"/>
      <name val="Arial"/>
    </font>
    <font>
      <u/>
      <sz val="10.0"/>
      <color rgb="FF0000FF"/>
      <name val="Arial"/>
    </font>
    <font>
      <u/>
      <sz val="10.0"/>
      <color rgb="FF0000FF"/>
      <name val="Arial"/>
    </font>
    <font>
      <u/>
      <color rgb="FF0000FF"/>
      <name val="Arial"/>
    </font>
    <font>
      <b/>
      <color theme="1"/>
      <name val="Arial"/>
    </font>
    <font>
      <b/>
      <color theme="1"/>
      <name val="Arial"/>
      <scheme val="minor"/>
    </font>
    <font>
      <b/>
      <color rgb="FF000000"/>
      <name val="Roboto"/>
    </font>
    <font>
      <u/>
      <sz val="10.0"/>
      <color rgb="FF0000FF"/>
      <name val="Arial"/>
    </font>
    <font>
      <u/>
      <sz val="10.0"/>
      <color rgb="FF1155CC"/>
      <name val="Arial"/>
    </font>
    <font>
      <u/>
      <color rgb="FF1155CC"/>
      <name val="Roboto"/>
    </font>
    <font>
      <sz val="10.0"/>
      <color rgb="FF0000FF"/>
      <name val="Arial"/>
    </font>
    <font>
      <color theme="1"/>
      <name val="Roboto"/>
    </font>
    <font>
      <strike/>
      <sz val="10.0"/>
      <color theme="1"/>
      <name val="Arial"/>
    </font>
    <font>
      <u/>
      <color rgb="FF0000FF"/>
      <name val="Arial"/>
    </font>
    <font>
      <u/>
      <color rgb="FF0000FF"/>
      <name val="Arial"/>
    </font>
    <font>
      <u/>
      <sz val="10.0"/>
      <color rgb="FF0000FF"/>
      <name val="Arial"/>
    </font>
    <font>
      <u/>
      <sz val="10.0"/>
      <color rgb="FF0000FF"/>
      <name val="Arial"/>
    </font>
    <font>
      <strike/>
      <color theme="1"/>
      <name val="Arial"/>
      <scheme val="minor"/>
    </font>
    <font>
      <u/>
      <color rgb="FF0000FF"/>
    </font>
    <font>
      <u/>
      <color rgb="FF0000FF"/>
    </font>
    <font>
      <u/>
      <color rgb="FF0000FF"/>
    </font>
    <font>
      <u/>
      <color rgb="FF0000FF"/>
    </font>
    <font>
      <u/>
      <color rgb="FF0000FF"/>
    </font>
    <font>
      <sz val="9.0"/>
      <color rgb="FF000000"/>
      <name val="&quot;Google Sans Mono&quot;"/>
    </font>
    <font>
      <sz val="11.0"/>
      <color rgb="FF000000"/>
      <name val="Arial"/>
    </font>
    <font>
      <sz val="11.0"/>
      <color theme="1"/>
      <name val="Inconsolata"/>
    </font>
  </fonts>
  <fills count="14">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D9EAD3"/>
        <bgColor rgb="FFD9EAD3"/>
      </patternFill>
    </fill>
    <fill>
      <patternFill patternType="solid">
        <fgColor rgb="FFFF0000"/>
        <bgColor rgb="FFFF0000"/>
      </patternFill>
    </fill>
    <fill>
      <patternFill patternType="solid">
        <fgColor rgb="FFFF9900"/>
        <bgColor rgb="FFFF9900"/>
      </patternFill>
    </fill>
    <fill>
      <patternFill patternType="solid">
        <fgColor rgb="FFB6D7A8"/>
        <bgColor rgb="FFB6D7A8"/>
      </patternFill>
    </fill>
    <fill>
      <patternFill patternType="solid">
        <fgColor rgb="FFF28135"/>
        <bgColor rgb="FFF28135"/>
      </patternFill>
    </fill>
    <fill>
      <patternFill patternType="solid">
        <fgColor rgb="FFDF3554"/>
        <bgColor rgb="FFDF3554"/>
      </patternFill>
    </fill>
    <fill>
      <patternFill patternType="solid">
        <fgColor rgb="FF43A3DF"/>
        <bgColor rgb="FF43A3DF"/>
      </patternFill>
    </fill>
  </fills>
  <borders count="1">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0" fillId="0" fontId="1" numFmtId="49" xfId="0" applyAlignment="1" applyFont="1" applyNumberFormat="1">
      <alignment shrinkToFit="0" wrapText="0"/>
    </xf>
    <xf borderId="0" fillId="0" fontId="1" numFmtId="0" xfId="0" applyAlignment="1" applyFont="1">
      <alignment shrinkToFit="0" wrapText="0"/>
    </xf>
    <xf borderId="0" fillId="0" fontId="1" numFmtId="164" xfId="0" applyAlignment="1" applyFont="1" applyNumberFormat="1">
      <alignment shrinkToFit="0" wrapText="0"/>
    </xf>
    <xf borderId="0" fillId="0" fontId="2" numFmtId="0" xfId="0" applyAlignment="1" applyFont="1">
      <alignment shrinkToFit="0" wrapText="0"/>
    </xf>
    <xf borderId="0" fillId="0" fontId="1" numFmtId="0" xfId="0" applyFont="1"/>
    <xf borderId="0" fillId="0" fontId="3" numFmtId="49" xfId="0" applyAlignment="1" applyFont="1" applyNumberFormat="1">
      <alignment shrinkToFit="0" wrapText="0"/>
    </xf>
    <xf borderId="0" fillId="0" fontId="3" numFmtId="0" xfId="0" applyAlignment="1" applyFont="1">
      <alignment shrinkToFit="0" wrapText="0"/>
    </xf>
    <xf borderId="0" fillId="0" fontId="3" numFmtId="164" xfId="0" applyAlignment="1" applyFont="1" applyNumberFormat="1">
      <alignment shrinkToFit="0" wrapText="0"/>
    </xf>
    <xf borderId="0" fillId="0" fontId="4" numFmtId="0" xfId="0" applyAlignment="1" applyFont="1">
      <alignment shrinkToFit="0" wrapText="0"/>
    </xf>
    <xf borderId="0" fillId="0" fontId="3" numFmtId="0" xfId="0" applyFont="1"/>
    <xf borderId="0" fillId="2" fontId="5" numFmtId="0" xfId="0" applyAlignment="1" applyFill="1" applyFont="1">
      <alignment shrinkToFit="0" wrapText="0"/>
    </xf>
    <xf quotePrefix="1" borderId="0" fillId="0" fontId="3" numFmtId="0" xfId="0" applyAlignment="1" applyFont="1">
      <alignment shrinkToFit="0" wrapText="0"/>
    </xf>
    <xf borderId="0" fillId="0" fontId="6" numFmtId="164" xfId="0" applyAlignment="1" applyFont="1" applyNumberFormat="1">
      <alignment shrinkToFit="0" wrapText="0"/>
    </xf>
    <xf borderId="0" fillId="0" fontId="7" numFmtId="164" xfId="0" applyAlignment="1" applyFont="1" applyNumberFormat="1">
      <alignment shrinkToFit="0" wrapText="0"/>
    </xf>
    <xf borderId="0" fillId="2" fontId="8" numFmtId="49" xfId="0" applyFont="1" applyNumberFormat="1"/>
    <xf borderId="0" fillId="0" fontId="3" numFmtId="49" xfId="0" applyFont="1" applyNumberFormat="1"/>
    <xf quotePrefix="1" borderId="0" fillId="0" fontId="3" numFmtId="0" xfId="0" applyAlignment="1" applyFont="1">
      <alignment readingOrder="0" shrinkToFit="0" wrapText="0"/>
    </xf>
    <xf borderId="0" fillId="0" fontId="3" numFmtId="0" xfId="0" applyAlignment="1" applyFont="1">
      <alignment readingOrder="0" shrinkToFit="0" wrapText="0"/>
    </xf>
    <xf borderId="0" fillId="0" fontId="4" numFmtId="0" xfId="0" applyAlignment="1" applyFont="1">
      <alignment readingOrder="0" shrinkToFit="0" wrapText="0"/>
    </xf>
    <xf borderId="0" fillId="0" fontId="3" numFmtId="0" xfId="0" applyAlignment="1" applyFont="1">
      <alignment readingOrder="0"/>
    </xf>
    <xf borderId="0" fillId="0" fontId="3" numFmtId="49" xfId="0" applyAlignment="1" applyFont="1" applyNumberFormat="1">
      <alignment readingOrder="0" shrinkToFit="0" wrapText="0"/>
    </xf>
    <xf borderId="0" fillId="0" fontId="9" numFmtId="0" xfId="0" applyAlignment="1" applyFont="1">
      <alignment shrinkToFit="0" wrapText="0"/>
    </xf>
    <xf borderId="0" fillId="0" fontId="10" numFmtId="0" xfId="0" applyAlignment="1" applyFont="1">
      <alignment readingOrder="0" shrinkToFit="0" wrapText="0"/>
    </xf>
    <xf borderId="0" fillId="0" fontId="4" numFmtId="0" xfId="0" applyAlignment="1" applyFont="1">
      <alignment shrinkToFit="0" wrapText="0"/>
    </xf>
    <xf borderId="0" fillId="0" fontId="8" numFmtId="49" xfId="0" applyFont="1" applyNumberFormat="1"/>
    <xf borderId="0" fillId="0" fontId="11" numFmtId="49" xfId="0" applyAlignment="1" applyFont="1" applyNumberFormat="1">
      <alignment readingOrder="0" shrinkToFit="0" vertical="bottom" wrapText="0"/>
    </xf>
    <xf borderId="0" fillId="0" fontId="11" numFmtId="0" xfId="0" applyAlignment="1" applyFont="1">
      <alignment shrinkToFit="0" vertical="bottom" wrapText="0"/>
    </xf>
    <xf borderId="0" fillId="0" fontId="11" numFmtId="0" xfId="0" applyAlignment="1" applyFont="1">
      <alignment vertical="bottom"/>
    </xf>
    <xf borderId="0" fillId="0" fontId="11" numFmtId="0" xfId="0" applyAlignment="1" applyFont="1">
      <alignment horizontal="right" readingOrder="0" shrinkToFit="0" vertical="bottom" wrapText="0"/>
    </xf>
    <xf quotePrefix="1" borderId="0" fillId="0" fontId="11" numFmtId="0" xfId="0" applyAlignment="1" applyFont="1">
      <alignment shrinkToFit="0" vertical="bottom" wrapText="0"/>
    </xf>
    <xf borderId="0" fillId="0" fontId="11" numFmtId="0" xfId="0" applyAlignment="1" applyFont="1">
      <alignment shrinkToFit="0" vertical="bottom" wrapText="0"/>
    </xf>
    <xf borderId="0" fillId="0" fontId="11" numFmtId="164" xfId="0" applyAlignment="1" applyFont="1" applyNumberFormat="1">
      <alignment shrinkToFit="0" vertical="bottom" wrapText="0"/>
    </xf>
    <xf borderId="0" fillId="0" fontId="11" numFmtId="49" xfId="0" applyAlignment="1" applyFont="1" applyNumberFormat="1">
      <alignment vertical="bottom"/>
    </xf>
    <xf borderId="0" fillId="2" fontId="5" numFmtId="0" xfId="0" applyAlignment="1" applyFont="1">
      <alignment horizontal="left" shrinkToFit="0" wrapText="0"/>
    </xf>
    <xf quotePrefix="1" borderId="0" fillId="0" fontId="11" numFmtId="0" xfId="0" applyAlignment="1" applyFont="1">
      <alignment shrinkToFit="0" vertical="bottom" wrapText="0"/>
    </xf>
    <xf borderId="0" fillId="0" fontId="12" numFmtId="164" xfId="0" applyAlignment="1" applyFont="1" applyNumberFormat="1">
      <alignment readingOrder="0" shrinkToFit="0" vertical="bottom" wrapText="0"/>
    </xf>
    <xf borderId="0" fillId="0" fontId="13" numFmtId="164" xfId="0" applyAlignment="1" applyFont="1" applyNumberFormat="1">
      <alignment shrinkToFit="0" vertical="bottom" wrapText="0"/>
    </xf>
    <xf borderId="0" fillId="0" fontId="11" numFmtId="0" xfId="0" applyAlignment="1" applyFont="1">
      <alignment vertical="bottom"/>
    </xf>
    <xf borderId="0" fillId="0" fontId="11" numFmtId="0" xfId="0" applyAlignment="1" applyFont="1">
      <alignment readingOrder="0" shrinkToFit="0" vertical="bottom" wrapText="0"/>
    </xf>
    <xf borderId="0" fillId="0" fontId="14" numFmtId="164" xfId="0" applyAlignment="1" applyFont="1" applyNumberFormat="1">
      <alignment readingOrder="0" shrinkToFit="0" wrapText="0"/>
    </xf>
    <xf borderId="0" fillId="0" fontId="15" numFmtId="164" xfId="0" applyAlignment="1" applyFont="1" applyNumberFormat="1">
      <alignment readingOrder="0" shrinkToFit="0" wrapText="0"/>
    </xf>
    <xf borderId="0" fillId="2" fontId="16" numFmtId="0" xfId="0" applyAlignment="1" applyFont="1">
      <alignment shrinkToFit="0" wrapText="0"/>
    </xf>
    <xf borderId="0" fillId="0" fontId="3" numFmtId="164" xfId="0" applyAlignment="1" applyFont="1" applyNumberFormat="1">
      <alignment readingOrder="0" shrinkToFit="0" wrapText="0"/>
    </xf>
    <xf borderId="0" fillId="3" fontId="3" numFmtId="164" xfId="0" applyAlignment="1" applyFill="1" applyFont="1" applyNumberFormat="1">
      <alignment shrinkToFit="0" wrapText="0"/>
    </xf>
    <xf quotePrefix="1" borderId="0" fillId="0" fontId="4" numFmtId="0" xfId="0" applyAlignment="1" applyFont="1">
      <alignment shrinkToFit="0" wrapText="0"/>
    </xf>
    <xf borderId="0" fillId="0" fontId="17" numFmtId="0" xfId="0" applyAlignment="1" applyFont="1">
      <alignment shrinkToFit="0" wrapText="0"/>
    </xf>
    <xf borderId="0" fillId="0" fontId="8" numFmtId="0" xfId="0" applyAlignment="1" applyFont="1">
      <alignment shrinkToFit="0" wrapText="0"/>
    </xf>
    <xf borderId="0" fillId="0" fontId="3" numFmtId="164" xfId="0" applyAlignment="1" applyFont="1" applyNumberFormat="1">
      <alignment readingOrder="0" shrinkToFit="0" wrapText="0"/>
    </xf>
    <xf borderId="0" fillId="0" fontId="18" numFmtId="0" xfId="0" applyAlignment="1" applyFont="1">
      <alignment shrinkToFit="0" wrapText="0"/>
    </xf>
    <xf borderId="0" fillId="2" fontId="5" numFmtId="0" xfId="0" applyAlignment="1" applyFont="1">
      <alignment horizontal="left" readingOrder="0" shrinkToFit="0" wrapText="0"/>
    </xf>
    <xf borderId="0" fillId="0" fontId="19" numFmtId="0" xfId="0" applyAlignment="1" applyFont="1">
      <alignment horizontal="left" shrinkToFit="0" vertical="bottom" wrapText="0"/>
    </xf>
    <xf borderId="0" fillId="0" fontId="5" numFmtId="0" xfId="0" applyAlignment="1" applyFont="1">
      <alignment horizontal="left" shrinkToFit="0" wrapText="0"/>
    </xf>
    <xf borderId="0" fillId="0" fontId="8" numFmtId="164" xfId="0" applyAlignment="1" applyFont="1" applyNumberFormat="1">
      <alignment shrinkToFit="0" vertical="bottom" wrapText="0"/>
    </xf>
    <xf borderId="0" fillId="0" fontId="3" numFmtId="0" xfId="0" applyAlignment="1" applyFont="1">
      <alignment shrinkToFit="0" wrapText="0"/>
    </xf>
    <xf borderId="0" fillId="2" fontId="8" numFmtId="49" xfId="0" applyAlignment="1" applyFont="1" applyNumberFormat="1">
      <alignment horizontal="left" shrinkToFit="0" wrapText="0"/>
    </xf>
    <xf borderId="0" fillId="0" fontId="3" numFmtId="49" xfId="0" applyAlignment="1" applyFont="1" applyNumberFormat="1">
      <alignment shrinkToFit="0" wrapText="0"/>
    </xf>
    <xf borderId="0" fillId="0" fontId="3" numFmtId="0" xfId="0" applyAlignment="1" applyFont="1">
      <alignment readingOrder="0" shrinkToFit="0" wrapText="0"/>
    </xf>
    <xf borderId="0" fillId="0" fontId="3" numFmtId="0" xfId="0" applyAlignment="1" applyFont="1">
      <alignment shrinkToFit="0" wrapText="0"/>
    </xf>
    <xf quotePrefix="1" borderId="0" fillId="0" fontId="3" numFmtId="0" xfId="0" applyAlignment="1" applyFont="1">
      <alignment readingOrder="0" shrinkToFit="0" wrapText="0"/>
    </xf>
    <xf borderId="0" fillId="0" fontId="20" numFmtId="164" xfId="0" applyAlignment="1" applyFont="1" applyNumberFormat="1">
      <alignment readingOrder="0" shrinkToFit="0" wrapText="0"/>
    </xf>
    <xf borderId="0" fillId="0" fontId="21" numFmtId="164" xfId="0" applyAlignment="1" applyFont="1" applyNumberFormat="1">
      <alignment shrinkToFit="0" wrapText="0"/>
    </xf>
    <xf borderId="0" fillId="0" fontId="11" numFmtId="0" xfId="0" applyAlignment="1" applyFont="1">
      <alignment shrinkToFit="0" vertical="bottom" wrapText="0"/>
    </xf>
    <xf borderId="0" fillId="0" fontId="11" numFmtId="49" xfId="0" applyAlignment="1" applyFont="1" applyNumberFormat="1">
      <alignment shrinkToFit="0" vertical="bottom" wrapText="0"/>
    </xf>
    <xf borderId="0" fillId="0" fontId="11" numFmtId="0" xfId="0" applyAlignment="1" applyFont="1">
      <alignment horizontal="right" shrinkToFit="0" vertical="bottom" wrapText="0"/>
    </xf>
    <xf borderId="0" fillId="0" fontId="11" numFmtId="164" xfId="0" applyAlignment="1" applyFont="1" applyNumberFormat="1">
      <alignment readingOrder="0" shrinkToFit="0" vertical="bottom" wrapText="0"/>
    </xf>
    <xf borderId="0" fillId="0" fontId="22" numFmtId="164" xfId="0" applyAlignment="1" applyFont="1" applyNumberFormat="1">
      <alignment readingOrder="0" vertical="bottom"/>
    </xf>
    <xf borderId="0" fillId="0" fontId="11" numFmtId="0" xfId="0" applyAlignment="1" applyFont="1">
      <alignment readingOrder="0" vertical="bottom"/>
    </xf>
    <xf borderId="0" fillId="0" fontId="23" numFmtId="0" xfId="0" applyAlignment="1" applyFont="1">
      <alignment readingOrder="0" shrinkToFit="0" wrapText="0"/>
    </xf>
    <xf borderId="0" fillId="0" fontId="24" numFmtId="0" xfId="0" applyAlignment="1" applyFont="1">
      <alignment readingOrder="0" shrinkToFit="0" wrapText="0"/>
    </xf>
    <xf quotePrefix="1" borderId="0" fillId="0" fontId="11" numFmtId="0" xfId="0" applyAlignment="1" applyFont="1">
      <alignment readingOrder="0" shrinkToFit="0" vertical="bottom" wrapText="0"/>
    </xf>
    <xf borderId="0" fillId="0" fontId="25" numFmtId="164" xfId="0" applyAlignment="1" applyFont="1" applyNumberFormat="1">
      <alignment readingOrder="0" shrinkToFit="0" vertical="bottom" wrapText="0"/>
    </xf>
    <xf borderId="0" fillId="0" fontId="3" numFmtId="164" xfId="0" applyAlignment="1" applyFont="1" applyNumberFormat="1">
      <alignment shrinkToFit="0" wrapText="0"/>
    </xf>
    <xf borderId="0" fillId="0" fontId="3" numFmtId="164" xfId="0" applyFont="1" applyNumberFormat="1"/>
    <xf borderId="0" fillId="0" fontId="26" numFmtId="0" xfId="0" applyAlignment="1" applyFont="1">
      <alignment shrinkToFit="0" vertical="bottom" wrapText="0"/>
    </xf>
    <xf borderId="0" fillId="0" fontId="27" numFmtId="0" xfId="0" applyAlignment="1" applyFont="1">
      <alignment readingOrder="0" shrinkToFit="0" wrapText="0"/>
    </xf>
    <xf borderId="0" fillId="0" fontId="11" numFmtId="0" xfId="0" applyAlignment="1" applyFont="1">
      <alignment horizontal="center" shrinkToFit="0" vertical="bottom" wrapText="0"/>
    </xf>
    <xf borderId="0" fillId="2" fontId="8" numFmtId="49" xfId="0" applyAlignment="1" applyFont="1" applyNumberFormat="1">
      <alignment horizontal="left" readingOrder="0" shrinkToFit="0" wrapText="0"/>
    </xf>
    <xf borderId="0" fillId="0" fontId="28" numFmtId="0" xfId="0" applyAlignment="1" applyFont="1">
      <alignment readingOrder="0" shrinkToFit="0" wrapText="0"/>
    </xf>
    <xf borderId="0" fillId="0" fontId="1" numFmtId="0" xfId="0" applyAlignment="1" applyFont="1">
      <alignment readingOrder="0"/>
    </xf>
    <xf borderId="0" fillId="4" fontId="3" numFmtId="49" xfId="0" applyAlignment="1" applyFill="1" applyFont="1" applyNumberFormat="1">
      <alignment shrinkToFit="0" wrapText="0"/>
    </xf>
    <xf borderId="0" fillId="4" fontId="3" numFmtId="0" xfId="0" applyAlignment="1" applyFont="1">
      <alignment shrinkToFit="0" wrapText="0"/>
    </xf>
    <xf quotePrefix="1" borderId="0" fillId="4" fontId="3" numFmtId="0" xfId="0" applyAlignment="1" applyFont="1">
      <alignment shrinkToFit="0" wrapText="0"/>
    </xf>
    <xf borderId="0" fillId="4" fontId="3" numFmtId="164" xfId="0" applyAlignment="1" applyFont="1" applyNumberFormat="1">
      <alignment shrinkToFit="0" wrapText="0"/>
    </xf>
    <xf borderId="0" fillId="4" fontId="29" numFmtId="164" xfId="0" applyAlignment="1" applyFont="1" applyNumberFormat="1">
      <alignment shrinkToFit="0" wrapText="0"/>
    </xf>
    <xf borderId="0" fillId="4" fontId="3" numFmtId="0" xfId="0" applyFont="1"/>
    <xf borderId="0" fillId="4" fontId="4" numFmtId="0" xfId="0" applyFont="1"/>
    <xf quotePrefix="1" borderId="0" fillId="0" fontId="3" numFmtId="0" xfId="0" applyAlignment="1" applyFont="1">
      <alignment shrinkToFit="0" wrapText="0"/>
    </xf>
    <xf borderId="0" fillId="0" fontId="30" numFmtId="164" xfId="0" applyAlignment="1" applyFont="1" applyNumberFormat="1">
      <alignment shrinkToFit="0" wrapText="0"/>
    </xf>
    <xf borderId="0" fillId="0" fontId="4" numFmtId="0" xfId="0" applyFont="1"/>
    <xf borderId="0" fillId="2" fontId="31" numFmtId="0" xfId="0" applyFont="1"/>
    <xf borderId="0" fillId="0" fontId="4" numFmtId="0" xfId="0" applyAlignment="1" applyFont="1">
      <alignment readingOrder="0"/>
    </xf>
    <xf borderId="0" fillId="0" fontId="8" numFmtId="49" xfId="0" applyAlignment="1" applyFont="1" applyNumberFormat="1">
      <alignment readingOrder="0"/>
    </xf>
    <xf borderId="0" fillId="0" fontId="32" numFmtId="164" xfId="0" applyAlignment="1" applyFont="1" applyNumberFormat="1">
      <alignment readingOrder="0" shrinkToFit="0" wrapText="0"/>
    </xf>
    <xf borderId="0" fillId="0" fontId="32" numFmtId="164" xfId="0" applyAlignment="1" applyFont="1" applyNumberFormat="1">
      <alignment readingOrder="0" shrinkToFit="0" wrapText="0"/>
    </xf>
    <xf borderId="0" fillId="0" fontId="11" numFmtId="0" xfId="0" applyAlignment="1" applyFont="1">
      <alignment horizontal="right" shrinkToFit="0" vertical="bottom" wrapText="0"/>
    </xf>
    <xf borderId="0" fillId="2" fontId="33" numFmtId="0" xfId="0" applyAlignment="1" applyFont="1">
      <alignment shrinkToFit="0" vertical="bottom" wrapText="0"/>
    </xf>
    <xf borderId="0" fillId="0" fontId="11" numFmtId="164" xfId="0" applyAlignment="1" applyFont="1" applyNumberFormat="1">
      <alignment readingOrder="0" vertical="bottom"/>
    </xf>
    <xf quotePrefix="1" borderId="0" fillId="0" fontId="11" numFmtId="0" xfId="0" applyAlignment="1" applyFont="1">
      <alignment shrinkToFit="0" vertical="bottom" wrapText="0"/>
    </xf>
    <xf borderId="0" fillId="0" fontId="11" numFmtId="164" xfId="0" applyAlignment="1" applyFont="1" applyNumberFormat="1">
      <alignment vertical="bottom"/>
    </xf>
    <xf borderId="0" fillId="4" fontId="34" numFmtId="0" xfId="0" applyAlignment="1" applyFont="1">
      <alignment readingOrder="0"/>
    </xf>
    <xf quotePrefix="1" borderId="0" fillId="5" fontId="3" numFmtId="0" xfId="0" applyAlignment="1" applyFill="1" applyFont="1">
      <alignment readingOrder="0" shrinkToFit="0" wrapText="0"/>
    </xf>
    <xf borderId="0" fillId="0" fontId="34" numFmtId="0" xfId="0" applyAlignment="1" applyFont="1">
      <alignment readingOrder="0"/>
    </xf>
    <xf borderId="0" fillId="0" fontId="35" numFmtId="164" xfId="0" applyAlignment="1" applyFont="1" applyNumberFormat="1">
      <alignment readingOrder="0" vertical="bottom"/>
    </xf>
    <xf borderId="0" fillId="0" fontId="11" numFmtId="0" xfId="0" applyAlignment="1" applyFont="1">
      <alignment vertical="bottom"/>
    </xf>
    <xf borderId="0" fillId="0" fontId="36" numFmtId="164" xfId="0" applyAlignment="1" applyFont="1" applyNumberFormat="1">
      <alignment vertical="bottom"/>
    </xf>
    <xf borderId="0" fillId="0" fontId="11" numFmtId="0" xfId="0" applyAlignment="1" applyFont="1">
      <alignment horizontal="right" shrinkToFit="0" vertical="bottom" wrapText="0"/>
    </xf>
    <xf quotePrefix="1" borderId="0" fillId="0" fontId="11" numFmtId="0" xfId="0" applyAlignment="1" applyFont="1">
      <alignment readingOrder="0" vertical="bottom"/>
    </xf>
    <xf borderId="0" fillId="2" fontId="8" numFmtId="49" xfId="0" applyAlignment="1" applyFont="1" applyNumberFormat="1">
      <alignment readingOrder="0"/>
    </xf>
    <xf quotePrefix="1" borderId="0" fillId="0" fontId="3" numFmtId="0" xfId="0" applyAlignment="1" applyFont="1">
      <alignment readingOrder="0"/>
    </xf>
    <xf borderId="0" fillId="5" fontId="3" numFmtId="164" xfId="0" applyAlignment="1" applyFont="1" applyNumberFormat="1">
      <alignment readingOrder="0" shrinkToFit="0" wrapText="0"/>
    </xf>
    <xf quotePrefix="1" borderId="0" fillId="0" fontId="4" numFmtId="0" xfId="0" applyAlignment="1" applyFont="1">
      <alignment readingOrder="0"/>
    </xf>
    <xf borderId="0" fillId="5" fontId="3" numFmtId="0" xfId="0" applyAlignment="1" applyFont="1">
      <alignment readingOrder="0"/>
    </xf>
    <xf borderId="0" fillId="5" fontId="3" numFmtId="49" xfId="0" applyAlignment="1" applyFont="1" applyNumberFormat="1">
      <alignment shrinkToFit="0" wrapText="0"/>
    </xf>
    <xf borderId="0" fillId="5" fontId="3" numFmtId="0" xfId="0" applyAlignment="1" applyFont="1">
      <alignment readingOrder="0" shrinkToFit="0" wrapText="0"/>
    </xf>
    <xf borderId="0" fillId="5" fontId="5" numFmtId="0" xfId="0" applyAlignment="1" applyFont="1">
      <alignment horizontal="left" shrinkToFit="0" wrapText="0"/>
    </xf>
    <xf borderId="0" fillId="5" fontId="3" numFmtId="0" xfId="0" applyAlignment="1" applyFont="1">
      <alignment shrinkToFit="0" wrapText="0"/>
    </xf>
    <xf borderId="0" fillId="5" fontId="3" numFmtId="164" xfId="0" applyAlignment="1" applyFont="1" applyNumberFormat="1">
      <alignment shrinkToFit="0" wrapText="0"/>
    </xf>
    <xf borderId="0" fillId="5" fontId="4" numFmtId="0" xfId="0" applyAlignment="1" applyFont="1">
      <alignment readingOrder="0" shrinkToFit="0" wrapText="0"/>
    </xf>
    <xf borderId="0" fillId="5" fontId="3" numFmtId="0" xfId="0" applyFont="1"/>
    <xf borderId="0" fillId="5" fontId="3" numFmtId="49" xfId="0" applyAlignment="1" applyFont="1" applyNumberFormat="1">
      <alignment readingOrder="0" shrinkToFit="0" wrapText="0"/>
    </xf>
    <xf borderId="0" fillId="2" fontId="33" numFmtId="164" xfId="0" applyAlignment="1" applyFont="1" applyNumberFormat="1">
      <alignment shrinkToFit="0" vertical="bottom" wrapText="0"/>
    </xf>
    <xf quotePrefix="1" borderId="0" fillId="5" fontId="3" numFmtId="0" xfId="0" applyAlignment="1" applyFont="1">
      <alignment shrinkToFit="0" wrapText="0"/>
    </xf>
    <xf borderId="0" fillId="5" fontId="37" numFmtId="164" xfId="0" applyAlignment="1" applyFont="1" applyNumberFormat="1">
      <alignment shrinkToFit="0" wrapText="0"/>
    </xf>
    <xf borderId="0" fillId="5" fontId="4" numFmtId="0" xfId="0" applyAlignment="1" applyFont="1">
      <alignment shrinkToFit="0" wrapText="0"/>
    </xf>
    <xf borderId="0" fillId="5" fontId="11" numFmtId="0" xfId="0" applyAlignment="1" applyFont="1">
      <alignment readingOrder="0" vertical="bottom"/>
    </xf>
    <xf borderId="0" fillId="0" fontId="4" numFmtId="0" xfId="0" applyAlignment="1" applyFont="1">
      <alignment shrinkToFit="0" wrapText="0"/>
    </xf>
    <xf borderId="0" fillId="0" fontId="38" numFmtId="0" xfId="0" applyAlignment="1" applyFont="1">
      <alignment readingOrder="0"/>
    </xf>
    <xf borderId="0" fillId="0" fontId="3" numFmtId="0" xfId="0" applyAlignment="1" applyFont="1">
      <alignment readingOrder="0"/>
    </xf>
    <xf borderId="0" fillId="0" fontId="39" numFmtId="0" xfId="0" applyAlignment="1" applyFont="1">
      <alignment readingOrder="0"/>
    </xf>
    <xf borderId="0" fillId="2" fontId="16" numFmtId="0" xfId="0" applyFont="1"/>
    <xf borderId="0" fillId="0" fontId="8" numFmtId="164" xfId="0" applyAlignment="1" applyFont="1" applyNumberFormat="1">
      <alignment shrinkToFit="0" vertical="bottom" wrapText="0"/>
    </xf>
    <xf borderId="0" fillId="0" fontId="1" numFmtId="49" xfId="0" applyAlignment="1" applyFont="1" applyNumberFormat="1">
      <alignment shrinkToFit="0" wrapText="0"/>
    </xf>
    <xf borderId="0" fillId="0" fontId="1" numFmtId="0" xfId="0" applyAlignment="1" applyFont="1">
      <alignment shrinkToFit="0" wrapText="0"/>
    </xf>
    <xf borderId="0" fillId="0" fontId="26" numFmtId="0" xfId="0" applyAlignment="1" applyFont="1">
      <alignment shrinkToFit="0" vertical="bottom" wrapText="1"/>
    </xf>
    <xf borderId="0" fillId="2" fontId="5" numFmtId="0" xfId="0" applyFont="1"/>
    <xf borderId="0" fillId="2" fontId="5" numFmtId="0" xfId="0" applyAlignment="1" applyFont="1">
      <alignment horizontal="left"/>
    </xf>
    <xf quotePrefix="1" borderId="0" fillId="0" fontId="4" numFmtId="0" xfId="0" applyFont="1"/>
    <xf borderId="0" fillId="0" fontId="8" numFmtId="0" xfId="0" applyAlignment="1" applyFont="1">
      <alignment shrinkToFit="0" wrapText="0"/>
    </xf>
    <xf borderId="0" fillId="2" fontId="8" numFmtId="49" xfId="0" applyAlignment="1" applyFont="1" applyNumberFormat="1">
      <alignment horizontal="left" shrinkToFit="0" wrapText="0"/>
    </xf>
    <xf borderId="0" fillId="0" fontId="26" numFmtId="0" xfId="0" applyAlignment="1" applyFont="1">
      <alignment vertical="bottom"/>
    </xf>
    <xf borderId="0" fillId="6" fontId="26" numFmtId="0" xfId="0" applyAlignment="1" applyFill="1" applyFont="1">
      <alignment vertical="bottom"/>
    </xf>
    <xf borderId="0" fillId="6" fontId="11" numFmtId="0" xfId="0" applyAlignment="1" applyFont="1">
      <alignment horizontal="right" vertical="bottom"/>
    </xf>
    <xf borderId="0" fillId="0" fontId="11" numFmtId="0" xfId="0" applyAlignment="1" applyFont="1">
      <alignment horizontal="right" vertical="bottom"/>
    </xf>
    <xf borderId="0" fillId="6" fontId="33" numFmtId="0" xfId="0" applyAlignment="1" applyFont="1">
      <alignment horizontal="right" vertical="bottom"/>
    </xf>
    <xf borderId="0" fillId="4" fontId="26" numFmtId="0" xfId="0" applyAlignment="1" applyFont="1">
      <alignment vertical="bottom"/>
    </xf>
    <xf borderId="0" fillId="4" fontId="11" numFmtId="2" xfId="0" applyAlignment="1" applyFont="1" applyNumberFormat="1">
      <alignment horizontal="right" vertical="bottom"/>
    </xf>
    <xf borderId="0" fillId="7" fontId="26" numFmtId="0" xfId="0" applyAlignment="1" applyFill="1" applyFont="1">
      <alignment vertical="bottom"/>
    </xf>
    <xf borderId="0" fillId="7" fontId="11" numFmtId="0" xfId="0" applyAlignment="1" applyFont="1">
      <alignment horizontal="right" vertical="bottom"/>
    </xf>
    <xf borderId="0" fillId="0" fontId="27" numFmtId="0" xfId="0" applyFont="1"/>
    <xf borderId="0" fillId="0" fontId="27" numFmtId="0" xfId="0" applyAlignment="1" applyFont="1">
      <alignment readingOrder="0"/>
    </xf>
    <xf borderId="0" fillId="8" fontId="4" numFmtId="0" xfId="0" applyFill="1" applyFont="1"/>
    <xf borderId="0" fillId="9" fontId="4" numFmtId="0" xfId="0" applyFill="1" applyFont="1"/>
    <xf borderId="0" fillId="9" fontId="40" numFmtId="0" xfId="0" applyFont="1"/>
    <xf borderId="0" fillId="9" fontId="4" numFmtId="0" xfId="0" applyAlignment="1" applyFont="1">
      <alignment readingOrder="0"/>
    </xf>
    <xf borderId="0" fillId="10" fontId="4" numFmtId="0" xfId="0" applyFill="1" applyFont="1"/>
    <xf borderId="0" fillId="0" fontId="41" numFmtId="0" xfId="0" applyAlignment="1" applyFont="1">
      <alignment readingOrder="0"/>
    </xf>
    <xf borderId="0" fillId="10" fontId="42" numFmtId="0" xfId="0" applyFont="1"/>
    <xf borderId="0" fillId="10" fontId="4" numFmtId="0" xfId="0" applyAlignment="1" applyFont="1">
      <alignment readingOrder="0"/>
    </xf>
    <xf borderId="0" fillId="0" fontId="43" numFmtId="0" xfId="0" applyFont="1"/>
    <xf borderId="0" fillId="5" fontId="4" numFmtId="0" xfId="0" applyFont="1"/>
    <xf borderId="0" fillId="10" fontId="16" numFmtId="0" xfId="0" applyAlignment="1" applyFont="1">
      <alignment readingOrder="0"/>
    </xf>
    <xf borderId="0" fillId="7" fontId="4" numFmtId="0" xfId="0" applyFont="1"/>
    <xf borderId="0" fillId="7" fontId="44" numFmtId="0" xfId="0" applyFont="1"/>
    <xf borderId="0" fillId="7" fontId="4" numFmtId="0" xfId="0" applyAlignment="1" applyFont="1">
      <alignment readingOrder="0"/>
    </xf>
    <xf borderId="0" fillId="0" fontId="39" numFmtId="0" xfId="0" applyFont="1"/>
    <xf borderId="0" fillId="3" fontId="4" numFmtId="0" xfId="0" applyFont="1"/>
    <xf borderId="0" fillId="3" fontId="39" numFmtId="0" xfId="0" applyFont="1"/>
    <xf borderId="0" fillId="0" fontId="26" numFmtId="0" xfId="0" applyAlignment="1" applyFont="1">
      <alignment shrinkToFit="0" vertical="bottom" wrapText="0"/>
    </xf>
    <xf borderId="0" fillId="0" fontId="5" numFmtId="0" xfId="0" applyAlignment="1" applyFont="1">
      <alignment vertical="bottom"/>
    </xf>
    <xf borderId="0" fillId="0" fontId="4" numFmtId="0" xfId="0" applyFont="1"/>
    <xf borderId="0" fillId="2" fontId="45" numFmtId="0" xfId="0" applyFont="1"/>
    <xf borderId="0" fillId="0" fontId="4" numFmtId="3" xfId="0" applyAlignment="1" applyFont="1" applyNumberFormat="1">
      <alignment readingOrder="0"/>
    </xf>
    <xf borderId="0" fillId="0" fontId="4" numFmtId="3" xfId="0" applyFont="1" applyNumberFormat="1"/>
    <xf borderId="0" fillId="5" fontId="3" numFmtId="0" xfId="0" applyAlignment="1" applyFont="1">
      <alignment shrinkToFit="0" wrapText="0"/>
    </xf>
    <xf borderId="0" fillId="0" fontId="11" numFmtId="0" xfId="0" applyAlignment="1" applyFont="1">
      <alignment shrinkToFit="0" vertical="bottom" wrapText="0"/>
    </xf>
    <xf borderId="0" fillId="0" fontId="1" numFmtId="164" xfId="0" applyAlignment="1" applyFont="1" applyNumberFormat="1">
      <alignment shrinkToFit="0" wrapText="0"/>
    </xf>
    <xf borderId="0" fillId="11" fontId="3" numFmtId="164" xfId="0" applyAlignment="1" applyFill="1" applyFont="1" applyNumberFormat="1">
      <alignment shrinkToFit="0" wrapText="0"/>
    </xf>
    <xf borderId="0" fillId="11" fontId="4" numFmtId="0" xfId="0" applyFont="1"/>
    <xf borderId="0" fillId="11" fontId="16" numFmtId="0" xfId="0" applyFont="1"/>
    <xf borderId="0" fillId="11" fontId="3" numFmtId="0" xfId="0" applyAlignment="1" applyFont="1">
      <alignment shrinkToFit="0" wrapText="0"/>
    </xf>
    <xf borderId="0" fillId="12" fontId="3" numFmtId="164" xfId="0" applyAlignment="1" applyFill="1" applyFont="1" applyNumberFormat="1">
      <alignment shrinkToFit="0" wrapText="0"/>
    </xf>
    <xf borderId="0" fillId="12" fontId="4" numFmtId="0" xfId="0" applyFont="1"/>
    <xf borderId="0" fillId="12" fontId="16" numFmtId="0" xfId="0" applyFont="1"/>
    <xf borderId="0" fillId="13" fontId="3" numFmtId="164" xfId="0" applyAlignment="1" applyFill="1" applyFont="1" applyNumberFormat="1">
      <alignment shrinkToFit="0" wrapText="0"/>
    </xf>
    <xf borderId="0" fillId="13" fontId="4" numFmtId="0" xfId="0" applyFont="1"/>
    <xf borderId="0" fillId="0" fontId="1" numFmtId="49" xfId="0" applyAlignment="1" applyFont="1" applyNumberFormat="1">
      <alignment horizontal="left" shrinkToFit="0" wrapText="0"/>
    </xf>
    <xf borderId="0" fillId="0" fontId="1" numFmtId="164" xfId="0" applyFont="1" applyNumberFormat="1"/>
    <xf borderId="0" fillId="0" fontId="3" numFmtId="49" xfId="0" applyAlignment="1" applyFont="1" applyNumberFormat="1">
      <alignment horizontal="right" shrinkToFit="0" wrapText="0"/>
    </xf>
    <xf borderId="0" fillId="0" fontId="8" numFmtId="0" xfId="0" applyAlignment="1" applyFont="1">
      <alignment shrinkToFit="0" vertical="bottom" wrapText="0"/>
    </xf>
    <xf borderId="0" fillId="0" fontId="46" numFmtId="164" xfId="0" applyFont="1" applyNumberFormat="1"/>
    <xf borderId="0" fillId="0" fontId="3" numFmtId="49" xfId="0" applyAlignment="1" applyFont="1" applyNumberFormat="1">
      <alignment horizontal="right"/>
    </xf>
    <xf borderId="0" fillId="0" fontId="27" numFmtId="49" xfId="0" applyFont="1" applyNumberFormat="1"/>
    <xf borderId="0" fillId="0" fontId="27" numFmtId="164" xfId="0" applyFont="1" applyNumberFormat="1"/>
    <xf borderId="0" fillId="2" fontId="47" numFmtId="0" xfId="0" applyFont="1"/>
    <xf borderId="0" fillId="2" fontId="47" numFmtId="49" xfId="0" applyFont="1" applyNumberFormat="1"/>
    <xf borderId="0" fillId="2" fontId="47"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pivotCacheDefinition" Target="pivotCache/pivotCacheDefinition1.xml"/><Relationship Id="rId21" Type="http://schemas.openxmlformats.org/officeDocument/2006/relationships/worksheet" Target="worksheets/sheet18.xml"/><Relationship Id="rId24" Type="http://customschemas.google.com/relationships/workbookmetadata" Target="metadata"/><Relationship Id="rId23" Type="http://schemas.openxmlformats.org/officeDocument/2006/relationships/pivotCacheDefinition" Target="pivotCache/pivotCacheDefinition2.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standalone="yes"?>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cacheSource type="worksheet"><worksheetSource ref="A1:C1323" sheet="QR-Arama"/></cacheSource><cacheFields><cacheField name="No" numFmtId="0"><sharedItems containsSemiMixedTypes="0" containsString="0" containsNumber="1" containsInteger="1"><n v="116.0"/><n v="65.0"/><n v="54.0"/><n v="42.0"/><n v="37.0"/><n v="35.0"/><n v="30.0"/><n v="28.0"/><n v="27.0"/><n v="26.0"/><n v="24.0"/><n v="23.0"/><n v="21.0"/><n v="20.0"/><n v="19.0"/><n v="18.0"/><n v="17.0"/><n v="16.0"/><n v="15.0"/><n v="14.0"/><n v="13.0"/><n v="12.0"/><n v="11.0"/><n v="10.0"/><n v="9.0"/><n v="8.0"/><n v="7.0"/><n v="6.0"/><n v="5.0"/><n v="4.0"/><n v="3.0"/><n v="2.0"/><n v="1.0"/></sharedItems></cacheField><cacheField name=" " numFmtId="0"><sharedItems><s v="Zara-"/><s v="Bonesserie İstanbul-"/><s v="Eat-"/><s v="Zula-"/><s v="-"/><s v="Star-"/><s v="Ea-"/><s v="H-"/><s v="Sta-"/><s v="H&amp;m-"/><s v="Hm-"/><s v="Media-"/><s v="Big-"/><s v="Dr-"/><s v="Zar-"/><s v="Med-"/><s v="App-"/><s v="Macro-"/><s v="Mango-"/><s v="Mavi-"/><s v="Za-"/><s v="Apple-"/><s v="Bey-"/><s v="D&amp;r-"/><s v="Zul-"/><s v="Fun-"/><s v="Wat-"/><s v="Paşa-"/><s v="Toy-"/><s v="Medi-"/><s v="Tax-"/><s v="Well-"/><s v="Nike-"/><s v="Beymen-"/><s v="Bon-"/><s v="Happ-"/><s v="Happy-"/><s v="Zu-"/><s v="Tur-"/><s v="Appl-"/><s v="Cos-"/><s v="St-"/><s v="Wats-"/><s v="Nero-"/><s v="Eng-"/><s v="Ma-"/><s v="Ad-"/><s v="Gap-"/><s v="Mass-"/><s v="Cup-"/><s v="Mac-"/><s v="Ves-"/><s v="Nes-"/><s v="Pand-"/><s v="Saray-"/><s v="Sk-"/><s v="voi-"/><s v="Pha-"/><s v="Lev-"/><s v="Mang-"/><s v="Massi-"/><s v="Mav-"/><s v="Vakko-"/><s v="Vic-"/><s v="Wa-"/><s v="Pandora-"/><s v="Se-"/><s v="Sep-"/><s v="Watson-"/><s v="Mem-"/><s v="Memo-"/><s v="Parle-"/><s v="Pers-"/><s v="Phar-"/><s v="Polo-"/><s v="Sus-"/><s v="Sushi-"/><s v="Mon-"/><s v="Asi-"/><s v="Dnr-"/><s v="Dys-"/><s v="Eataly-"/><s v="God-"/><s v="Godiva-"/><s v="H -"/><s v="H&amp;-"/><s v="Lac-"/><s v="Macr-"/><s v="Mes-"/><s v="Net-"/><s v="Plus-"/><s v="Zan-"/><s v="Me-"/><s v="Togg-"/><s v="Boho-"/><s v="Pando-"/><s v="Adi-"/><s v="Adid-"/><s v="Adidas-"/><s v="Cal-"/><s v="Chakra-"/><s v="Eata-"/><s v="Levi-"/><s v="Lo-"/><s v="Man-"/><s v="Massim-"/><s v="Parl-"/><s v="Paş-"/><s v="Remzi-"/><s v="Ros-"/><s v="Ross-"/><s v="Seph-"/><s v="Sephora-"/><s v="Ske-"/><s v="Sush-"/><s v="To-"/><s v="Toba-"/><s v="Tomm-"/><s v="Twist-"/><s v="Vest-"/><s v="Watsons-"/><s v="Atm-"/><s v="Ex-"/><s v="Mesci-"/><s v="Otop-"/><s v="Taxi-"/><s v="Tog-"/><s v="Vi-"/><s v="As-"/><s v="Asic-"/><s v="Beym-"/><s v="Big -"/><s v="Burb-"/><s v="Can-"/><s v="Cha-"/><s v="Chane-"/><s v="Chanel-"/><s v="Coll-"/><s v="Colu-"/><s v="Die-"/><s v="Dior-"/><s v="Dyso-"/><s v="Eatal-"/><s v="Etaly-"/><s v="Go-"/><s v="Godi-"/><s v="Gree-"/><s v="Hap-"/><s v="Italy-"/><s v="Kahve-"/><s v="Lam-"/><s v="Mark-"/><s v="Market-"/><s v="Massimo-"/><s v="Mc-"/><s v="Mers-"/><s v="Nesp-"/><s v="Nev-"/><s v="Oto-"/><s v="Park-"/><s v="Pasa-"/><s v="Penti-"/><s v="Plu-"/><s v="Starb-"/><s v="Starbucks-"/><s v="Sup-"/><s v="Super-"/><s v="Sw-"/><s v="Tob-"/><s v="Toyz-"/><s v="Turk-"/><s v="Vakk-"/><s v="Valen-"/><s v="Veste-"/><s v="Vict-"/><s v="Wel-"/><s v="Z-"/><s v="Cam-"/><s v="Canti-"/><s v="Design Market-"/><s v="Diese-"/><s v="Gara-"/><s v="Kfc-"/><s v="Moc-"/><s v="Psm-"/><s v="Restroo-"/><s v="Skec-"/><s v="Tomy-"/><s v="camper-"/><s v="Sab-"/><s v="en-"/><s v="Abdu-"/><s v="Ale-"/><s v="Ap-"/><s v="Apple -"/><s v="Apple store-"/><s v="Ata-"/><s v="Atasa-"/><s v="Beyme-"/><s v="Big ch-"/><s v="Bo-"/><s v="Bob-"/><s v="Bowling-"/><s v="Cafe-"/><s v="Calze-"/><s v="Ch-"/><s v="Co-"/><s v="Col-"/><s v="Cr-"/><s v="Cu-"/><s v="Cup -"/><s v="Cup of -"/><s v="Curr-"/><s v="Divare-"/><s v="Dyson-"/><s v="Eatl-"/><s v="Ecz-"/><s v="Engli-"/><s v="Fendi-"/><s v="Five-"/><s v="Garanti-"/><s v="Glo-"/><s v="Global-"/><s v="Gol-"/><s v="Golden-"/><s v="Gözlük-"/><s v="Gün-"/><s v="Günayd-"/><s v="H and m -"/><s v="Hai-"/><s v="Ital-"/><s v="Jbl-"/><s v="Kie-"/><s v="Kitap-"/><s v="Laco-"/><s v="Levis-"/><s v="Lin-"/><s v="Loc-"/><s v="Loui-"/><s v="Makr-"/><s v="Makro-"/><s v="Mas-"/><s v="Mer-"/><s v="Mesc-"/><s v="Metro-"/><s v="Mie-"/><s v="Mori-"/><s v="Nik-"/><s v="Nu-"/><s v="Opti-"/><s v="Oyun-"/><s v="Pasab-"/><s v="Paşabahçe-"/><s v="Pen-"/><s v="Pene-"/><s v="Pray-"/><s v="Prayer-"/><s v="Ps-"/><s v="Re-"/><s v="Rolex-"/><s v="Saat-"/><s v="Sai-"/><s v="Sara-"/><s v="Sevil-"/><s v="Sn-"/><s v="Starbu-"/><s v="Su-"/><s v="Tax -"/><s v="Tiffa-"/><s v="Tobacc-"/><s v="Tod-"/><s v="Toilet-"/><s v="Tou-"/><s v="Toys-"/><s v="Turkc-"/><s v="Twis-"/><s v="Va-"/><s v="Vakkorama-"/><s v="Vale-"/><s v="Vari-"/><s v="Vestel-"/><s v="Vesto-"/><s v="Victo-"/><s v="We-"/><s v="Yve-"/><s v="Yves-"/><s v="Zanzi-"/><s v="sne-"/><s v="tiff-"/><s v="tommy-"/><s v="watso-"/><s v="çıkış-"/><s v="İp-"/><s v="İpe-"/><s v="Akbank-"/><s v="Cinema-"/><s v="Dudu-"/><s v="Elek-"/><s v="Funlo-"/><s v="Grocer-"/><s v="Levazım-"/><s v="Moncler-"/><s v="Network-"/><s v="Nıke-"/><s v="Tu-"/><s v="d r-"/><s v="dag-"/><s v="lou-"/><s v="sag-"/><s v="İsokyo-"/><s v="0-"/><s v="1290-"/><s v="Ab-"/><s v="Abd-"/><s v="Abdul-"/><s v="Accessories -"/><s v="Adida-"/><s v="Akb-"/><s v="Ald-"/><s v="Aldo-"/><s v="Altı-"/><s v="Ame-"/><s v="Amet-"/><s v="Anti-"/><s v="Apple stor-"/><s v="Aras-"/><s v="Arby-"/><s v="Ari-"/><s v="Armani-"/><s v="Ash refund-"/><s v="Asicd-"/><s v="Asics-"/><s v="Assi-"/><s v="At-"/><s v="Atas-"/><s v="Aves-"/><s v="Ayakkabı -"/><s v="Ayakkabı-"/><s v="Açık -"/><s v="Açık-"/><s v="Ağple-"/><s v="Baby-"/><s v="Bakir-"/><s v="Bakır kazan-"/><s v="Bal-"/><s v="Bale-"/><s v="Balen-"/><s v="Bank-"/><s v="Barshka-"/><s v="Bath-"/><s v="Beand-"/><s v="Bebe-"/><s v="Ber g-"/><s v="Beymen vale-"/><s v="Beyö-"/><s v="Beyöe-"/><s v="Beyöen-"/><s v="Bg-"/><s v="Bictor-"/><s v="Bilgisayar -"/><s v="Blobs blue-"/><s v="Boh-"/><s v="Bones-"/><s v="Boss-"/><s v="Botte-"/><s v="Bow-"/><s v="Bowli-"/><s v="Bowlin-"/><s v="Bra-"/><s v="Bran-"/><s v="Bro-"/><s v="Bulgar-"/><s v="Bur-"/><s v="Burberry kids-"/><s v="Burger-"/><s v="Byme-"/><s v="Byment-"/><s v="Bıg-"/><s v="CHP of joy-"/><s v="Caf-"/><s v="Cake-"/><s v="Calv-"/><s v="Calvin clei-"/><s v="Camii-"/><s v="Camp-"/><s v="Cant-"/><s v="Cantinery-"/><s v="Car-"/><s v="Cashmere-"/><s v="Ce-"/><s v="Ceossing-"/><s v="Chak-"/><s v="Chan-"/><s v="Chann-"/><s v="Chef-"/><s v="Chennel-"/><s v="Cin-"/><s v="Colum-"/><s v="Colı-"/><s v="Cro-"/><s v="Crocs-"/><s v="Cros-"/><s v="Cup of-"/><s v="Currency -"/><s v="D&amp;-"/><s v="D&amp;r -"/><s v="D-"/><s v="Da-"/><s v="Dagi-"/><s v="Dama-"/><s v="Damat-"/><s v="Danı-"/><s v="Desi-"/><s v="Dies-"/><s v="Divan-"/><s v="Divarese-"/><s v="Divars-"/><s v="Diır-"/><s v="Dn-"/><s v="Dolc-"/><s v="Dond-"/><s v="Dondurma-"/><s v="Doviz-"/><s v="Dutti-"/><s v="Dy-"/><s v="Dö-"/><s v="Döner-"/><s v="Dövi-"/><s v="Döviz -"/><s v="Dıor-"/><s v="E ately-"/><s v="E bebec-"/><s v="E-"/><s v="Easy-"/><s v="Eatil-"/><s v="Ec-"/><s v="Ecza-"/><s v="Eczane-"/><s v="Edi-"/><s v="Eell-"/><s v="Electrical -"/><s v="Electronic-"/><s v="Electronics-"/><s v="Elekt-"/><s v="Engi-"/><s v="Englis-"/><s v="English -"/><s v="English home-"/><s v="Eole-"/><s v="Erkek-"/><s v="Esta-"/><s v="Etally-"/><s v="Etiler çıkış-"/><s v="Ets-"/><s v="Ev -"/><s v="Exch-"/><s v="Exchang-"/><s v="Exchange -"/><s v="Exi-"/><s v="Exit-"/><s v="Fau-"/><s v="Finansbank -"/><s v="Fiv-"/><s v="Fot-"/><s v="Game-"/><s v="Games-"/><s v="Gl-"/><s v="Glasses-"/><s v="Glob-"/><s v="Godiv-"/><s v="Golde-"/><s v="Gre-"/><s v="Green park-"/><s v="Greenwi-"/><s v="Gril-"/><s v="Gu-"/><s v="Göz-"/><s v="Gü-"/><s v="Günaydın-"/><s v="H &amp; m-"/><s v="H&amp;m -"/><s v="H.m-"/><s v="Hair girl-"/><s v="Happy -"/><s v="Harem-"/><s v="Hopp-"/><s v="Hugo-"/><s v="I-"/><s v="In-"/><s v="Indian-"/><s v="Inf-"/><s v="Info-"/><s v="Int-"/><s v="Ipak-"/><s v="Ipekyo-"/><s v="Irb-"/><s v="Itali-"/><s v="Italian-"/><s v="Jac-"/><s v="Jacadi-"/><s v="Jeans-"/><s v="Jo-"/><s v="Joy-"/><s v="Kaf-"/><s v="Kafe v-"/><s v="Kafe-"/><s v="Kahv-"/><s v="Kahvalt-"/><s v="Kids-"/><s v="Kiel-"/><s v="Kita-"/><s v="Kitch-"/><s v="Kitxh-"/><s v="Kiğılı-"/><s v="Kl-"/><s v="Kot gömlek-"/><s v="Kua-"/><s v="Kuaför-"/><s v="Kutumcu-"/><s v="Kuyu-"/><s v="Kırtasiye-"/><s v="Kırts-"/><s v="Kıs-"/><s v="Kısm-"/><s v="L-"/><s v="La-"/><s v="Lacos-"/><s v="Lamy-"/><s v="Lapp-"/><s v="Laser-"/><s v="Lavobo-"/><s v="Lc -"/><s v="Le-"/><s v="Leva-"/><s v="Levazım -"/><s v="Levent los-"/><s v="Lewis-"/><s v="Line-"/><s v="Linen-"/><s v="Loiu-"/><s v="Louis-"/><s v="Louise-"/><s v="Luggage -"/><s v="Luggage-"/><s v="Lui-"/><s v="Maasi-"/><s v="Mac -"/><s v="Macdo-"/><s v="Maceo-"/><s v="Macf-"/><s v="Mach-"/><s v="Machia-"/><s v="Mack-"/><s v="Macri-"/><s v="Macroc-"/><s v="Macrocent-"/><s v="Mai-"/><s v="Makrocwnter-"/><s v="Mamg-"/><s v="Managm-"/><s v="Mango -"/><s v="Mapa-"/><s v="Mar-"/><s v="Marl-"/><s v="Mars-"/><s v="Masj-"/><s v="Massage -"/><s v="Matssimo-"/><s v="Mazs-"/><s v="McDonald’s -"/><s v="Media market-"/><s v="Mediam-"/><s v="Mediamae-"/><s v="Mediamar-"/><s v="Memor-"/><s v="Mens-"/><s v="Mescid-"/><s v="Mesi-"/><s v="Mesia-"/><s v="Metr-"/><s v="Metrobus-"/><s v="Meyda-"/><s v="Miel-"/><s v="Miu-"/><s v="Mngo-"/><s v="Mont-"/><s v="Mor-"/><s v="Morin-"/><s v="Morini-"/><s v="Moschino-"/><s v="Mossi-"/><s v="Mountblank-"/><s v="Mqngo-"/><s v="Muss-"/><s v="Naut-"/><s v="Nautic-"/><s v="Nesa-"/><s v="Nesğ-"/><s v="Netwo-"/><s v="New-"/><s v="Noodl-"/><s v="Odas-"/><s v="Optük-"/><s v="Os-"/><s v="Ot-"/><s v="Otopa-"/><s v="Otopar-"/><s v="Otopark öd-"/><s v="Otopark-"/><s v="Oyu-"/><s v="Oyun hamuru-"/><s v="Oyuncak-"/><s v="Pan-"/><s v="Pandor-"/><s v="Paner-"/><s v="Paröe-"/><s v="Pasa bahce-"/><s v="Pasta-"/><s v="Paul-"/><s v="Paşab-"/><s v="Paşabahöe-"/><s v="Peak-"/><s v="Pem-"/><s v="Pemb-"/><s v="Pent-"/><s v="Pere-"/><s v="Perf-"/><s v="Perl-"/><s v="Persul-"/><s v="Ph-"/><s v="Pharm-"/><s v="Pharma-"/><s v="Pin-"/><s v="Pink-"/><s v="Pirlanta-"/><s v="Plates-"/><s v="Play-"/><s v="Poi-"/><s v="Pol-"/><s v="Poli-"/><s v="Polo -"/><s v="Pop-"/><s v="Popp-"/><s v="Pple-"/><s v="Pra-"/><s v="Prad-"/><s v="Prada-"/><s v="Pronovi-"/><s v="Pronovias-"/><s v="Psm -"/><s v="Pull-"/><s v="Qnb-"/><s v="Raff-"/><s v="Raffles-"/><s v="Ram-"/><s v="Ramsey-"/><s v="Remz-"/><s v="Renzi-"/><s v="Requi-"/><s v="Res-"/><s v="Ricet-"/><s v="Ro-"/><s v="Role-"/><s v="Rose-"/><s v="Rota-"/><s v="Sabit-"/><s v="Sain-"/><s v="Saint-"/><s v="Sar-"/><s v="Scher-"/><s v="Sefora-"/><s v="Sephor-"/><s v="Shisha-"/><s v="Shoe-"/><s v="Shoes-"/><s v="Sig-"/><s v="Siga-"/><s v="Sine-"/><s v="Sinem-"/><s v="Sip-"/><s v="Skechers-"/><s v="Sneak-"/><s v="Sneaks-"/><s v="Sosa-"/><s v="Sport -"/><s v="Sport-"/><s v="Stat-"/><s v="Sula-"/><s v="Sun-"/><s v="Supe-"/><s v="Supermarket -"/><s v="Sushıco-"/><s v="Svar-"/><s v="Swa-"/><s v="Swim-"/><s v="Sı-"/><s v="Sır-"/><s v="Tabac-"/><s v="Tabbocc-"/><s v="Tabocco-"/><s v="Tak-"/><s v="Tatlı-"/><s v="Tax re-"/><s v="Teknosa-"/><s v="Tele-"/><s v="Terea-"/><s v="Terr-"/><s v="Terra-"/><s v="Terzi-"/><s v="The-"/><s v="Ti-"/><s v="Tif-"/><s v="Tifa-"/><s v="Tiffany and-"/><s v="To -"/><s v="Tobac-"/><s v="Tobe-"/><s v="Togo -"/><s v="Tole-"/><s v="Tom-"/><s v="Tommi-"/><s v="Tona-"/><s v="Toss-"/><s v="Touc-"/><s v="Touch-"/><s v="Touche-"/><s v="Toy -"/><s v="Toyche-"/><s v="Tuav-"/><s v="Tumi-"/><s v="Turk telekom-"/><s v="Turkce-"/><s v="Turkish-"/><s v="Turuncu otopark-"/><s v="Tuv-"/><s v="Tuva-"/><s v="Twi-"/><s v="Türk forması-"/><s v="Türkc-"/><s v="Türkcell-"/><s v="Türksel sahne-"/><s v="Tırk-"/><s v="U.s-"/><s v="Un-"/><s v="Unde-"/><s v="Ura-"/><s v="Us-"/><s v="Vak-"/><s v="Vakara-"/><s v="Vakko -"/><s v="Vakko we-"/><s v="Vakkor-"/><s v="Valentin-"/><s v="Valentino-"/><s v="Vel-"/><s v="Ver-"/><s v="Vestel -"/><s v="Vestel’e -"/><s v="Vestp-"/><s v="Vestı-"/><s v="Vile-"/><s v="Vr-"/><s v="Vskko-"/><s v="WAffle-"/><s v="Watc-"/><s v="Welldo-"/><s v="Welldon-"/><s v="Wellness-"/><s v="Wotch-"/><s v="Y-"/><s v="Ya-"/><s v="Yal-"/><s v="Yapı-"/><s v="Yarg-"/><s v="Yargı-"/><s v="Yargıc-"/><s v="Yatak-"/><s v="Yeşil otopark -"/><s v="Zaea-"/><s v="Zamz-"/><s v="Zanz-"/><s v="Zanzib-"/><s v="Zara -"/><s v="Zara h-"/><s v="Zara’yı et bak-"/><s v="Zare-"/><s v="Zarra-"/><s v="Zata-"/><s v="Zin-"/><s v="Zinc-"/><s v="Zorlo-"/><s v="Zorlu -"/><s v="Zorlu psm-"/><s v="Zorlu-"/><s v="Zoula-"/><s v="Zuşa-"/><s v="beymen cafe-"/><s v="beytçmen-"/><s v="big che-"/><s v="bookst-"/><s v="bot-"/><s v="bott-"/><s v="chil-"/><s v="chilren-"/><s v="clu-"/><s v="cocuk-"/><s v="colomb-"/><s v="danışma-"/><s v="de-"/><s v="des-"/><s v="dönmezsen -"/><s v="eatlay-"/><s v="eczan-"/><s v="exc-"/><s v="exchange-"/><s v="eğl-"/><s v="falconeri-"/><s v="fu-"/><s v="gosi-"/><s v="gucci-"/><s v="h&amp;m home-"/><s v="hello-"/><s v="ipe-"/><s v="lamer-"/><s v="lime-"/><s v="liv-"/><s v="locc-"/><s v="masim-"/><s v="mavi -"/><s v="merc-"/><s v="mescit-"/><s v="oho-"/><s v="palacio-"/><s v="parking-"/><s v="plus -"/><s v="pr-"/><s v="raffle-"/><s v="rossm-"/><s v="sev-"/><s v="sket-"/><s v="such-"/><s v="sushic-"/><s v="tchıbo-"/><s v="tekno sa-"/><s v="tum-"/><s v="under-"/><s v="velen-"/><s v="vil-"/><s v="vo-"/><s v="zola-"/><s v="çikolata-"/><s v="İmakr-"/><s v="İnsi-"/><s v="İnti-"/><s v="İpek -"/><s v="İpekyol-"/><s v="İphone-"/><s v="İsokto-"/><s v="İtaly-"/></sharedItems></cacheField><cacheField name="Name" numFmtId="0"><sharedItems><s v="Zara"/><s v="Bonesserie İstanbul"/><s v="Eataly"/><s v="Zula"/><s v="BigChefs"/><s v="Starbucks"/><s v="Toyzz Shop"/><s v="H&amp;M"/><s v="Burger King"/><s v="Happy Moon's"/><s v="Caffe Nero"/><s v="MediaMarkt"/><s v="Arby's"/><s v="D&amp;R"/><s v="Apple"/><s v="Macrocenter"/><s v="Mango"/><s v="Mavi"/><s v="Watsons"/><s v="Beymen"/><s v="KFC"/><s v="Funloft"/><s v="Paşabahçe Mağazaları"/><s v="Tax Free Zone (Info Desk)"/><s v="Welldone"/><s v="Akbank (ATM)"/><s v="Nike by Levazım"/><s v="Garanti BBVA (ATM)"/><s v="McDonald's"/><s v="Turkcell"/><s v="Aldo"/><s v="COS"/><s v="0 Pub"/><s v="Günaydın Kasap &amp; Steakhouse"/><s v="English Home"/><s v="Cup of Joy"/><s v="Superstep"/><s v="Adidas"/><s v="Gap"/><s v="Massimo Dutti"/><s v="SushiCo"/><s v="Vestel"/><s v="Nespresso"/><s v="Pandora"/><s v="Saray Muhallebicisi"/><s v="Skechers"/><s v="Voi Coffee Company"/><s v="Pharmacy Zorlu Center"/><s v="Sephora"/><s v="Sneaks Up"/><s v="Levi's"/><s v="MAC"/><s v="Vakko"/><s v="Victoria's Secret"/><s v="Vakkorama Cafe"/><s v="Vario"/><s v="MAC Mars Athletic Club"/><s v="1290SQM"/><s v="ATM"/><s v="Et İşleri"/><s v="Zara Home"/><s v="Abdullah Kiğılı Exclusive Cut"/><s v="Kafe Vesto"/><s v="Parle"/><s v="Beymen Club"/><s v="Memorial Wellness"/><s v="Perspective"/><s v="US Polo Assn."/><s v="Moncler"/><s v="Atasay"/><s v="Fauchon Paris"/><s v="Godiva"/><s v="Isokyo"/><s v="Louis Vuitton"/><s v="MOC"/><s v="Mocassini"/><s v="Popeyes"/><s v="Türkiye İş Bankası (ATM)"/><s v="Asics"/><s v="Dyson"/><s v="Lacoste"/><s v="Mescit"/><s v="Network"/><s v="Plus Kitchen"/><s v="Zanzibar"/><s v="Oniki Hukuk Bürosu"/><s v="Togg Deneyim Merkezi"/><s v="Boho Loves Elif Mısırlı"/><s v="Vakkorama"/><s v="Universal Conselor"/><s v="Cantinery"/><s v="Carl's Jr."/><s v="Chakra"/><s v="Divarese"/><s v="Döner Stop"/><s v="Ziyafe Kayseri Mutfağı"/><s v="Calvin Klein Jeans"/><s v="Remzi Kitabevi"/><s v="Rossmann"/><s v="Taxi"/><s v="Tobacco Shop"/><s v="Tommy Hilfiger"/><s v="Twist"/><s v="Green Salads"/><s v="Minycenter Carter’s"/><s v="Zor Exchange"/><s v="Otopark"/><s v="Arifoğlu"/><s v="B&amp;G Store"/><s v="Camper"/><s v="Halkbank (ATM)"/><s v="Linens"/><s v="Tiffany &amp; Co."/><s v="Vakko Home"/><s v="Yapı Kredi (ATM)"/><s v="İpekyol"/><s v="Burberry"/><s v="Chanel"/><s v="Collection Point"/><s v="Columbia"/><s v="Diesel"/><s v="Dior"/><s v="Lamy"/><s v="Mer's"/><s v="Nev Lokanta Meze"/><s v="Car Park"/><s v="Penti"/><s v="Swarovski"/><s v="Valentino"/><s v="A1 Capital"/><s v="Burberry Children"/><s v="Sosa"/><s v="Design Market"/><s v="Zorlu PSM Boğaz Katı"/><s v="Restroom"/><s v="Sabit Akkaya Hair Stylist"/><s v="36 COE Teknoloji"/><s v="AI Analiz"/><s v="Balenciaga"/><s v="Casa"/><s v="Emo Optik"/><s v="Five O'Clock"/><s v="Gran Cafe Eataly"/><s v="Günaydın Köfte &amp; Döner"/><s v="HandeHaluk Kuaför"/><s v="Harman Kardon"/><s v="Intimissimi Uomo"/><s v="Lavinia"/><s v="Marie Antoinette Chocolatier"/><s v="Miu Miu"/><s v="Morini"/><s v="Otopark Ödeme"/><s v="Pidem"/><s v="Ramiz"/><s v="Rocca"/><s v="Tahin"/><s v="Terazza Italia"/><s v="Tommi Brasserie"/><s v="Vakko L'Atelier"/><s v="Vilebrequin"/><s v="WMF"/><s v="Yargıcı"/><s v="Alexander McQueen"/><s v="Bobbi Brown"/><s v="Calzedonia"/><s v="Crossing"/><s v="Eczane Zorlu Center"/><s v="Infirmary"/><s v="Exchange Zor"/><s v="Fendi"/><s v="Global Blue (Beymen)"/><s v="Golden Goose"/><s v="JBL"/><s v="Kiehl's"/><s v="L'Occitane"/><s v="Masjid"/><s v="Subway Metrobus"/><s v="Miele"/><s v="NU"/><s v="Otopark Giriş Levazım"/><s v="Park Alanı"/><s v="Penelope"/><s v="Zorlu PSM Square Floor"/><s v="Rolex"/><s v="Saat &amp; Saat"/><s v="Saint Laurent"/><s v="Sevil Parfümeri"/><s v="Tod's"/><s v="Touche"/><s v="Yves Rocher"/><s v="Zorlu PSM Meydan Katı"/><s v="Giriş Zincirlikuyu"/><s v="Adamo"/><s v="Cacharel"/><s v="Akbank (Şube)"/><s v="Paribu Cineverse"/><s v="Şükrü Dudu Barber’s Club"/><s v="Odaş Elektrik"/><s v="Giriş Levazım"/><s v="Valeron"/><s v="Dagi"/><s v="Sagaza"/><s v="ABS Gayrimenkul"/><s v="ADCO Sağlık Hizm. ve Tic. A.Ş."/><s v="Akbank (Branch)"/><s v="Ametist"/><s v="Anatoli"/><s v="Anlı Jewelry"/><s v="Any"/><s v="Bakırkazan"/><s v="Balmain"/><s v="Balonevi"/><s v="Baqa"/><s v="Bob Valet Parking (Levazım/Beymen)"/><s v="Brandy's"/><s v="Brooks Brothers"/><s v="Cheers Bar&amp;Bar Food"/><s v="Dorya Home"/><s v="Dr. Seyfi Akbay"/><s v="Dry Corner"/><s v="Etstur"/><s v="Falconeri"/><s v="Franck Muller"/><s v="Fun Master"/><s v="Gant"/><s v="Greenwich"/><s v="Gözgrup Optik"/><s v="Haremlique Istanbul"/><s v="Info Desk"/><s v="Jacadi Paris"/><s v="Kwanpen"/><s v="Le Baron"/><s v="Mariposa"/><s v="NGA İnşaat A.Ş."/><s v="Nautica"/><s v="Panerai"/><s v="Pinko"/><s v="Prada"/><s v="Sace Spa Istanbul Representative Office"/><s v="Sponza"/><s v="The Body Shop"/><s v="Tumi"/><s v="Under Armour"/><s v="Uranüs"/><s v="Vakko Wedding"/><s v="Vennüs Telefon Aksesuar"/><s v="ZES Elektrikli Araç Şarj İstasyonu"/><s v="değişken"/><s v="karavan"/><s v="mokassini"/><s v="Çağdaş Kışlaoğlu (Estetik Diş Hekimi)"/><s v="Arkas Lojistik A.Ş."/><s v="DenizBank (ATM)"/><s v="Zorlu Center Açık Hava"/><s v="Machka"/><s v="Bee Goddess"/><s v="Bob Vale Park (Ulus/Raffles)"/><s v="Hello Sweetie"/><s v="Bottega Veneta"/><s v="Bvlgari"/><s v="Chopard"/><s v="Celine (Soon)"/><s v="Damac"/><s v="Tax Free Zone (Danışma Masası)"/><s v="Dolce &amp; Gabbana"/><s v="Zor Döviz"/><s v="Döviz Zor"/><s v="Pembecida"/><s v="Easy Point"/><s v="Eczane"/><s v="Entrance Levazım"/><s v="QNB Finansbank (ATM)"/><s v="Yalçınlar"/><s v="ARN Game"/><s v="Gucci"/><s v="Göz Grup"/><s v="Intimissimi"/><s v="IRB Sigorta"/><s v="Raffles Istanbul"/><s v="Kısmet by Milka"/><s v="Masgold Kuyumculuk"/><s v="Tuvalet"/><s v="Bilca"/><s v="Levent Lostra"/><s v="Zorlu Gayrimenkul"/><s v="LUISA VIA ROMA"/><s v="Valuegene Consulting Group"/><s v="Maison Pereja"/><s v="Mapa"/><s v="Metreküp Mimarlık"/><s v="Entrance Metro Floor"/><s v="Giriş Metro Katı"/><s v="Metro Metrobüs"/><s v="MontBlanc"/><s v="Otopark Giriş Zincirlikuyu"/><s v="Peak"/><s v="pentie"/><s v="Studio"/><s v="Words &amp; Papers Int. Law Bureau"/><s v="Victoria's Secret Pink"/><s v="Ramsey"/><s v="Riceteria"/><s v="Rotap"/><s v="Saat"/><s v="Raffles Spa"/><s v="Bioeksim A.Ş."/><s v="Sırmaison"/><s v="Taksi"/><s v="Z Terzi"/><s v="Tiffany"/><s v="Urart"/><s v="Vakko Couture"/><s v="Bob Vale Park (Levazım/Beymen)"/><s v="VR Gayrimenkul A.Ş."/><s v="Zorlu PSM Bosphorus Floor"/><s v="Danışma Masası"/><s v="Ayaydın Mağazacılık A.Ş."/><s v="Entrance Parking Floor"/><s v="PSM"/><s v="Watch Doctor"/><s v="Car Park Entrance Zincirlikuyu"/><s v="Giriş Ulus"/><s v="Inside Flowers"/></sharedItems></cacheField></cacheFields></pivotCacheDefinition>
</file>

<file path=xl/pivotCache/pivotCacheDefinition2.xml><?xml version="1.0" encoding="UTF-8" standalone="yes"?>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cacheSource type="worksheet"><worksheetSource ref="A1:G1662" sheet="QR-Rota"/></cacheSource><cacheFields><cacheField name="EVENTS" numFmtId="0"><sharedItems containsSemiMixedTypes="0" containsString="0" containsNumber="1" containsInteger="1"><n v="47.0"/><n v="28.0"/><n v="25.0"/><n v="23.0"/><n v="22.0"/><n v="21.0"/><n v="20.0"/><n v="18.0"/><n v="17.0"/><n v="15.0"/><n v="14.0"/><n v="13.0"/><n v="12.0"/><n v="11.0"/><n v="10.0"/><n v="9.0"/><n v="8.0"/><n v="7.0"/><n v="6.0"/><n v="5.0"/><n v="4.0"/><n v="3.0"/><n v="2.0"/><n v="1.0"/></sharedItems></cacheField><cacheField name="EVENT NAME" numFmtId="0"><sharedItems><s v="Konumunuz"/><s v="Your Location"/><s v="Zara"/><s v="Eataly"/><s v="Beymen(Tommy Hilfiger yanı)"/><s v="Etiler Marmaris"/><s v="Yargıcı"/><s v="English Home"/><s v="Kısmet by Milka"/><s v="Caffe Nero"/><s v="Intimissimi"/><s v="Louis Vuitton"/><s v="Toyzz Shop"/><s v="COS"/><s v="Diesel"/><s v="Pandora"/><s v="Ramsey"/><s v="Remzi Kitabevi"/><s v="Starbucks"/><s v="Balmain"/><s v="Calzedonia"/><s v="Masjid"/><s v="Mavi"/><s v="Rolex"/><s v="Sevil Parfümeri"/><s v="Valentino"/><s v="Chanel"/><s v="Falconeri"/><s v="Gant"/><s v="H&amp;M"/><s v="Linens"/><s v="McDonald's"/><s v="Prada"/><s v="Walkers Market"/><s v="Akbank (ATM)(ATM)"/><s v="Balenciaga"/><s v="Burger King"/><s v="Calvin Klein Jeans"/><s v="D&amp;R"/><s v="Dolce &amp; Gabbana"/><s v="Mango"/><s v="Miele"/><s v="Miu Miu"/><s v="PSM"/><s v="Parle"/><s v="Penti"/><s v="Pinko"/><s v="Sephora"/><s v="Skechers"/><s v="Tod's"/><s v="Twist"/><s v="Welldone"/><s v="Yves Rocher"/><s v="Zula"/><s v="Any"/><s v="BigChefs"/><s v="Bobbi Brown"/><s v="Burberry"/><s v="Chakra"/><s v="Columbia"/><s v="Dagi"/><s v="Fauchon Paris"/><s v="Golden Goose"/><s v="Green Salads"/><s v="Gucci"/><s v="KFC"/><s v="Lacoste"/><s v="Mapa"/><s v="MediaMarkt(Paribu Cineverse yanı)"/><s v="Otopark Giriş Zincirlikuyu"/><s v="Plus Kitchen"/><s v="Saat &amp; Saat"/><s v="Sneaks Up"/><s v="SushiCo"/><s v="Tax Free Zone (Info Desk)"/><s v="The Body Shop"/><s v="The Kooples"/><s v="Tommy Hilfiger"/><s v="Twinset Milano"/><s v="Vakko"/><s v="Vestel"/><s v="Victoria's Secret"/><s v="Watsons"/><s v="Adidas"/><s v="Akbank (Şube)(Şube)"/><s v="Aldo"/><s v="Anatoli"/><s v="Arby's"/><s v="Arifoğlu"/><s v="Asics"/><s v="Atasay"/><s v="Atelier Rebul"/><s v="B&amp;G Store"/><s v="Balonevi"/><s v="Baqa"/><s v="Bee Goddess"/><s v="Ben Touch A.Ş."/><s v="Beymen Club"/><s v="Beymen(Morini yanı)"/><s v="Beymen(Next to Morini)"/><s v="Beymen(Next to Tommy Hilfiger)"/><s v="Brandy's"/><s v="Brooks Brothers"/><s v="Burberry Children"/><s v="Bvlgari"/><s v="Camper"/><s v="Cantinery"/><s v="Casa"/><s v="Cinema"/><s v="Concierge"/><s v="Cup of Joy"/><s v="Dior"/><s v="Divarese"/><s v="Dorya Home"/><s v="Dry Corner"/><s v="Dyson"/><s v="Emo Optik"/><s v="Evgaranti Gayrimenkul"/><s v="Fendi"/><s v="Five O'Clock"/><s v="Funloft"/><s v="Gap"/><s v="Gilan"/><s v="Godiva"/><s v="Gran Cafe Eataly"/><s v="Günaydın Kasap &amp; Steakhouse"/><s v="Günaydın Köfte &amp; Döner"/><s v="HandeHaluk Kuaför"/><s v="Happy Moon's"/><s v="Haremlique Istanbul"/><s v="Harman Kardon"/><s v="Isokyo"/><s v="JBL"/><s v="Jacadi Paris"/><s v="Jo Malone"/><s v="Kafe Vesto"/><s v="Kiehl's"/><s v="L'Occitane"/><s v="Levent Lostra"/><s v="Levi's"/><s v="MAC"/><s v="MOC"/><s v="Machka"/><s v="Macrocenter"/><s v="Massimo Dutti"/><s v="MediaMarkt(Next to Paribu Cineverse)"/><s v="MediaMarkt(Next to Uranüs)"/><s v="Memorial Wellness"/><s v="Mescit"/><s v="Minycenter Carter’s"/><s v="Morini"/><s v="NU"/><s v="Nautica"/><s v="Nespresso"/><s v="Network"/><s v="Nike by Levazım"/><s v="Odaş Elektrik"/><s v="Paribu Cineverse"/><s v="Passo Bilet Gişesi"/><s v="Paşabahçe Mağazaları"/><s v="Penelope"/><s v="Perspective"/><s v="Pharmacy"/><s v="Pidem"/><s v="Popeyes"/><s v="QNB Finansbank (ATM)(ATM)"/><s v="Raffles Istanbul"/><s v="Ramiz"/><s v="Riceteria"/><s v="Rossmann"/><s v="Saint Laurent"/><s v="Saray Muhallebicisi"/><s v="Superstep"/><s v="Swarovski"/><s v="Tiffany &amp; Co."/><s v="Tobacco Shop"/><s v="Tommi Brasserie"/><s v="Turkcell"/><s v="US Polo Assn."/><s v="Under Armour"/><s v="Uranüs"/><s v="Vakko Home"/><s v="Vakkorama Cafe"/><s v="Vakkorama"/><s v="Valeron"/><s v="Vario"/><s v="Victoria's Secret Pink"/><s v="Vilebrequin"/><s v="Voi Coffee Company"/><s v="Yalçınlar"/><s v="Zanzibar"/><s v="Zara Home"/><s v="Ziyafe Kayseri Mutfağı"/><s v="Zor Exchange"/><s v="Zorlu PSM Bosphorus FloorBosphorus Floor"/><s v="Zorlu PSM Boğaz KatıBoğaz Katı"/><s v="Zorlu PSM Metro Katı"/></sharedItems></cacheField><cacheField name=" " numFmtId="0"><sharedItems containsBlank="1"><s v="QR-104"/><s v="QR006"/><m/><s v="QR-112"/><s v="QR-203"/><s v="QR-301"/><s v="QR-302"/><s v="QR005"/><s v="QR003"/><s v="QR-108"/><s v="QR-109"/><s v="atm001"/><s v="ID-166"/><s v="QR004"/><s v="QR007"/><s v="lobyy-101"/><s v="ID-245"/></sharedItems></cacheField><cacheField name="FROM" numFmtId="0"><sharedItems><s v="QR-104"/><s v="QR006"/><s v="Zara"/><s v="QR-112"/><s v="Eataly"/><s v="QR-203"/><s v="QR-301"/><s v="QR-302"/><s v="Beymen(Tommy Hilfiger yanı)"/><s v="Etiler Marmaris"/><s v="Yargıcı"/><s v="English Home"/><s v="Kısmet by Milka"/><s v="Caffe Nero"/><s v="Intimissimi"/><s v="Louis Vuitton"/><s v="QR005"/><s v="Toyzz Shop"/><s v="QR003"/><s v="COS"/><s v="Diesel"/><s v="Pandora"/><s v="Ramsey"/><s v="Remzi Kitabevi"/><s v="Starbucks"/><s v="Balmain"/><s v="Calzedonia"/><s v="Masjid"/><s v="Mavi"/><s v="Rolex"/><s v="Sevil Parfümeri"/><s v="Valentino"/><s v="QR-108"/><s v="Chanel"/><s v="Falconeri"/><s v="Gant"/><s v="H&amp;M"/><s v="Linens"/><s v="McDonald's"/><s v="Prada"/><s v="Walkers Market"/><s v="QR-109"/><s v="atm001"/><s v="Akbank (ATM)(ATM)"/><s v="Balenciaga"/><s v="Burger King"/><s v="Calvin Klein Jeans"/><s v="D&amp;R"/><s v="Dolce &amp; Gabbana"/><s v="ID-166"/><s v="Mango"/><s v="Miele"/><s v="Miu Miu"/><s v="PSM"/><s v="Parle"/><s v="Penti"/><s v="Pinko"/><s v="Sephora"/><s v="Skechers"/><s v="Tod's"/><s v="Twist"/><s v="Welldone"/><s v="QR004"/><s v="Yves Rocher"/><s v="Zula"/><s v="Any"/><s v="BigChefs"/><s v="Bobbi Brown"/><s v="Burberry"/><s v="Chakra"/><s v="Columbia"/><s v="Dagi"/><s v="Fauchon Paris"/><s v="Golden Goose"/><s v="Green Salads"/><s v="Gucci"/><s v="KFC"/><s v="Lacoste"/><s v="Mapa"/><s v="MediaMarkt(Paribu Cineverse yanı)"/><s v="Otopark Giriş Zincirlikuyu"/><s v="Plus Kitchen"/><s v="Saat &amp; Saat"/><s v="Sneaks Up"/><s v="SushiCo"/><s v="Tax Free Zone (Info Desk)"/><s v="The Body Shop"/><s v="The Kooples"/><s v="Tommy Hilfiger"/><s v="Twinset Milano"/><s v="Vakko"/><s v="Vestel"/><s v="Victoria's Secret"/><s v="Watsons"/><s v="Adidas"/><s v="Akbank (Şube)(Şube)"/><s v="Aldo"/><s v="Anatoli"/><s v="Arby's"/><s v="Arifoğlu"/><s v="Asics"/><s v="Atasay"/><s v="Atelier Rebul"/><s v="B&amp;G Store"/><s v="Balonevi"/><s v="Baqa"/><s v="Bee Goddess"/><s v="Ben Touch A.Ş."/><s v="Beymen Club"/><s v="Beymen(Morini yanı)"/><s v="Beymen(Next to Morini)"/><s v="Beymen(Next to Tommy Hilfiger)"/><s v="Brandy's"/><s v="Brooks Brothers"/><s v="Burberry Children"/><s v="Bvlgari"/><s v="Camper"/><s v="Cantinery"/><s v="Casa"/><s v="Cinema"/><s v="Concierge"/><s v="Cup of Joy"/><s v="Dior"/><s v="Divarese"/><s v="Dorya Home"/><s v="Dry Corner"/><s v="Dyson"/><s v="Emo Optik"/><s v="Evgaranti Gayrimenkul"/><s v="Fendi"/><s v="Five O'Clock"/><s v="Funloft"/><s v="Gap"/><s v="Gilan"/><s v="Godiva"/><s v="Gran Cafe Eataly"/><s v="Günaydın Kasap &amp; Steakhouse"/><s v="Günaydın Köfte &amp; Döner"/><s v="HandeHaluk Kuaför"/><s v="Happy Moon's"/><s v="Haremlique Istanbul"/><s v="Harman Kardon"/><s v="Isokyo"/><s v="JBL"/><s v="Jacadi Paris"/><s v="Jo Malone"/><s v="Kafe Vesto"/><s v="Kiehl's"/><s v="QR007"/><s v="L'Occitane"/><s v="Levent Lostra"/><s v="Levi's"/><s v="MAC"/><s v="MOC"/><s v="Machka"/><s v="Macrocenter"/><s v="Massimo Dutti"/><s v="MediaMarkt(Next to Paribu Cineverse)"/><s v="MediaMarkt(Next to Uranüs)"/><s v="Memorial Wellness"/><s v="Mescit"/><s v="Minycenter Carter’s"/><s v="Morini"/><s v="NU"/><s v="Nautica"/><s v="Nespresso"/><s v="Network"/><s v="Nike by Levazım"/><s v="Odaş Elektrik"/><s v="Paribu Cineverse"/><s v="Passo Bilet Gişesi"/><s v="Paşabahçe Mağazaları"/><s v="Penelope"/><s v="Perspective"/><s v="Pharmacy"/><s v="Pidem"/><s v="Popeyes"/><s v="QNB Finansbank (ATM)(ATM)"/><s v="Raffles Istanbul"/><s v="Ramiz"/><s v="Riceteria"/><s v="Rossmann"/><s v="Saint Laurent"/><s v="Saray Muhallebicisi"/><s v="Superstep"/><s v="Swarovski"/><s v="Tiffany &amp; Co."/><s v="Tobacco Shop"/><s v="Tommi Brasserie"/><s v="Turkcell"/><s v="US Polo Assn."/><s v="Under Armour"/><s v="Uranüs"/><s v="Vakko Home"/><s v="Vakkorama Cafe"/><s v="Vakkorama"/><s v="Valeron"/><s v="Vario"/><s v="Victoria's Secret Pink"/><s v="Vilebrequin"/><s v="Voi Coffee Company"/><s v="Yalçınlar"/><s v="lobyy-101"/><s v="Zanzibar"/><s v="Zara Home"/><s v="Ziyafe Kayseri Mutfağı"/><s v="Zor Exchange"/><s v="Zorlu PSM Bosphorus FloorBosphorus Floor"/><s v="Zorlu PSM Boğaz KatıBoğaz Katı"/><s v="ID-245"/></sharedItems></cacheField><cacheField name="&gt;" numFmtId="0"><sharedItems containsString="0" containsBlank="1"><m/></sharedItems></cacheField><cacheField name="TO" numFmtId="0"><sharedItems><s v="Eataly"/><s v="Zara"/><s v="Happy Moon's"/><s v="Zula"/><s v="Starbucks"/><s v="Macrocenter"/><s v="PSM"/><s v="BigChefs"/><s v="H&amp;M"/><s v="D&amp;R"/><s v="Toyzz Shop"/><s v="Watsons"/><s v="Tobacco Shop"/><s v="MediaMarkt"/><s v="Mescit"/><s v="Tuvalet"/><s v="Tax Free Zone (Info Desk)"/><s v="Garanti BBVA (ATM)"/><s v="Turkcell"/><s v="Cup of Joy"/><s v="Mango"/><s v="Park Alanı"/><s v="Zorlu Center Açık Hava"/><s v="Apple"/><s v="Zorlu PSM Boğaz Katı"/><s v="Voi Coffee Company"/><s v="Sephora"/><s v="Vakkorama Cafe"/><s v="Funloft"/><s v="Beymen"/><s v="English Home"/><s v="Paşabahçe Mağazaları"/><s v="Prayer Room"/><s v="Rossmann"/><s v="Akbank (ATM)"/><s v="Eczane"/><s v="Yapı Kredi (ATM)"/><s v="Arby's"/><s v="COS"/><s v="AI Analiz"/><s v="Park Area"/><s v="Kafe Vesto"/><s v="Saray Muhallebicisi"/><s v="SushiCo"/><s v="Welldone"/><s v="Togg Deneyim Merkezi"/><s v="Swarovski"/><s v="Vakko"/><s v="Zara Home"/><s v="WC"/><s v="Burger King"/><s v="Kısmet by Milka"/><s v="Parle"/><s v="Asics"/><s v="Godiva"/><s v="Vestel"/><s v="Caffe Nero"/><s v="Memorial Wellness"/><s v="Masjid"/><s v="US Polo Assn."/><s v="Victoria's Secret"/><s v="Skechers"/><s v="Pandora"/><s v="Info Desk"/><s v="Zor Exchange"/><s v="Nespresso"/><s v="Metro&lt;br&gt;Metrobüs"/><s v="Divarese"/><s v="Pharmacy"/><s v="Raffles Spa"/><s v="Saat &amp; Saat"/><s v="Nike by Levazım"/><s v="Linens"/><s v="Cantinery"/><s v="Massimo Dutti"/><s v="Mavi"/><s v="Sneaks Up"/><s v="Adidas"/><s v="Superstep"/><s v="Louis Vuitton"/><s v="Tiffany &amp; Co."/><s v="Chakra"/><s v="Columbia"/><s v="Pembecida"/><s v="Isokyo"/><s v="Tommy Hilfiger"/><s v="Dyson"/><s v="Paribu Cineverse"/><s v="Entrance Levazım"/><s v="Global Blue (Beymen)"/><s v="Günaydın Kasap &amp; Steakhouse"/><s v="Panerai"/><s v="Taxi"/><s v="Moncler"/><s v="Yargıcı"/><s v="Sabit Akkaya Hair Stylist"/><s v="1290SQM"/><s v="Sagaza"/><s v="Popeyes"/><s v="Giriş Zincirlikuyu"/><s v="Oniki Hukuk Bürosu"/><s v="Cinema"/><s v="0 Pub"/><s v="Universal Conselor"/><s v="ATM"/><s v="Camper"/><s v="Akbank (Şube)"/><s v="Atasay"/><s v="Burberry"/><s v="Halkbank (ATM)"/><s v="JBL"/><s v="Plus Kitchen"/><s v="Rolex"/><s v="Sinema"/><s v="Zanzibar"/><s v="Zorlu PSM Meydan Katı"/><s v="KFC"/><s v="Bottega Veneta"/><s v="Chanel"/><s v="Information Desk"/><s v="Levi's"/><s v="MAC Mars Athletic Club"/><s v="Metro&lt;br&gt;Metrobus"/><s v="Pharmacy Zorlu Center"/><s v="Raffles Istanbul"/><s v="Remzi Kitabevi"/><s v="McDonald's"/><s v="ARN Game"/><s v="Riceteria"/><s v="Exchange Zor"/><s v="Lacoste"/><s v="Harman Kardon"/><s v="Raffles İstanbul"/><s v="Tiffany"/><s v="Calvin Klein Jeans"/><s v="MAC"/><s v="Morini"/><s v="Prada"/><s v="Otopark"/><s v="Sevil Parfümeri"/><s v="Vakkorama"/><s v="Twist"/><s v="Bakırkazan"/><s v="Crossing"/><s v="Golden Goose"/><s v="Saat"/><s v="Vakko Home"/><s v="Vakko Wedding"/><s v="Ramsey"/><s v="Gap"/><s v="MOC"/><s v="Greenwich"/><s v="Dior"/><s v="Touche"/><s v="Valentino"/><s v="Bob Vale Park (Levazım/Beymen)"/><s v="The Body Shop"/><s v="Tod's"/><s v="Restroom"/><s v="Mer's"/><s v="Zorlu PSM Metro Floor"/><s v="İpekyol"/><s v="Machka"/><s v="Vilebrequin"/><s v="Network"/><s v="Odaş Elektrik"/><s v="Fun Master"/><s v="Intimissimi"/><s v="Vario"/><s v="Fauchon Paris"/><s v="Bee Goddess"/><s v="Infirmary"/><s v="Beymen Club"/><s v="Şükrü Dudu Barber’s Club"/><s v="Victoria's Secret Pink"/><s v="Brooks Brothers"/><s v="Saint Laurent"/><s v="Bob Vale Park (Ulus/Raffles)"/><s v="Vakko L'Atelier"/><s v="Haremlique Istanbul"/><s v="Abdullah Kiğılı Exclusive Cut"/><s v="Green Salads"/><s v="Otopark Giriş Levazım"/><s v="Giriş Levazım"/><s v="Dagi"/><s v="Döviz Zor"/><s v="Giriş Metro Katı"/><s v="MontBlanc"/><s v="Ziyafe Kayseri Mutfağı"/><s v="Carl's Jr."/><s v="Otopark Giriş Zincirlikuyu"/><s v="Terazza Italia"/><s v="Sosa"/><s v="WMF"/><s v="Aldo"/><s v="Hello Sweetie"/><s v="Tahin"/><s v="Türkiye İş Bankası (ATM)"/><s v="Diesel"/><s v="Etstur"/><s v="Günaydın Köfte &amp; Döner"/><s v="Emo Optik"/><s v="Alexander McQueen"/><s v="Bebek Bakım Odası"/><s v="Eczane Zorlu Center"/><s v="Five O'Clock"/><s v="Gözgrup Optik"/><s v="Kiehl's"/><s v="Mariposa"/><s v="Masgold Kuyumculuk"/><s v="Miu Miu"/><s v="Taksi"/><s v="Tax Free Zone (Danışma Masası)"/><s v="Tommi Brasserie"/><s v="Under Armour"/><s v="Mocassini"/><s v="Otopark Ödeme"/><s v="Ametist"/><s v="D"/><s v="Easy Point"/><s v="Intimissimi Uomo"/><s v="Levent Lostra"/><s v="Penti"/><s v="QNB Finansbank (ATM)"/><s v="Yalçınlar"/><s v="Z Terzi"/><s v="Calzedonia"/><s v="Döner Stop"/><s v="Et İşleri"/><s v="Revir"/><s v="Nev Lokanta Meze"/><s v="Damac"/><s v="Akbank (Branch)"/><s v="Zorlu PSM Bosphorus Floor"/><s v="Entrance Metro Floor"/><s v="Pidem"/><s v="Pinko"/><s v="Subway Metrobus"/><s v="B&amp;G Store"/><s v="Balmain"/><s v="Studio"/><s v="Tumi"/><s v="Dolce &amp; Gabbana"/><s v="Minycenter Carter’s"/><s v="Ramiz"/><s v="Nautica"/><s v="Rocca"/><s v="Balenciaga"/><s v="Marie Antoinette Chocolatier"/><s v="HandeHaluk Kuaför"/><s v="Peak"/><s v="Yves Rocher"/><s v="Burberry Children"/><s v="Car Park Entrance Zincirlikuyu"/><s v="DenizBank (ATM)"/><s v="Dorya Home"/><s v="Entrance Ulus"/><s v="Falconeri"/><s v="Penelope"/><s v="VR Gayrimenkul A.Ş."/><s v="Vennüs Telefon Aksesuar"/><s v="Zorlu PSM Square Floor"/><s v="Bobbi Brown"/><s v="Concierge"/><s v="Franck Muller"/><s v="Gran Cafe Eataly"/><s v="Mapa"/><s v="Arifoğlu"/><s v="Car Park"/><s v="Fendi"/><s v="Le Baron"/><s v="Miele"/><s v="Zorlu Gayrimenkul"/><s v="Jacadi Paris"/><s v="Baqa"/><s v="Casa"/><s v="Gant"/><s v="IRB Sigorta"/></sharedItems></cacheField><cacheField name="FROM&gt;TO" numFmtId="0"><sharedItems><s v="QR-104&gt;Eataly"/><s v="QR006&gt;Zara"/><s v="QR-104&gt;Happy Moon's"/><s v="QR-104&gt;Zula"/><s v="QR-104&gt;Zara"/><s v="QR-104&gt;Starbucks"/><s v="QR-104&gt;Macrocenter"/><s v="QR-104&gt;PSM"/><s v="QR-104&gt;BigChefs"/><s v="Zara&gt;H&amp;M"/><s v="QR-112&gt;Zara"/><s v="QR-104&gt;D&amp;R"/><s v="Eataly&gt;Eataly"/><s v="QR-104&gt;Toyzz Shop"/><s v="QR-104&gt;Watsons"/><s v="QR-104&gt;Tobacco Shop"/><s v="QR-104&gt;MediaMarkt"/><s v="QR-104&gt;Mescit"/><s v="QR-104&gt;H&amp;M"/><s v="QR-104&gt;Tuvalet"/><s v="QR-104&gt;Tax Free Zone (Info Desk)"/><s v="QR-104&gt;Garanti BBVA (ATM)"/><s v="QR-104&gt;Turkcell"/><s v="QR-104&gt;Cup of Joy"/><s v="QR-104&gt;Mango"/><s v="QR-104&gt;Park Alanı"/><s v="QR-104&gt;Zorlu Center Açık Hava"/><s v="QR-203&gt;Zara"/><s v="QR-301&gt;Apple"/><s v="QR-104&gt;Zorlu PSM Boğaz Katı"/><s v="QR-203&gt;Macrocenter"/><s v="QR-104&gt;Voi Coffee Company"/><s v="QR-203&gt;Apple"/><s v="QR-302&gt;Zula"/><s v="QR-203&gt;BigChefs"/><s v="QR-104&gt;Sephora"/><s v="QR-203&gt;Eataly"/><s v="QR-104&gt;Vakkorama Cafe"/><s v="QR-104&gt;Funloft"/><s v="QR-301&gt;Beymen"/><s v="QR-104&gt;English Home"/><s v="QR-104&gt;Paşabahçe Mağazaları"/><s v="QR-104&gt;Prayer Room"/><s v="QR-104&gt;Rossmann"/><s v="QR-203&gt;Mescit"/><s v="QR-104&gt;Akbank (ATM)"/><s v="QR-104&gt;Eczane"/><s v="QR-104&gt;Yapı Kredi (ATM)"/><s v="QR-301&gt;Arby's"/><s v="QR-302&gt;Zara"/><s v="QR006&gt;COS"/><s v="Zara&gt;Macrocenter"/><s v="Beymen(Tommy Hilfiger yanı)&gt;Starbucks"/><s v="QR006&gt;Apple"/><s v="Etiler Marmaris&gt;AI Analiz"/><s v="QR-104&gt;Beymen"/><s v="QR-203&gt;Beymen"/><s v="QR-203&gt;D&amp;R"/><s v="QR-104&gt;Park Area"/><s v="QR-112&gt;H&amp;M"/><s v="Zara&gt;Mango"/><s v="QR-104&gt;Kafe Vesto"/><s v="QR-104&gt;Saray Muhallebicisi"/><s v="QR-104&gt;SushiCo"/><s v="QR-104&gt;Welldone"/><s v="QR-112&gt;Watsons"/><s v="QR-301&gt;Togg Deneyim Merkezi"/><s v="QR-302&gt;Apple"/><s v="Yargıcı&gt;Toyzz Shop"/><s v="Zara&gt;Zara"/><s v="QR-104&gt;Swarovski"/><s v="QR-104&gt;Vakko"/><s v="QR-104&gt;Zara Home"/><s v="QR-301&gt;Park Alanı"/><s v="QR-104&gt;WC"/><s v="QR-203&gt;Zula"/><s v="Yargıcı&gt;Burger King"/><s v="QR-203&gt;Happy Moon's"/><s v="English Home&gt;English Home"/><s v="Kısmet by Milka&gt;Kısmet by Milka"/><s v="QR-112&gt;Parle"/><s v="QR006&gt;SushiCo"/><s v="Caffe Nero&gt;Eataly"/><s v="Intimissimi&gt;Watsons"/><s v="QR-104&gt;Asics"/><s v="QR-104&gt;Godiva"/><s v="QR-104&gt;Vestel"/><s v="QR-203&gt;Caffe Nero"/><s v="QR-301&gt;Memorial Wellness"/><s v="Louis Vuitton&gt;Eataly"/><s v="QR-104&gt;Masjid"/><s v="QR-104&gt;US Polo Assn."/><s v="QR-104&gt;Victoria's Secret"/><s v="Zara&gt;WC"/><s v="Eataly&gt;Burger King"/><s v="Intimissimi&gt;BigChefs"/><s v="QR-104&gt;COS"/><s v="QR-104&gt;Skechers"/><s v="QR-203&gt;MediaMarkt"/><s v="QR-203&gt;Pandora"/><s v="QR-203&gt;Toyzz Shop"/><s v="QR005&gt;Zula"/><s v="QR-104&gt;Info Desk"/><s v="QR-104&gt;Zor Exchange"/><s v="Zara&gt;Nespresso"/><s v="QR-104&gt;Metro&lt;br&gt;Metrobüs"/><s v="QR006&gt;Divarese"/><s v="Toyzz Shop&gt;Funloft"/><s v="QR003&gt;Pharmacy"/><s v="QR006&gt;Zula"/><s v="COS&gt;Mescit"/><s v="QR-104&gt;Raffles Spa"/><s v="QR-104&gt;Saat &amp; Saat"/><s v="QR-112&gt;Eczane"/><s v="QR-112&gt;Nike by Levazım"/><s v="QR-302&gt;Linens"/><s v="Beymen(Tommy Hilfiger yanı)&gt;Eataly"/><s v="COS&gt;Eataly"/><s v="Diesel&gt;Watsons"/><s v="Intimissimi&gt;D&amp;R"/><s v="QR-104&gt;Apple"/><s v="QR-104&gt;Cantinery"/><s v="QR-104&gt;Massimo Dutti"/><s v="QR-104&gt;Mavi"/><s v="QR-104&gt;Nike by Levazım"/><s v="QR-104&gt;Sneaks Up"/><s v="QR-203&gt;H&amp;M"/><s v="QR-203&gt;Watsons"/><s v="QR-301&gt;BigChefs"/><s v="QR-302&gt;Eataly"/><s v="Pandora&gt;Eataly"/><s v="Ramsey&gt;Eataly"/><s v="Remzi Kitabevi&gt;D&amp;R"/><s v="Starbucks&gt;Eataly"/><s v="Starbucks&gt;Zara"/><s v="QR-104&gt;Adidas"/><s v="QR-104&gt;Superstep"/><s v="QR-112&gt;Adidas"/><s v="QR-112&gt;Louis Vuitton"/><s v="QR006&gt;Massimo Dutti"/><s v="Zara&gt;Eataly"/><s v="Zara&gt;Mavi"/><s v="Balmain&gt;Funloft"/><s v="Beymen(Tommy Hilfiger yanı)&gt;Zara"/><s v="Calzedonia&gt;Eataly"/><s v="Intimissimi&gt;Tiffany &amp; Co."/><s v="QR-104&gt;Chakra"/><s v="QR-104&gt;Columbia"/><s v="QR-104&gt;Pembecida"/><s v="QR-112&gt;Welldone"/><s v="QR-203&gt;Isokyo"/><s v="QR-203&gt;SushiCo"/><s v="QR-203&gt;Tommy Hilfiger"/><s v="QR-301&gt;Massimo Dutti"/><s v="QR003&gt;Dyson"/><s v="QR003&gt;Paribu Cineverse"/><s v="Masjid&gt;Masjid"/><s v="Mavi&gt;Skechers"/><s v="Rolex&gt;Eataly"/><s v="Sevil Parfümeri&gt;BigChefs"/><s v="Valentino&gt;Macrocenter"/><s v="Yargıcı&gt;H&amp;M"/><s v="QR-104&gt;Entrance Levazım"/><s v="QR-104&gt;Global Blue (Beymen)"/><s v="QR-104&gt;Günaydın Kasap &amp; Steakhouse"/><s v="QR-104&gt;Panerai"/><s v="QR-104&gt;Taxi"/><s v="QR-108&gt;WC"/><s v="QR-112&gt;COS"/><s v="QR-112&gt;Macrocenter"/><s v="QR-112&gt;Moncler"/><s v="QR-203&gt;Yargıcı"/><s v="QR-302&gt;Parle"/><s v="QR005&gt;Zara"/><s v="QR006&gt;Sabit Akkaya Hair Stylist"/><s v="Chanel&gt;1290SQM"/><s v="Falconeri&gt;BigChefs"/><s v="Gant&gt;Pharmacy"/><s v="H&amp;M&gt;Beymen"/><s v="QR-104&gt;Memorial Wellness"/><s v="QR-104&gt;Sagaza"/><s v="QR-108&gt;Happy Moon's"/><s v="QR-112&gt;Popeyes"/><s v="QR003&gt;Garanti BBVA (ATM)"/><s v="Linens&gt;Zara"/><s v="McDonald's&gt;Giriş Zincirlikuyu"/><s v="Prada&gt;Prayer Room"/><s v="Remzi Kitabevi&gt;Mescit"/><s v="Valentino&gt;SushiCo"/><s v="Walkers Market&gt;Vakkorama Cafe"/><s v="QR-104&gt;Oniki Hukuk Bürosu"/><s v="QR-109&gt;Cinema"/><s v="QR-112&gt;0 Pub"/><s v="QR-203&gt;Universal Conselor"/><s v="atm001&gt;Akbank (ATM)"/><s v="Zara&gt;Pandora"/><s v="Akbank (ATM)(ATM)&gt;ATM"/><s v="Akbank (ATM)(ATM)&gt;Akbank (ATM)"/><s v="Balenciaga&gt;Macrocenter"/><s v="Burger King&gt;Tuvalet"/><s v="Calvin Klein Jeans&gt;Togg Deneyim Merkezi"/><s v="Calzedonia&gt;Toyzz Shop"/><s v="D&amp;R&gt;D&amp;R"/><s v="Diesel&gt;Camper"/><s v="Diesel&gt;Zara"/><s v="Dolce &amp; Gabbana&gt;Happy Moon's"/><s v="Eataly&gt;Macrocenter"/><s v="Falconeri&gt;Eataly"/><s v="Falconeri&gt;Parle"/><s v="Falconeri&gt;Zula"/><s v="Intimissimi&gt;Beymen"/><s v="Intimissimi&gt;Caffe Nero"/><s v="Intimissimi&gt;Macrocenter"/><s v="ID-166&gt;Eczane"/><s v="QR-104&gt;0 Pub"/><s v="QR-104&gt;Akbank (Şube)"/><s v="QR-104&gt;Atasay"/><s v="QR-104&gt;Burberry"/><s v="QR-104&gt;Halkbank (ATM)"/><s v="QR-104&gt;JBL"/><s v="QR-104&gt;Linens"/><s v="QR-104&gt;Pandora"/><s v="QR-104&gt;Plus Kitchen"/><s v="QR-104&gt;Rolex"/><s v="QR-104&gt;Sinema"/><s v="QR-104&gt;Zanzibar"/><s v="QR-104&gt;Zorlu PSM Meydan Katı"/><s v="QR-108&gt;PSM"/><s v="QR-112&gt;BigChefs"/><s v="QR-203&gt;Burger King"/><s v="QR-203&gt;Tuvalet"/><s v="QR-203&gt;Vakkorama Cafe"/><s v="QR-203&gt;Welldone"/><s v="QR-301&gt;Eataly"/><s v="QR-301&gt;Happy Moon's"/><s v="QR-301&gt;Mescit"/><s v="QR-301&gt;Parle"/><s v="QR-301&gt;Tuvalet"/><s v="QR-301&gt;Victoria's Secret"/><s v="QR-301&gt;Voi Coffee Company"/><s v="QR-301&gt;Zanzibar"/><s v="QR-301&gt;Zara"/><s v="QR-302&gt;Burger King"/><s v="QR-302&gt;H&amp;M"/><s v="QR-302&gt;Welldone"/><s v="QR003&gt;MediaMarkt"/><s v="QR003&gt;Starbucks"/><s v="QR006&gt;Asics"/><s v="Mango&gt;Prayer Room"/><s v="Mavi&gt;H&amp;M"/><s v="Miele&gt;Funloft"/><s v="Miu Miu&gt;Eataly"/><s v="PSM&gt;Eczane"/><s v="Pandora&gt;Cup of Joy"/><s v="Pandora&gt;Watsons"/><s v="Pandora&gt;Zara"/><s v="Parle&gt;Eataly"/><s v="Penti&gt;Starbucks"/><s v="Pinko&gt;Zara"/><s v="Ramsey&gt;Skechers"/><s v="Ramsey&gt;Zara"/><s v="Remzi Kitabevi&gt;Apple"/><s v="Remzi Kitabevi&gt;Macrocenter"/><s v="Sephora&gt;H&amp;M"/><s v="Sephora&gt;Starbucks"/><s v="Sevil Parfümeri&gt;KFC"/><s v="Sevil Parfümeri&gt;Macrocenter"/><s v="Sevil Parfümeri&gt;Zula"/><s v="Skechers&gt;Apple"/><s v="Skechers&gt;Zara"/><s v="Tod's&gt;Zara"/><s v="Twist&gt;Starbucks"/><s v="Welldone&gt;Apple"/><s v="Yargıcı&gt;Apple"/><s v="Yargıcı&gt;Beymen"/><s v="Yargıcı&gt;D&amp;R"/><s v="Yargıcı&gt;Mango"/><s v="Yargıcı&gt;Mavi"/><s v="Yargıcı&gt;SushiCo"/><s v="Yargıcı&gt;Vestel"/><s v="QR-104&gt;Bottega Veneta"/><s v="QR-104&gt;Chanel"/><s v="QR-104&gt;Information Desk"/><s v="QR-104&gt;Levi's"/><s v="QR-104&gt;Louis Vuitton"/><s v="QR-104&gt;MAC Mars Athletic Club"/><s v="QR-104&gt;Metro&lt;br&gt;Metrobus"/><s v="QR-104&gt;Pharmacy"/><s v="QR-104&gt;Pharmacy Zorlu Center"/><s v="QR-104&gt;Raffles Istanbul"/><s v="QR-104&gt;Remzi Kitabevi"/><s v="QR-108&gt;Zara"/><s v="QR-112&gt;Chanel"/><s v="QR-112&gt;Divarese"/><s v="QR-112&gt;English Home"/><s v="QR-112&gt;Godiva"/><s v="QR-112&gt;McDonald's"/><s v="QR-112&gt;Park Area"/><s v="QR-112&gt;Vakko"/><s v="QR-112&gt;Zula"/><s v="QR-203&gt;Cup of Joy"/><s v="QR-203&gt;Funloft"/><s v="QR-203&gt;Louis Vuitton"/><s v="QR-203&gt;Pharmacy"/><s v="QR-203&gt;Pharmacy Zorlu Center"/><s v="QR-203&gt;Prayer Room"/><s v="QR-203&gt;Tiffany &amp; Co."/><s v="QR-203&gt;Vakko"/><s v="QR-301&gt;ARN Game"/><s v="QR-301&gt;WC"/><s v="QR-302&gt;Riceteria"/><s v="QR004&gt;WC"/><s v="QR005&gt;MediaMarkt"/><s v="QR006&gt;Adidas"/><s v="QR006&gt;Exchange Zor"/><s v="QR006&gt;H&amp;M"/><s v="QR006&gt;Levi's"/><s v="QR006&gt;McDonald's"/><s v="QR006&gt;Park Area"/><s v="QR006&gt;Superstep"/><s v="QR006&gt;Zor Exchange"/><s v="Yves Rocher&gt;Eataly"/><s v="Zara&gt;Garanti BBVA (ATM)"/><s v="Zara&gt;Lacoste"/><s v="Zara&gt;Paşabahçe Mağazaları"/><s v="Zara&gt;Turkcell"/><s v="Zara&gt;Zara Home"/><s v="Zula&gt;PSM"/><s v="Zula&gt;Zula"/><s v="Any&gt;Welldone"/><s v="Beymen(Tommy Hilfiger yanı)&gt;Macrocenter"/><s v="BigChefs&gt;Harman Kardon"/><s v="Bobbi Brown&gt;Toyzz Shop"/><s v="Burberry&gt;Godiva"/><s v="Burberry&gt;Raffles İstanbul"/><s v="COS&gt;JBL"/><s v="COS&gt;Tiffany"/><s v="Caffe Nero&gt;Calvin Klein Jeans"/><s v="Caffe Nero&gt;Pharmacy Zorlu Center"/><s v="Calzedonia&gt;MAC"/><s v="Chakra&gt;Zara Home"/><s v="Columbia&gt;Skechers"/><s v="D&amp;R&gt;Morini"/><s v="D&amp;R&gt;Welldone"/><s v="Dagi&gt;Zula"/><s v="Eataly&gt;Prada"/><s v="Fauchon Paris&gt;Otopark"/><s v="Gant&gt;Sevil Parfümeri"/><s v="Golden Goose&gt;WC"/><s v="Green Salads&gt;Pharmacy"/><s v="Gucci&gt;Funloft"/><s v="Intimissimi&gt;Vakkorama"/><s v="KFC&gt;Twist"/><s v="QR-104&gt;ATM"/><s v="QR-104&gt;Bakırkazan"/><s v="QR-104&gt;Crossing"/><s v="QR-104&gt;Golden Goose"/><s v="QR-104&gt;Nespresso"/><s v="QR-104&gt;Saat"/><s v="QR-104&gt;Vakko Home"/><s v="QR-104&gt;Vakko Wedding"/><s v="QR-109&gt;Tobacco Shop"/><s v="QR-112&gt;PSM"/><s v="QR-112&gt;Ramsey"/><s v="QR-203&gt;Morini"/><s v="QR-203&gt;Tobacco Shop"/><s v="QR-301&gt;Gap"/><s v="QR-302&gt;MAC Mars Athletic Club"/><s v="QR-302&gt;MOC"/><s v="QR-302&gt;Mescit"/><s v="QR006&gt;Crossing"/><s v="QR006&gt;Greenwich"/><s v="QR006&gt;Raffles Istanbul"/><s v="Lacoste&gt;Dior"/><s v="Lacoste&gt;Park Area"/><s v="Louis Vuitton&gt;Louis Vuitton"/><s v="Mapa&gt;Eczane"/><s v="MediaMarkt(Paribu Cineverse yanı)&gt;Garanti BBVA (ATM)"/><s v="Otopark Giriş Zincirlikuyu&gt;KFC"/><s v="Plus Kitchen&gt;Touche"/><s v="Ramsey&gt;Morini"/><s v="Ramsey&gt;Valentino"/><s v="Saat &amp; Saat&gt;Zula"/><s v="Sevil Parfümeri&gt;Starbucks"/><s v="Skechers&gt;Toyzz Shop"/><s v="Sneaks Up&gt;Eataly"/><s v="Starbucks&gt;Bob Vale Park (Levazım/Beymen)"/><s v="Starbucks&gt;D&amp;R"/><s v="Starbucks&gt;Lacoste"/><s v="SushiCo&gt;Zara"/><s v="Tax Free Zone (Info Desk)&gt;Park Area"/><s v="The Body Shop&gt;The Body Shop"/><s v="The Kooples&gt;D&amp;R"/><s v="Tod's&gt;Tod's"/><s v="Tommy Hilfiger&gt;Burger King"/><s v="Twinset Milano&gt;Pharmacy Zorlu Center"/><s v="Vakko&gt;Vakko"/><s v="Vestel&gt;Starbucks"/><s v="Victoria's Secret&gt;Victoria's Secret"/><s v="Watsons&gt;Restroom"/><s v="Welldone&gt;Welldone"/><s v="Yargıcı&gt;Saray Muhallebicisi"/><s v="Yargıcı&gt;Tiffany &amp; Co."/><s v="Yargıcı&gt;Zara"/><s v="QR-108&gt;Victoria's Secret"/><s v="QR-112&gt;Mer's"/><s v="QR-112&gt;Zorlu PSM Metro Floor"/><s v="QR-112&gt;İpekyol"/><s v="QR-203&gt;ATM"/><s v="QR-203&gt;Kafe Vesto"/><s v="QR-203&gt;Turkcell"/><s v="QR-301&gt;Macrocenter"/><s v="QR-301&gt;Nespresso"/><s v="QR-302&gt;Cantinery"/><s v="QR-302&gt;Levi's"/><s v="QR003&gt;KFC"/><s v="QR003&gt;Machka"/><s v="QR005&gt;Vilebrequin"/><s v="QR006&gt;Network"/><s v="QR006&gt;Prada"/><s v="Zara&gt;Odaş Elektrik"/><s v="Zula&gt;Eataly"/><s v="Adidas&gt;Adidas"/><s v="Adidas&gt;Eataly"/><s v="Adidas&gt;Fun Master"/><s v="Adidas&gt;Garanti BBVA (ATM)"/><s v="Adidas&gt;H&amp;M"/><s v="Adidas&gt;Intimissimi"/><s v="Adidas&gt;Macrocenter"/><s v="Adidas&gt;Togg Deneyim Merkezi"/><s v="Adidas&gt;Zara"/><s v="Akbank (Şube)(Şube)&gt;Toyzz Shop"/><s v="Aldo&gt;Crossing"/><s v="Aldo&gt;Otopark"/><s v="Aldo&gt;US Polo Assn."/><s v="Aldo&gt;Vario"/><s v="Anatoli&gt;Cantinery"/><s v="Any&gt;Memorial Wellness"/><s v="Any&gt;Starbucks"/><s v="Arby's&gt;D&amp;R"/><s v="Arby's&gt;Happy Moon's"/><s v="Arifoğlu&gt;Starbucks"/><s v="Asics&gt;Asics"/><s v="Asics&gt;Eataly"/><s v="Asics&gt;Fauchon Paris"/><s v="Asics&gt;Park Area"/><s v="Asics&gt;Pharmacy"/><s v="Atasay&gt;Godiva"/><s v="Atasay&gt;Memorial Wellness"/><s v="Atelier Rebul&gt;Rossmann"/><s v="Atelier Rebul&gt;Sneaks Up"/><s v="B&amp;G Store&gt;Metro&lt;br&gt;Metrobus"/><s v="Balenciaga&gt;Happy Moon's"/><s v="Balenciaga&gt;Massimo Dutti"/><s v="Balenciaga&gt;Starbucks"/><s v="Balmain&gt;Eataly"/><s v="Balmain&gt;Tiffany"/><s v="Balonevi&gt;Tuvalet"/><s v="Baqa&gt;Burger King"/><s v="Baqa&gt;Chakra"/><s v="Baqa&gt;D&amp;R"/><s v="Baqa&gt;Macrocenter"/><s v="Baqa&gt;Nike by Levazım"/><s v="Baqa&gt;Pharmacy Zorlu Center"/><s v="Baqa&gt;Starbucks"/><s v="Baqa&gt;Zara"/><s v="Bee Goddess&gt;Bee Goddess"/><s v="Ben Touch A.Ş.&gt;Sneaks Up"/><s v="Beymen Club&gt;Dyson"/><s v="Beymen Club&gt;Greenwich"/><s v="Beymen Club&gt;Macrocenter"/><s v="Beymen Club&gt;Raffles Istanbul"/><s v="Beymen Club&gt;Sneaks Up"/><s v="Beymen Club&gt;Zara"/><s v="Beymen Club&gt;Zula"/><s v="Beymen(Morini yanı)&gt;Apple"/><s v="Beymen(Morini yanı)&gt;Beymen"/><s v="Beymen(Morini yanı)&gt;Günaydın Kasap &amp; Steakhouse"/><s v="Beymen(Morini yanı)&gt;Vakko Home"/><s v="Beymen(Next to Morini)&gt;Burger King"/><s v="Beymen(Next to Morini)&gt;Infirmary"/><s v="Beymen(Next to Morini)&gt;WC"/><s v="Beymen(Next to Tommy Hilfiger)&gt;Beymen"/><s v="Beymen(Next to Tommy Hilfiger)&gt;Burger King"/><s v="Beymen(Next to Tommy Hilfiger)&gt;COS"/><s v="Beymen(Next to Tommy Hilfiger)&gt;Louis Vuitton"/><s v="Beymen(Next to Tommy Hilfiger)&gt;Parle"/><s v="Beymen(Next to Tommy Hilfiger)&gt;Ramsey"/><s v="Beymen(Next to Tommy Hilfiger)&gt;Zara"/><s v="Beymen(Tommy Hilfiger yanı)&gt;Beymen Club"/><s v="Beymen(Tommy Hilfiger yanı)&gt;BigChefs"/><s v="Beymen(Tommy Hilfiger yanı)&gt;Happy Moon's"/><s v="Beymen(Tommy Hilfiger yanı)&gt;Morini"/><s v="Beymen(Tommy Hilfiger yanı)&gt;PSM"/><s v="Beymen(Tommy Hilfiger yanı)&gt;Toyzz Shop"/><s v="Beymen(Tommy Hilfiger yanı)&gt;Zula"/><s v="BigChefs&gt;Beymen"/><s v="BigChefs&gt;Happy Moon's"/><s v="BigChefs&gt;Nike by Levazım"/><s v="BigChefs&gt;Otopark"/><s v="BigChefs&gt;Raffles İstanbul"/><s v="BigChefs&gt;Sneaks Up"/><s v="BigChefs&gt;Toyzz Shop"/><s v="BigChefs&gt;Watsons"/><s v="BigChefs&gt;Welldone"/><s v="BigChefs&gt;Zara"/><s v="BigChefs&gt;Zula"/><s v="BigChefs&gt;Şükrü Dudu Barber’s Club"/><s v="Bobbi Brown&gt;Günaydın Kasap &amp; Steakhouse"/><s v="Bobbi Brown&gt;Plus Kitchen"/><s v="Brandy's&gt;Saray Muhallebicisi"/><s v="Brandy's&gt;Tuvalet"/><s v="Brandy's&gt;US Polo Assn."/><s v="Brandy's&gt;Victoria's Secret Pink"/><s v="Brooks Brothers&gt;Brooks Brothers"/><s v="Brooks Brothers&gt;Cantinery"/><s v="Brooks Brothers&gt;Starbucks"/><s v="Brooks Brothers&gt;Vakko"/><s v="Burberry Children&gt;Saint Laurent"/><s v="Burberry&gt;BigChefs"/><s v="Burberry&gt;Burger King"/><s v="Burberry&gt;MAC Mars Athletic Club"/><s v="Burberry&gt;MOC"/><s v="Burberry&gt;Pharmacy"/><s v="Burberry&gt;Zara"/><s v="Burger King&gt;ATM"/><s v="Burger King&gt;Eataly"/><s v="Burger King&gt;Sinema"/><s v="Bvlgari&gt;Eataly"/><s v="Bvlgari&gt;Raffles İstanbul"/><s v="COS&gt;BigChefs"/><s v="COS&gt;Bob Vale Park (Levazım/Beymen)"/><s v="COS&gt;Bob Vale Park (Ulus/Raffles)"/><s v="COS&gt;D&amp;R"/><s v="COS&gt;Macrocenter"/><s v="COS&gt;Paşabahçe Mağazaları"/><s v="COS&gt;Saint Laurent"/><s v="COS&gt;Taxi"/><s v="COS&gt;Vakko L'Atelier"/><s v="COS&gt;Zor Exchange"/><s v="COS&gt;Zula"/><s v="COS&gt;İpekyol"/><s v="Caffe Nero&gt;English Home"/><s v="Caffe Nero&gt;H&amp;M"/><s v="Caffe Nero&gt;Haremlique Istanbul"/><s v="Caffe Nero&gt;Louis Vuitton"/><s v="Caffe Nero&gt;MOC"/><s v="Caffe Nero&gt;Metro&lt;br&gt;Metrobus"/><s v="Caffe Nero&gt;Nike by Levazım"/><s v="Caffe Nero&gt;Otopark"/><s v="Caffe Nero&gt;Plus Kitchen"/><s v="Caffe Nero&gt;Prayer Room"/><s v="Caffe Nero&gt;Sephora"/><s v="Caffe Nero&gt;Starbucks"/><s v="Caffe Nero&gt;SushiCo"/><s v="Caffe Nero&gt;Victoria's Secret"/><s v="Caffe Nero&gt;Watsons"/><s v="Calvin Klein Jeans&gt;Abdullah Kiğılı Exclusive Cut"/><s v="Calvin Klein Jeans&gt;Akbank (ATM)"/><s v="Calvin Klein Jeans&gt;Camper"/><s v="Calvin Klein Jeans&gt;Eataly"/><s v="Calvin Klein Jeans&gt;Godiva"/><s v="Calvin Klein Jeans&gt;Green Salads"/><s v="Calvin Klein Jeans&gt;MediaMarkt"/><s v="Calvin Klein Jeans&gt;Otopark Giriş Levazım"/><s v="Calvin Klein Jeans&gt;Toyzz Shop"/><s v="Calvin Klein Jeans&gt;Watsons"/><s v="Calvin Klein Jeans&gt;Zara"/><s v="Calzedonia&gt;COS"/><s v="Calzedonia&gt;D&amp;R"/><s v="Calzedonia&gt;English Home"/><s v="Calzedonia&gt;Giriş Levazım"/><s v="Calzedonia&gt;Memorial Wellness"/><s v="Calzedonia&gt;Tax Free Zone (Info Desk)"/><s v="Calzedonia&gt;Victoria's Secret"/><s v="Camper&gt;Dagi"/><s v="Camper&gt;Döviz Zor"/><s v="Camper&gt;English Home"/><s v="Camper&gt;Giriş Metro Katı"/><s v="Camper&gt;Skechers"/><s v="Cantinery&gt;Caffe Nero"/><s v="Cantinery&gt;MontBlanc"/><s v="Cantinery&gt;Tommy Hilfiger"/><s v="Cantinery&gt;Zara"/><s v="Casa&gt;Memorial Wellness"/><s v="Casa&gt;Watsons"/><s v="Chakra&gt;Camper"/><s v="Chakra&gt;Raffles Istanbul"/><s v="Chakra&gt;Victoria's Secret Pink"/><s v="Chanel&gt;Eataly"/><s v="Chanel&gt;Skechers"/><s v="Chanel&gt;WC"/><s v="Cinema&gt;Fauchon Paris"/><s v="Columbia&gt;Parle"/><s v="Columbia&gt;Zula"/><s v="Concierge&gt;Zara"/><s v="Cup of Joy&gt;MediaMarkt"/><s v="Cup of Joy&gt;Prayer Room"/><s v="D&amp;R&gt;Dyson"/><s v="D&amp;R&gt;Vakko L'Atelier"/><s v="D&amp;R&gt;Voi Coffee Company"/><s v="D&amp;R&gt;Ziyafe Kayseri Mutfağı"/><s v="Dagi&gt;Adidas"/><s v="Dagi&gt;Apple"/><s v="Dagi&gt;Mango"/><s v="Dagi&gt;Metro&lt;br&gt;Metrobüs"/><s v="Diesel&gt;COS"/><s v="Diesel&gt;Cinema"/><s v="Diesel&gt;English Home"/><s v="Diesel&gt;H&amp;M"/><s v="Diesel&gt;Levi's"/><s v="Diesel&gt;Macrocenter"/><s v="Diesel&gt;McDonald's"/><s v="Diesel&gt;Moncler"/><s v="Diesel&gt;Nespresso"/><s v="Diesel&gt;PSM"/><s v="Diesel&gt;Skechers"/><s v="Diesel&gt;Yapı Kredi (ATM)"/><s v="Diesel&gt;Zara Home"/><s v="Dior&gt;Sabit Akkaya Hair Stylist"/><s v="Dior&gt;Zanzibar"/><s v="Dior&gt;Zara"/><s v="Dior&gt;İpekyol"/><s v="Divarese&gt;BigChefs"/><s v="Divarese&gt;Carl's Jr."/><s v="Divarese&gt;Eataly"/><s v="Divarese&gt;Garanti BBVA (ATM)"/><s v="Divarese&gt;Happy Moon's"/><s v="Divarese&gt;Mango"/><s v="Divarese&gt;MediaMarkt"/><s v="Divarese&gt;Vakko"/><s v="Dolce &amp; Gabbana&gt;Akbank (Şube)"/><s v="Dolce &amp; Gabbana&gt;H&amp;M"/><s v="Dolce &amp; Gabbana&gt;Macrocenter"/><s v="Dolce &amp; Gabbana&gt;Nike by Levazım"/><s v="Dolce &amp; Gabbana&gt;Park Alanı"/><s v="Dolce &amp; Gabbana&gt;Vakkorama Cafe"/><s v="Dolce &amp; Gabbana&gt;Welldone"/><s v="Dolce &amp; Gabbana&gt;Zula"/><s v="Dorya Home&gt;Mescit"/><s v="Dry Corner&gt;Park Alanı"/><s v="Dyson&gt;Saat"/><s v="Eataly&gt;Beymen Club"/><s v="Eataly&gt;Cinema"/><s v="Eataly&gt;Oniki Hukuk Bürosu"/><s v="Eataly&gt;Otopark Giriş Zincirlikuyu"/><s v="Eataly&gt;Popeyes"/><s v="Eataly&gt;Raffles Istanbul"/><s v="Eataly&gt;Terazza Italia"/><s v="Emo Optik&gt;Zor Exchange"/><s v="English Home&gt;COS"/><s v="English Home&gt;Funloft"/><s v="English Home&gt;Sosa"/><s v="English Home&gt;Toyzz Shop"/><s v="English Home&gt;WC"/><s v="Etiler Marmaris&gt;Apple"/><s v="Evgaranti Gayrimenkul&gt;Infirmary"/><s v="Falconeri&gt;Arby's"/><s v="Falconeri&gt;Beymen Club"/><s v="Falconeri&gt;COS"/><s v="Falconeri&gt;English Home"/><s v="Falconeri&gt;Happy Moon's"/><s v="Falconeri&gt;KFC"/><s v="Falconeri&gt;Levi's"/><s v="Falconeri&gt;Louis Vuitton"/><s v="Falconeri&gt;Macrocenter"/><s v="Falconeri&gt;Moncler"/><s v="Falconeri&gt;PSM"/><s v="Falconeri&gt;Panerai"/><s v="Falconeri&gt;Prada"/><s v="Falconeri&gt;Rolex"/><s v="Falconeri&gt;Toyzz Shop"/><s v="Falconeri&gt;US Polo Assn."/><s v="Falconeri&gt;WC"/><s v="Falconeri&gt;WMF"/><s v="Falconeri&gt;Welldone"/><s v="Fendi&gt;BigChefs"/><s v="Fendi&gt;Zara"/><s v="Five O'Clock&gt;Cinema"/><s v="Five O'Clock&gt;Taxi"/><s v="Funloft&gt;Nike by Levazım"/><s v="Funloft&gt;Pandora"/><s v="Gant&gt;Aldo"/><s v="Gant&gt;Levi's"/><s v="Gap&gt;Starbucks"/><s v="Gap&gt;Tobacco Shop"/><s v="Gap&gt;Toyzz Shop"/><s v="Gap&gt;Zara"/><s v="Gap&gt;Zula"/><s v="Gilan&gt;Eataly"/><s v="Gilan&gt;Kafe Vesto"/><s v="Gilan&gt;Sabit Akkaya Hair Stylist"/><s v="Godiva&gt;BigChefs"/><s v="Godiva&gt;Global Blue (Beymen)"/><s v="Godiva&gt;Happy Moon's"/><s v="Godiva&gt;Hello Sweetie"/><s v="Godiva&gt;Macrocenter"/><s v="Godiva&gt;Sabit Akkaya Hair Stylist"/><s v="Godiva&gt;Welldone"/><s v="Golden Goose&gt;Tahin"/><s v="Golden Goose&gt;Toyzz Shop"/><s v="Gran Cafe Eataly&gt;Tuvalet"/><s v="Green Salads&gt;Adidas"/><s v="Green Salads&gt;Kafe Vesto"/><s v="Green Salads&gt;MediaMarkt"/><s v="Green Salads&gt;Watsons"/><s v="Gucci&gt;Isokyo"/><s v="Gucci&gt;Massimo Dutti"/><s v="Gucci&gt;Mavi"/><s v="Gucci&gt;Türkiye İş Bankası (ATM)"/><s v="Gucci&gt;Zanzibar"/><s v="Gucci&gt;Zor Exchange"/><s v="Gucci&gt;Zula"/><s v="Günaydın Kasap &amp; Steakhouse&gt;Funloft"/><s v="Günaydın Köfte &amp; Döner&gt;Akbank (ATM)"/><s v="H&amp;M&gt;Adidas"/><s v="H&amp;M&gt;Atasay"/><s v="H&amp;M&gt;D&amp;R"/><s v="H&amp;M&gt;Diesel"/><s v="H&amp;M&gt;H&amp;M"/><s v="H&amp;M&gt;Masjid"/><s v="H&amp;M&gt;Pharmacy"/><s v="H&amp;M&gt;Watsons"/><s v="H&amp;M&gt;Zula"/><s v="HandeHaluk Kuaför&gt;Etstur"/><s v="Happy Moon's&gt;Eczane"/><s v="Happy Moon's&gt;Günaydın Köfte &amp; Döner"/><s v="Happy Moon's&gt;Happy Moon's"/><s v="Happy Moon's&gt;KFC"/><s v="Happy Moon's&gt;Pharmacy Zorlu Center"/><s v="Happy Moon's&gt;Saray Muhallebicisi"/><s v="Happy Moon's&gt;Tuvalet"/><s v="Haremlique Istanbul&gt;Paşabahçe Mağazaları"/><s v="Harman Kardon&gt;Yapı Kredi (ATM)"/><s v="Intimissimi&gt;Akbank (ATM)"/><s v="Intimissimi&gt;Apple"/><s v="Intimissimi&gt;Calvin Klein Jeans"/><s v="Intimissimi&gt;Emo Optik"/><s v="Intimissimi&gt;English Home"/><s v="Intimissimi&gt;Godiva"/><s v="Intimissimi&gt;Günaydın Kasap &amp; Steakhouse"/><s v="Intimissimi&gt;MAC Mars Athletic Club"/><s v="Intimissimi&gt;MediaMarkt"/><s v="Intimissimi&gt;Mer's"/><s v="Intimissimi&gt;Nespresso"/><s v="Intimissimi&gt;Prayer Room"/><s v="Intimissimi&gt;SushiCo"/><s v="Intimissimi&gt;Tommy Hilfiger"/><s v="Intimissimi&gt;Toyzz Shop"/><s v="Intimissimi&gt;Vestel"/><s v="Intimissimi&gt;Zula"/><s v="Isokyo&gt;Isokyo"/><s v="JBL&gt;Kafe Vesto"/><s v="JBL&gt;Zara"/><s v="JBL&gt;Zula"/><s v="Jacadi Paris&gt;Information Desk"/><s v="Jo Malone&gt;Günaydın Kasap &amp; Steakhouse"/><s v="KFC&gt;Louis Vuitton"/><s v="KFC&gt;Raffles İstanbul"/><s v="KFC&gt;Taxi"/><s v="Kafe Vesto&gt;Kafe Vesto"/><s v="Kiehl's&gt;Pandora"/><s v="QR-104&gt;Alexander McQueen"/><s v="QR-104&gt;Bebek Bakım Odası"/><s v="QR-104&gt;Beymen Club"/><s v="QR-104&gt;Brooks Brothers"/><s v="QR-104&gt;Burger King"/><s v="QR-104&gt;Camper"/><s v="QR-104&gt;Dior"/><s v="QR-104&gt;Dyson"/><s v="QR-104&gt;Eczane Zorlu Center"/><s v="QR-104&gt;Emo Optik"/><s v="QR-104&gt;Five O'Clock"/><s v="QR-104&gt;Gap"/><s v="QR-104&gt;Giriş Levazım"/><s v="QR-104&gt;Giriş Zincirlikuyu"/><s v="QR-104&gt;Gözgrup Optik"/><s v="QR-104&gt;Günaydın Köfte &amp; Döner"/><s v="QR-104&gt;Intimissimi"/><s v="QR-104&gt;Kiehl's"/><s v="QR-104&gt;MAC"/><s v="QR-104&gt;Mariposa"/><s v="QR-104&gt;Masgold Kuyumculuk"/><s v="QR-104&gt;McDonald's"/><s v="QR-104&gt;Miu Miu"/><s v="QR-104&gt;Network"/><s v="QR-104&gt;Otopark"/><s v="QR-104&gt;Otopark Giriş Levazım"/><s v="QR-104&gt;Otopark Giriş Zincirlikuyu"/><s v="QR-104&gt;Prada"/><s v="QR-104&gt;Sabit Akkaya Hair Stylist"/><s v="QR-104&gt;Sevil Parfümeri"/><s v="QR-104&gt;Taksi"/><s v="QR-104&gt;Tax Free Zone (Danışma Masası)"/><s v="QR-104&gt;Togg Deneyim Merkezi"/><s v="QR-104&gt;Tommi Brasserie"/><s v="QR-104&gt;Under Armour"/><s v="QR-104&gt;Vakkorama"/><s v="QR-104&gt;Valentino"/><s v="QR-104&gt;Ziyafe Kayseri Mutfağı"/><s v="QR-108&gt;Burger King"/><s v="QR-108&gt;D&amp;R"/><s v="QR-108&gt;Eczane"/><s v="QR-108&gt;Macrocenter"/><s v="QR-108&gt;MediaMarkt"/><s v="QR-108&gt;Mocassini"/><s v="QR-108&gt;Otopark"/><s v="QR-108&gt;Skechers"/><s v="QR-108&gt;Zorlu PSM Boğaz Katı"/><s v="QR-109&gt;BigChefs"/><s v="QR-109&gt;COS"/><s v="QR-109&gt;Cup of Joy"/><s v="QR-109&gt;D&amp;R"/><s v="QR-109&gt;Funloft"/><s v="QR-109&gt;Mescit"/><s v="QR-109&gt;Otopark Giriş Levazım"/><s v="QR-109&gt;Otopark Ödeme"/><s v="QR-109&gt;Park Alanı"/><s v="QR-109&gt;Saray Muhallebicisi"/><s v="QR-109&gt;Sinema"/><s v="QR-109&gt;Skechers"/><s v="QR-109&gt;Starbucks"/><s v="QR-109&gt;Türkiye İş Bankası (ATM)"/><s v="QR-109&gt;Victoria's Secret Pink"/><s v="QR-109&gt;Zorlu PSM Meydan Katı"/><s v="QR-112&gt;Ametist"/><s v="QR-112&gt;Beymen"/><s v="QR-112&gt;Günaydın Kasap &amp; Steakhouse"/><s v="QR-112&gt;Happy Moon's"/><s v="QR-112&gt;Kısmet by Milka"/><s v="QR-112&gt;Levi's"/><s v="QR-112&gt;Mango"/><s v="QR-112&gt;Mescit"/><s v="QR-112&gt;Pandora"/><s v="QR-112&gt;Park Alanı"/><s v="QR-112&gt;Skechers"/><s v="QR-112&gt;Tiffany &amp; Co."/><s v="QR-112&gt;Togg Deneyim Merkezi"/><s v="QR-112&gt;Touche"/><s v="QR-112&gt;Toyzz Shop"/><s v="QR-112&gt;Voi Coffee Company"/><s v="QR-203&gt;Arby's"/><s v="QR-203&gt;Asics"/><s v="QR-203&gt;Carl's Jr."/><s v="QR-203&gt;D"/><s v="QR-203&gt;Divarese"/><s v="QR-203&gt;Easy Point"/><s v="QR-203&gt;Eczane Zorlu Center"/><s v="QR-203&gt;Gap"/><s v="QR-203&gt;Giriş Levazım"/><s v="QR-203&gt;Godiva"/><s v="QR-203&gt;Gözgrup Optik"/><s v="QR-203&gt;Intimissimi Uomo"/><s v="QR-203&gt;Levent Lostra"/><s v="QR-203&gt;Linens"/><s v="QR-203&gt;MOC"/><s v="QR-203&gt;Massimo Dutti"/><s v="QR-203&gt;Mer's"/><s v="QR-203&gt;Network"/><s v="QR-203&gt;Nike by Levazım"/><s v="QR-203&gt;Paribu Cineverse"/><s v="QR-203&gt;Paşabahçe Mağazaları"/><s v="QR-203&gt;Penti"/><s v="QR-203&gt;Plus Kitchen"/><s v="QR-203&gt;Prada"/><s v="QR-203&gt;QNB Finansbank (ATM)"/><s v="QR-203&gt;Remzi Kitabevi"/><s v="QR-203&gt;Sephora"/><s v="QR-203&gt;Sevil Parfümeri"/><s v="QR-203&gt;Skechers"/><s v="QR-203&gt;Starbucks"/><s v="QR-203&gt;Swarovski"/><s v="QR-203&gt;Twist"/><s v="QR-203&gt;Türkiye İş Bankası (ATM)"/><s v="QR-203&gt;Vakkorama"/><s v="QR-203&gt;Victoria's Secret"/><s v="QR-203&gt;Yalçınlar"/><s v="QR-203&gt;Z Terzi"/><s v="QR-203&gt;İpekyol"/><s v="QR-301&gt;Asics"/><s v="QR-301&gt;Burberry"/><s v="QR-301&gt;Burger King"/><s v="QR-301&gt;Calvin Klein Jeans"/><s v="QR-301&gt;Calzedonia"/><s v="QR-301&gt;Cantinery"/><s v="QR-301&gt;Chakra"/><s v="QR-301&gt;Dyson"/><s v="QR-301&gt;Döner Stop"/><s v="QR-301&gt;Et İşleri"/><s v="QR-301&gt;Lacoste"/><s v="QR-301&gt;McDonald's"/><s v="QR-301&gt;Network"/><s v="QR-301&gt;Otopark Giriş Zincirlikuyu"/><s v="QR-301&gt;Otopark Ödeme"/><s v="QR-301&gt;PSM"/><s v="QR-301&gt;Paşabahçe Mağazaları"/><s v="QR-301&gt;Popeyes"/><s v="QR-301&gt;Raffles İstanbul"/><s v="QR-301&gt;Remzi Kitabevi"/><s v="QR-301&gt;Rolex"/><s v="QR-301&gt;Starbucks"/><s v="QR-301&gt;Turkcell"/><s v="QR-301&gt;Vakko"/><s v="QR-301&gt;Vakkorama"/><s v="QR-301&gt;Valentino"/><s v="QR-301&gt;Welldone"/><s v="QR-301&gt;İpekyol"/><s v="QR-302&gt;0 Pub"/><s v="QR-302&gt;Akbank (ATM)"/><s v="QR-302&gt;Akbank (Şube)"/><s v="QR-302&gt;Alexander McQueen"/><s v="QR-302&gt;Asics"/><s v="QR-302&gt;COS"/><s v="QR-302&gt;Caffe Nero"/><s v="QR-302&gt;Chakra"/><s v="QR-302&gt;Et İşleri"/><s v="QR-302&gt;Günaydın Kasap &amp; Steakhouse"/><s v="QR-302&gt;MAC"/><s v="QR-302&gt;MediaMarkt"/><s v="QR-302&gt;Otopark"/><s v="QR-302&gt;PSM"/><s v="QR-302&gt;Paşabahçe Mağazaları"/><s v="QR-302&gt;Revir"/><s v="QR-302&gt;Sinema"/><s v="QR-302&gt;Togg Deneyim Merkezi"/><s v="QR-302&gt;Tommy Hilfiger"/><s v="QR-302&gt;Vakkorama Cafe"/><s v="QR-302&gt;Zanzibar"/><s v="QR003&gt;BigChefs"/><s v="QR003&gt;Cantinery"/><s v="QR003&gt;Park Alanı"/><s v="QR003&gt;Welldone"/><s v="QR003&gt;Zara"/><s v="QR003&gt;Zorlu Center Açık Hava"/><s v="QR003&gt;Zula"/><s v="QR004&gt;Burger King"/><s v="QR004&gt;Crossing"/><s v="QR004&gt;Tuvalet"/><s v="QR005&gt;Apple"/><s v="QR005&gt;D&amp;R"/><s v="QR005&gt;Terazza Italia"/><s v="QR005&gt;Tommi Brasserie"/><s v="QR005&gt;Vakkorama"/><s v="QR005&gt;Zanzibar"/><s v="QR006&gt;Aldo"/><s v="QR006&gt;Arby's"/><s v="QR006&gt;Beymen"/><s v="QR006&gt;Burger King"/><s v="QR006&gt;Dyson"/><s v="QR006&gt;Godiva"/><s v="QR006&gt;Happy Moon's"/><s v="QR006&gt;MAC Mars Athletic Club"/><s v="QR006&gt;Macrocenter"/><s v="QR006&gt;MediaMarkt"/><s v="QR006&gt;Memorial Wellness"/><s v="QR006&gt;Sosa"/><s v="QR006&gt;Starbucks"/><s v="QR006&gt;Tuvalet"/><s v="QR006&gt;Welldone"/><s v="QR006&gt;Zanzibar"/><s v="QR006&gt;Zorlu PSM Meydan Katı"/><s v="QR007&gt;Zula"/><s v="Kısmet by Milka&gt;Funloft"/><s v="L'Occitane&gt;MAC Mars Athletic Club"/><s v="L'Occitane&gt;Park Area"/><s v="Lacoste&gt;ATM"/><s v="Lacoste&gt;Godiva"/><s v="Lacoste&gt;McDonald's"/><s v="Lacoste&gt;Nev Lokanta Meze"/><s v="Lacoste&gt;Pandora"/><s v="Lacoste&gt;Pharmacy"/><s v="Lacoste&gt;Starbucks"/><s v="Lacoste&gt;Turkcell"/><s v="Lacoste&gt;Zara"/><s v="Levent Lostra&gt;Caffe Nero"/><s v="Levi's&gt;Damac"/><s v="Levi's&gt;Eataly"/><s v="Levi's&gt;Levi's"/><s v="Levi's&gt;MAC Mars Athletic Club"/><s v="Levi's&gt;Massimo Dutti"/><s v="Levi's&gt;Mer's"/><s v="Levi's&gt;Nike by Levazım"/><s v="Levi's&gt;Otopark"/><s v="Linens&gt;KFC"/><s v="Linens&gt;Mescit"/><s v="Linens&gt;Popeyes"/><s v="Linens&gt;Superstep"/><s v="Linens&gt;Türkiye İş Bankası (ATM)"/><s v="Linens&gt;Voi Coffee Company"/><s v="Linens&gt;Welldone"/><s v="Linens&gt;Zara Home"/><s v="Louis Vuitton&gt;Akbank (Branch)"/><s v="Louis Vuitton&gt;BigChefs"/><s v="Louis Vuitton&gt;Chanel"/><s v="Louis Vuitton&gt;Columbia"/><s v="Louis Vuitton&gt;Garanti BBVA (ATM)"/><s v="Louis Vuitton&gt;Lacoste"/><s v="Louis Vuitton&gt;Mer's"/><s v="Louis Vuitton&gt;Plus Kitchen"/><s v="Louis Vuitton&gt;Saint Laurent"/><s v="Louis Vuitton&gt;Valentino"/><s v="Louis Vuitton&gt;Zorlu PSM Bosphorus Floor"/><s v="Louis Vuitton&gt;Zula"/><s v="MAC&gt;Macrocenter"/><s v="MAC&gt;MediaMarkt"/><s v="MAC&gt;Nespresso"/><s v="MAC&gt;Watsons"/><s v="MAC&gt;Zara"/><s v="MOC&gt;Nespresso"/><s v="MOC&gt;Zorlu PSM Boğaz Katı"/><s v="Machka&gt;Zara"/><s v="Macrocenter&gt;Entrance Metro Floor"/><s v="Macrocenter&gt;Funloft"/><s v="Macrocenter&gt;Kafe Vesto"/><s v="Macrocenter&gt;Pidem"/><s v="Macrocenter&gt;Prayer Room"/><s v="Macrocenter&gt;Zula"/><s v="Mango&gt;Beymen Club"/><s v="Mango&gt;Chakra"/><s v="Mango&gt;H&amp;M"/><s v="Mango&gt;MAC Mars Athletic Club"/><s v="Mango&gt;Macrocenter"/><s v="Mango&gt;Mango"/><s v="Mango&gt;Otopark Giriş Levazım"/><s v="Mango&gt;Pinko"/><s v="Mango&gt;Subway Metrobus"/><s v="Mango&gt;Victoria's Secret"/><s v="Mango&gt;Voi Coffee Company"/><s v="Mango&gt;Watsons"/><s v="Mapa&gt;Eataly"/><s v="Mapa&gt;MOC"/><s v="Mapa&gt;Starbucks"/><s v="Massimo Dutti&gt;B&amp;G Store"/><s v="Massimo Dutti&gt;Balmain"/><s v="Massimo Dutti&gt;Levi's"/><s v="Massimo Dutti&gt;PSM"/><s v="Massimo Dutti&gt;Parle"/><s v="Massimo Dutti&gt;Watsons"/><s v="Massimo Dutti&gt;Zara"/><s v="Massimo Dutti&gt;Zula"/><s v="Mavi&gt;MediaMarkt"/><s v="Mavi&gt;Starbucks"/><s v="Mavi&gt;Zorlu PSM Meydan Katı"/><s v="Mavi&gt;Şükrü Dudu Barber’s Club"/><s v="McDonald's&gt;BigChefs"/><s v="McDonald's&gt;Macrocenter"/><s v="McDonald's&gt;Skechers"/><s v="McDonald's&gt;Taxi"/><s v="McDonald's&gt;Zara"/><s v="MediaMarkt(Next to Paribu Cineverse)&gt;MediaMarkt"/><s v="MediaMarkt(Next to Paribu Cineverse)&gt;Vestel"/><s v="MediaMarkt(Next to Paribu Cineverse)&gt;Yalçınlar"/><s v="MediaMarkt(Next to Uranüs)&gt;Chanel"/><s v="MediaMarkt(Next to Uranüs)&gt;MediaMarkt"/><s v="MediaMarkt(Paribu Cineverse yanı)&gt;0 Pub"/><s v="MediaMarkt(Paribu Cineverse yanı)&gt;Günaydın Köfte &amp; Döner"/><s v="MediaMarkt(Paribu Cineverse yanı)&gt;Watsons"/><s v="Memorial Wellness&gt;Zorlu PSM Meydan Katı"/><s v="Mescit&gt;Apple"/><s v="Miele&gt;BigChefs"/><s v="Miele&gt;COS"/><s v="Miele&gt;Harman Kardon"/><s v="Miele&gt;MOC"/><s v="Miele&gt;Macrocenter"/><s v="Miele&gt;Mango"/><s v="Miele&gt;MediaMarkt"/><s v="Miele&gt;Otopark Giriş Levazım"/><s v="Miele&gt;Starbucks"/><s v="Miele&gt;Zara"/><s v="Minycenter Carter’s&gt;Rolex"/><s v="Minycenter Carter’s&gt;Tobacco Shop"/><s v="Minycenter Carter’s&gt;Toyzz Shop"/><s v="Minycenter Carter’s&gt;Welldone"/><s v="Miu Miu&gt;Crossing"/><s v="Miu Miu&gt;Macrocenter"/><s v="Morini&gt;Global Blue (Beymen)"/><s v="NU&gt;Tax Free Zone (Info Desk)"/><s v="Nautica&gt;Caffe Nero"/><s v="Nautica&gt;MediaMarkt"/><s v="Nautica&gt;Prayer Room"/><s v="Nespresso&gt;WC"/><s v="Network&gt;Diesel"/><s v="Network&gt;Giriş Levazım"/><s v="Network&gt;MediaMarkt"/><s v="Network&gt;Rolex"/><s v="Network&gt;Studio"/><s v="Network&gt;Tax Free Zone (Info Desk)"/><s v="Network&gt;Tumi"/><s v="Network&gt;WC"/><s v="Network&gt;Zorlu PSM Boğaz Katı"/><s v="Nike by Levazım&gt;Zara"/><s v="Odaş Elektrik&gt;Odaş Elektrik"/><s v="PSM&gt;PSM"/><s v="Pandora&gt;Atasay"/><s v="Pandora&gt;BigChefs"/><s v="Pandora&gt;Camper"/><s v="Pandora&gt;D&amp;R"/><s v="Pandora&gt;Dolce &amp; Gabbana"/><s v="Pandora&gt;Global Blue (Beymen)"/><s v="Pandora&gt;Happy Moon's"/><s v="Pandora&gt;Information Desk"/><s v="Pandora&gt;Machka"/><s v="Pandora&gt;Saray Muhallebicisi"/><s v="Pandora&gt;SushiCo"/><s v="Pandora&gt;Tommi Brasserie"/><s v="Pandora&gt;Vario"/><s v="Pandora&gt;Zula"/><s v="Paribu Cineverse&gt;Günaydın Kasap &amp; Steakhouse"/><s v="Paribu Cineverse&gt;Victoria's Secret"/><s v="Parle&gt;Pandora"/><s v="Parle&gt;Zula"/><s v="Passo Bilet Gişesi&gt;PSM"/><s v="Paşabahçe Mağazaları&gt;BigChefs"/><s v="Paşabahçe Mağazaları&gt;Eataly"/><s v="Paşabahçe Mağazaları&gt;Eczane"/><s v="Paşabahçe Mağazaları&gt;Metro&lt;br&gt;Metrobüs"/><s v="Paşabahçe Mağazaları&gt;Starbucks"/><s v="Paşabahçe Mağazaları&gt;Toyzz Shop"/><s v="Penelope&gt;Memorial Wellness"/><s v="Penelope&gt;Metro&lt;br&gt;Metrobus"/><s v="Perspective&gt;Infirmary"/><s v="Perspective&gt;Network"/><s v="Perspective&gt;Zula"/><s v="Pharmacy&gt;Pharmacy"/><s v="Pidem&gt;Raffles Istanbul"/><s v="Pidem&gt;Tobacco Shop"/><s v="Pidem&gt;Zara Home"/><s v="Pinko&gt;Eataly"/><s v="Pinko&gt;Tiffany &amp; Co."/><s v="Plus Kitchen&gt;Voi Coffee Company"/><s v="Popeyes&gt;Eataly"/><s v="Prada&gt;BigChefs"/><s v="Prada&gt;Exchange Zor"/><s v="Prada&gt;Infirmary"/><s v="Prada&gt;Kafe Vesto"/><s v="Prada&gt;Linens"/><s v="Prada&gt;Macrocenter"/><s v="Prada&gt;Massimo Dutti"/><s v="Prada&gt;Memorial Wellness"/><s v="Prada&gt;Minycenter Carter’s"/><s v="Prada&gt;Morini"/><s v="Prada&gt;Otopark"/><s v="Prada&gt;Panerai"/><s v="Prada&gt;Toyzz Shop"/><s v="Prada&gt;WC"/><s v="Prada&gt;Zara"/><s v="QNB Finansbank (ATM)(ATM)&gt;Akbank (ATM)"/><s v="Raffles Istanbul&gt;Raffles Istanbul"/><s v="Ramiz&gt;Metro&lt;br&gt;Metrobüs"/><s v="Ramiz&gt;Raffles İstanbul"/><s v="Ramiz&gt;Ramiz"/><s v="Ramiz&gt;Tuvalet"/><s v="Ramsey&gt;Abdullah Kiğılı Exclusive Cut"/><s v="Ramsey&gt;Cup of Joy"/><s v="Ramsey&gt;Godiva"/><s v="Ramsey&gt;Haremlique Istanbul"/><s v="Ramsey&gt;KFC"/><s v="Ramsey&gt;Massimo Dutti"/><s v="Ramsey&gt;Pandora"/><s v="Ramsey&gt;Tax Free Zone (Info Desk)"/><s v="Ramsey&gt;Welldone"/><s v="Remzi Kitabevi&gt;Beymen"/><s v="Remzi Kitabevi&gt;Green Salads"/><s v="Remzi Kitabevi&gt;Memorial Wellness"/><s v="Remzi Kitabevi&gt;Paşabahçe Mağazaları"/><s v="Remzi Kitabevi&gt;Starbucks"/><s v="Remzi Kitabevi&gt;Toyzz Shop"/><s v="Remzi Kitabevi&gt;Voi Coffee Company"/><s v="Remzi Kitabevi&gt;Welldone"/><s v="Riceteria&gt;Voi Coffee Company"/><s v="Rolex&gt;Cinema"/><s v="Rolex&gt;Macrocenter"/><s v="Rolex&gt;Memorial Wellness"/><s v="Rolex&gt;Nautica"/><s v="Rolex&gt;Otopark"/><s v="Rolex&gt;SushiCo"/><s v="Rolex&gt;Welldone"/><s v="Rossmann&gt;Eataly"/><s v="Saat &amp; Saat&gt;Caffe Nero"/><s v="Saat &amp; Saat&gt;Cup of Joy"/><s v="Saat &amp; Saat&gt;Morini"/><s v="Saat &amp; Saat&gt;Otopark"/><s v="Saat &amp; Saat&gt;Rocca"/><s v="Saat &amp; Saat&gt;Starbucks"/><s v="Saint Laurent&gt;Balenciaga"/><s v="Saint Laurent&gt;Louis Vuitton"/><s v="Saint Laurent&gt;Marie Antoinette Chocolatier"/><s v="Saray Muhallebicisi&gt;D&amp;R"/><s v="Saray Muhallebicisi&gt;HandeHaluk Kuaför"/><s v="Saray Muhallebicisi&gt;MOC"/><s v="Saray Muhallebicisi&gt;Restroom"/><s v="Saray Muhallebicisi&gt;Tobacco Shop"/><s v="Saray Muhallebicisi&gt;Watsons"/><s v="Saray Muhallebicisi&gt;Zorlu PSM Meydan Katı"/><s v="Sephora&gt;Apple"/><s v="Sephora&gt;Eataly"/><s v="Sephora&gt;Otopark Giriş Levazım"/><s v="Sephora&gt;Rossmann"/><s v="Sephora&gt;SushiCo"/><s v="Sephora&gt;Vakkorama Cafe"/><s v="Sephora&gt;Zula"/><s v="Sevil Parfümeri&gt;Ametist"/><s v="Sevil Parfümeri&gt;Beymen"/><s v="Sevil Parfümeri&gt;Burger King"/><s v="Sevil Parfümeri&gt;Eataly"/><s v="Sevil Parfümeri&gt;H&amp;M"/><s v="Sevil Parfümeri&gt;Happy Moon's"/><s v="Sevil Parfümeri&gt;MAC Mars Athletic Club"/><s v="Sevil Parfümeri&gt;Pandora"/><s v="Sevil Parfümeri&gt;Paşabahçe Mağazaları"/><s v="Sevil Parfümeri&gt;Peak"/><s v="Sevil Parfümeri&gt;Remzi Kitabevi"/><s v="Sevil Parfümeri&gt;Rossmann"/><s v="Sevil Parfümeri&gt;SushiCo"/><s v="Sevil Parfümeri&gt;Vestel"/><s v="Sevil Parfümeri&gt;Watsons"/><s v="Sevil Parfümeri&gt;Yves Rocher"/><s v="Skechers&gt;Arby's"/><s v="Skechers&gt;Cup of Joy"/><s v="Skechers&gt;Divarese"/><s v="Skechers&gt;English Home"/><s v="Skechers&gt;Green Salads"/><s v="Skechers&gt;H&amp;M"/><s v="Skechers&gt;Mavi"/><s v="Skechers&gt;Remzi Kitabevi"/><s v="Skechers&gt;Superstep"/><s v="Skechers&gt;SushiCo"/><s v="Skechers&gt;Taksi"/><s v="Skechers&gt;US Polo Assn."/><s v="Skechers&gt;Zula"/><s v="Sneaks Up&gt;Sneaks Up"/><s v="Starbucks&gt;Beymen"/><s v="Starbucks&gt;Funloft"/><s v="Starbucks&gt;Macrocenter"/><s v="Starbucks&gt;Metro&lt;br&gt;Metrobus"/><s v="Starbucks&gt;Otopark Giriş Levazım"/><s v="Starbucks&gt;Park Alanı"/><s v="Starbucks&gt;Pharmacy"/><s v="Starbucks&gt;Starbucks"/><s v="Starbucks&gt;Superstep"/><s v="Starbucks&gt;Toyzz Shop"/><s v="Starbucks&gt;Vakko"/><s v="Starbucks&gt;WC"/><s v="Starbucks&gt;Zorlu PSM Boğaz Katı"/><s v="Superstep&gt;Funloft"/><s v="Superstep&gt;Kafe Vesto"/><s v="Superstep&gt;Macrocenter"/><s v="Superstep&gt;Moncler"/><s v="Superstep&gt;Pandora"/><s v="Superstep&gt;Restroom"/><s v="SushiCo&gt;BigChefs"/><s v="SushiCo&gt;Döner Stop"/><s v="SushiCo&gt;KFC"/><s v="SushiCo&gt;PSM"/><s v="SushiCo&gt;Starbucks"/><s v="SushiCo&gt;Tobacco Shop"/><s v="SushiCo&gt;US Polo Assn."/><s v="Swarovski&gt;Beymen"/><s v="Swarovski&gt;Kiehl's"/><s v="Swarovski&gt;Rolex"/><s v="Swarovski&gt;Zara"/><s v="Tax Free Zone (Info Desk)&gt;Funloft"/><s v="Tax Free Zone (Info Desk)&gt;Global Blue (Beymen)"/><s v="Tax Free Zone (Info Desk)&gt;Pandora"/><s v="The Kooples&gt;Aldo"/><s v="The Kooples&gt;Park Area"/><s v="The Kooples&gt;SushiCo"/><s v="Tiffany &amp; Co.&gt;Eataly"/><s v="Tiffany &amp; Co.&gt;Saint Laurent"/><s v="Tiffany &amp; Co.&gt;Tiffany &amp; Co."/><s v="Tiffany &amp; Co.&gt;Toyzz Shop"/><s v="Tobacco Shop&gt;Cup of Joy"/><s v="Tod's&gt;Taxi"/><s v="Tod's&gt;Tommi Brasserie"/><s v="Tod's&gt;Zorlu Center Açık Hava"/><s v="Tommi Brasserie&gt;COS"/><s v="Tommi Brasserie&gt;Lacoste"/><s v="Tommy Hilfiger&gt;Eataly"/><s v="Tommy Hilfiger&gt;Lacoste"/><s v="Tommy Hilfiger&gt;Tommy Hilfiger"/><s v="Tommy Hilfiger&gt;Toyzz Shop"/><s v="Tommy Hilfiger&gt;Voi Coffee Company"/><s v="Tommy Hilfiger&gt;Zara"/><s v="Tommy Hilfiger&gt;Zara Home"/><s v="Toyzz Shop&gt;D&amp;R"/><s v="Toyzz Shop&gt;Saray Muhallebicisi"/><s v="Toyzz Shop&gt;Starbucks"/><s v="Turkcell&gt;Prayer Room"/><s v="Twist&gt;MediaMarkt"/><s v="Twist&gt;Zara"/><s v="US Polo Assn.&gt;Global Blue (Beymen)"/><s v="US Polo Assn.&gt;Levi's"/><s v="US Polo Assn.&gt;Tax Free Zone (Info Desk)"/><s v="US Polo Assn.&gt;US Polo Assn."/><s v="US Polo Assn.&gt;Zara"/><s v="Under Armour&gt;Burger King"/><s v="Under Armour&gt;Zara"/><s v="Uranüs&gt;D&amp;R"/><s v="Vakko Home&gt;Green Salads"/><s v="Vakko Home&gt;Vakko Home"/><s v="Vakko&gt;D&amp;R"/><s v="Vakko&gt;SushiCo"/><s v="Vakkorama Cafe&gt;Funloft"/><s v="Vakkorama Cafe&gt;Happy Moon's"/><s v="Vakkorama Cafe&gt;Vakko L'Atelier"/><s v="Vakkorama&gt;Nespresso"/><s v="Valentino&gt;Happy Moon's"/><s v="Valentino&gt;MAC Mars Athletic Club"/><s v="Valentino&gt;MOC"/><s v="Valentino&gt;Morini"/><s v="Valentino&gt;Raffles Istanbul"/><s v="Valentino&gt;Vakko L'Atelier"/><s v="Valeron&gt;Nespresso"/><s v="Vario&gt;Skechers"/><s v="Vario&gt;Sneaks Up"/><s v="Vestel&gt;MediaMarkt"/><s v="Vestel&gt;Zula"/><s v="Victoria's Secret Pink&gt;Apple"/><s v="Victoria's Secret Pink&gt;Yalçınlar"/><s v="Victoria's Secret&gt;Macrocenter"/><s v="Victoria's Secret&gt;Nespresso"/><s v="Victoria's Secret&gt;QNB Finansbank (ATM)"/><s v="Victoria's Secret&gt;Saint Laurent"/><s v="Victoria's Secret&gt;Starbucks"/><s v="Vilebrequin&gt;Toyzz Shop"/><s v="Voi Coffee Company&gt;Happy Moon's"/><s v="Voi Coffee Company&gt;Zor Exchange"/><s v="Watsons&gt;BigChefs"/><s v="Watsons&gt;D&amp;R"/><s v="Watsons&gt;Watsons"/><s v="Watsons&gt;Zula"/><s v="Welldone&gt;Eataly"/><s v="Welldone&gt;Toyzz Shop"/><s v="Yalçınlar&gt;D&amp;R"/><s v="Yargıcı&gt;Cup of Joy"/><s v="Yargıcı&gt;Eataly"/><s v="Yargıcı&gt;Eczane Zorlu Center"/><s v="Yargıcı&gt;Linens"/><s v="Yargıcı&gt;MAC"/><s v="Yargıcı&gt;MAC Mars Athletic Club"/><s v="Yargıcı&gt;Macrocenter"/><s v="Yargıcı&gt;Masgold Kuyumculuk"/><s v="Yargıcı&gt;MediaMarkt"/><s v="Yargıcı&gt;Paşabahçe Mağazaları"/><s v="Yargıcı&gt;Sephora"/><s v="Yargıcı&gt;Sinema"/><s v="Yargıcı&gt;Touche"/><s v="QR-104&gt;Akbank (Branch)"/><s v="QR-104&gt;Aldo"/><s v="QR-104&gt;Burberry Children"/><s v="QR-104&gt;Caffe Nero"/><s v="QR-104&gt;Calvin Klein Jeans"/><s v="QR-104&gt;Car Park Entrance Zincirlikuyu"/><s v="QR-104&gt;Cinema"/><s v="QR-104&gt;D"/><s v="QR-104&gt;DenizBank (ATM)"/><s v="QR-104&gt;Dorya Home"/><s v="QR-104&gt;Entrance Ulus"/><s v="QR-104&gt;Falconeri"/><s v="QR-104&gt;Infirmary"/><s v="QR-104&gt;MOC"/><s v="QR-104&gt;Mer's"/><s v="QR-104&gt;Parle"/><s v="QR-104&gt;Penelope"/><s v="QR-104&gt;Ramsey"/><s v="QR-104&gt;Restroom"/><s v="QR-104&gt;Terazza Italia"/><s v="QR-104&gt;Tiffany &amp; Co."/><s v="QR-104&gt;Universal Conselor"/><s v="QR-104&gt;VR Gayrimenkul A.Ş."/><s v="QR-104&gt;Vennüs Telefon Aksesuar"/><s v="QR-104&gt;Zorlu PSM Square Floor"/><s v="QR-104&gt;İpekyol"/><s v="QR-108&gt;Apple"/><s v="QR-108&gt;Burberry Children"/><s v="QR-108&gt;Cinema"/><s v="QR-108&gt;Plus Kitchen"/><s v="QR-109&gt;Caffe Nero"/><s v="QR-109&gt;Godiva"/><s v="QR-109&gt;HandeHaluk Kuaför"/><s v="QR-109&gt;Zorlu Center Açık Hava"/><s v="QR-112&gt;ATM"/><s v="QR-112&gt;Apple"/><s v="QR-112&gt;Bobbi Brown"/><s v="QR-112&gt;Caffe Nero"/><s v="QR-112&gt;Calvin Klein Jeans"/><s v="QR-112&gt;Calzedonia"/><s v="QR-112&gt;Concierge"/><s v="QR-112&gt;D&amp;R"/><s v="QR-112&gt;Döner Stop"/><s v="QR-112&gt;Franck Muller"/><s v="QR-112&gt;Gran Cafe Eataly"/><s v="QR-112&gt;HandeHaluk Kuaför"/><s v="QR-112&gt;Mapa"/><s v="QR-112&gt;Massimo Dutti"/><s v="QR-112&gt;Metro&lt;br&gt;Metrobus"/><s v="QR-112&gt;Network"/><s v="QR-112&gt;Pharmacy"/><s v="QR-112&gt;Pharmacy Zorlu Center"/><s v="QR-112&gt;Pinko"/><s v="QR-112&gt;Raffles Istanbul"/><s v="QR-112&gt;Saray Muhallebicisi"/><s v="QR-112&gt;Sosa"/><s v="QR-112&gt;Starbucks"/><s v="QR-112&gt;Superstep"/><s v="QR-112&gt;Tumi"/><s v="QR-112&gt;Zorlu PSM Bosphorus Floor"/><s v="QR-203&gt;1290SQM"/><s v="QR-203&gt;Aldo"/><s v="QR-203&gt;Arifoğlu"/><s v="QR-203&gt;Atasay"/><s v="QR-203&gt;Balenciaga"/><s v="QR-203&gt;Balmain"/><s v="QR-203&gt;Burberry"/><s v="QR-203&gt;COS"/><s v="QR-203&gt;Camper"/><s v="QR-203&gt;Car Park"/><s v="QR-203&gt;Chakra"/><s v="QR-203&gt;Chanel"/><s v="QR-203&gt;Dior"/><s v="QR-203&gt;Et İşleri"/><s v="QR-203&gt;Fendi"/><s v="QR-203&gt;Five O'Clock"/><s v="QR-203&gt;Golden Goose"/><s v="QR-203&gt;Greenwich"/><s v="QR-203&gt;Günaydın Köfte &amp; Döner"/><s v="QR-203&gt;Info Desk"/><s v="QR-203&gt;KFC"/><s v="QR-203&gt;Le Baron"/><s v="QR-203&gt;Masjid"/><s v="QR-203&gt;McDonald's"/><s v="QR-203&gt;Metro&lt;br&gt;Metrobus"/><s v="QR-203&gt;Miele"/><s v="QR-203&gt;Nespresso"/><s v="QR-203&gt;Odaş Elektrik"/><s v="QR-203&gt;Park Area"/><s v="QR-203&gt;Tod's"/><s v="QR-203&gt;Zorlu Gayrimenkul"/><s v="QR-203&gt;Zorlu PSM Metro Floor"/><s v="QR-301&gt;Caffe Nero"/><s v="QR-301&gt;Car Park"/><s v="QR-301&gt;Crossing"/><s v="QR-301&gt;Gran Cafe Eataly"/><s v="QR-301&gt;Jacadi Paris"/><s v="QR-301&gt;KFC"/><s v="QR-301&gt;MediaMarkt"/><s v="QR-301&gt;Moncler"/><s v="QR-301&gt;Morini"/><s v="QR-301&gt;Saray Muhallebicisi"/><s v="QR-301&gt;Tommi Brasserie"/><s v="QR-301&gt;Zorlu PSM Square Floor"/><s v="QR-301&gt;Zula"/><s v="QR-302&gt;BigChefs"/><s v="QR-302&gt;D&amp;R"/><s v="QR-302&gt;English Home"/><s v="QR-302&gt;Happy Moon's"/><s v="QR-302&gt;Park Area"/><s v="QR-302&gt;Vakko"/><s v="QR-302&gt;Watsons"/><s v="QR003&gt;Eataly"/><s v="QR003&gt;MOC"/><s v="QR003&gt;Park Area"/><s v="QR004&gt;Apple"/><s v="QR004&gt;Massimo Dutti"/><s v="QR004&gt;Subway Metrobus"/><s v="QR005&gt;Arby's"/><s v="QR005&gt;Cantinery"/><s v="QR005&gt;Columbia"/><s v="QR005&gt;Pandora"/><s v="QR005&gt;Pharmacy"/><s v="QR006&gt;0 Pub"/><s v="QR006&gt;B&amp;G Store"/><s v="QR006&gt;Baqa"/><s v="QR006&gt;Casa"/><s v="QR006&gt;English Home"/><s v="QR006&gt;Gant"/><s v="QR006&gt;Golden Goose"/><s v="QR006&gt;IRB Sigorta"/><s v="QR006&gt;KFC"/><s v="QR006&gt;MontBlanc"/><s v="QR006&gt;Nike by Levazım"/><s v="QR006&gt;Pandora"/><s v="QR006&gt;Saint Laurent"/><s v="QR006&gt;Sevil Parfümeri"/><s v="QR006&gt;Swarovski"/><s v="QR006&gt;Tax Free Zone (Info Desk)"/><s v="QR006&gt;Toyzz Shop"/><s v="QR006&gt;Vakko Wedding"/><s v="QR006&gt;WC"/><s v="QR006&gt;Zorlu PSM Square Floor"/><s v="QR006&gt;İpekyol"/><s v="lobyy-101&gt;Odaş Elektrik"/><s v="Yves Rocher&gt;Five O'Clock"/><s v="Yves Rocher&gt;Macrocenter"/><s v="Yves Rocher&gt;Toyzz Shop"/><s v="Yves Rocher&gt;Zula"/><s v="Zanzibar&gt;Kafe Vesto"/><s v="Zanzibar&gt;Nautica"/><s v="Zanzibar&gt;Zula"/><s v="Zara Home&gt;D&amp;R"/><s v="Zara&gt;0 Pub"/><s v="Zara&gt;ATM"/><s v="Zara&gt;Aldo"/><s v="Zara&gt;Asics"/><s v="Zara&gt;Atasay"/><s v="Zara&gt;Beymen"/><s v="Zara&gt;Car Park"/><s v="Zara&gt;Cup of Joy"/><s v="Zara&gt;D&amp;R"/><s v="Zara&gt;Diesel"/><s v="Zara&gt;Dyson"/><s v="Zara&gt;English Home"/><s v="Zara&gt;Golden Goose"/><s v="Zara&gt;Gran Cafe Eataly"/><s v="Zara&gt;HandeHaluk Kuaför"/><s v="Zara&gt;Happy Moon's"/><s v="Zara&gt;Levi's"/><s v="Zara&gt;Louis Vuitton"/><s v="Zara&gt;Massimo Dutti"/><s v="Zara&gt;Mescit"/><s v="Zara&gt;Pharmacy"/><s v="Zara&gt;Pharmacy Zorlu Center"/><s v="Zara&gt;Prayer Room"/><s v="Zara&gt;Saat"/><s v="Zara&gt;Sephora"/><s v="Zara&gt;Starbucks"/><s v="Zara&gt;Subway Metrobus"/><s v="Zara&gt;Superstep"/><s v="Zara&gt;Tax Free Zone (Info Desk)"/><s v="Zara&gt;Voi Coffee Company"/><s v="Zara&gt;Watsons"/><s v="Zara&gt;Welldone"/><s v="Zara&gt;Zanzibar"/><s v="Zara&gt;Zor Exchange"/><s v="Zara&gt;Zula"/><s v="Ziyafe Kayseri Mutfağı&gt;Car Park"/><s v="Zor Exchange&gt;Restroom"/><s v="Zorlu PSM Bosphorus FloorBosphorus Floor&gt;Pharmacy Zorlu Center"/><s v="Zorlu PSM Boğaz KatıBoğaz Katı&gt;Macrocenter"/><s v="Zorlu PSM Boğaz KatıBoğaz Katı&gt;Otopark Giriş Levazım"/><s v="Zorlu PSM Boğaz KatıBoğaz Katı&gt;Park Alanı"/><s v="Zorlu PSM Boğaz KatıBoğaz Katı&gt;Zorlu PSM Boğaz Katı"/><s v="ID-245&gt;PSM"/><s v="Zula&gt;Mavi"/></sharedItems></cacheField></cacheFields></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QR-Arama-Pivot" cacheId="0" dataCaption="" compact="0" compactData="0">
  <location ref="A1:B325" firstHeaderRow="0" firstDataRow="1" firstDataCol="0"/>
  <pivotFields>
    <pivotField name="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t="default"/>
      </items>
    </pivotField>
    <pivotField name="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autoSortScope>
        <pivotArea>
          <references>
            <reference field="4294967294">
              <x v="0"/>
            </reference>
          </references>
        </pivotArea>
      </autoSortScope>
    </pivotField>
  </pivotFields>
  <rowFields>
    <field x="2"/>
  </rowFields>
  <dataFields>
    <dataField name="SUM of No" fld="0" baseField="0"/>
  </dataFields>
</pivotTableDefinition>
</file>

<file path=xl/pivotTables/pivotTable2.xml><?xml version="1.0" encoding="utf-8"?>
<pivotTableDefinition xmlns="http://schemas.openxmlformats.org/spreadsheetml/2006/main" name="QR-Rota-Pivot" cacheId="1" dataCaption="" compact="0" compactData="0">
  <location ref="A1:B1546" firstHeaderRow="0" firstDataRow="1" firstDataCol="0"/>
  <pivotFields>
    <pivotField name="EVEN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VE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 " compact="0" outline="0" multipleItemSelectionAllowed="1" showAll="0">
      <items>
        <item x="0"/>
        <item x="1"/>
        <item x="2"/>
        <item x="3"/>
        <item x="4"/>
        <item x="5"/>
        <item x="6"/>
        <item x="7"/>
        <item x="8"/>
        <item x="9"/>
        <item x="10"/>
        <item x="11"/>
        <item x="12"/>
        <item x="13"/>
        <item x="14"/>
        <item x="15"/>
        <item x="16"/>
        <item t="default"/>
      </items>
    </pivotField>
    <pivotField name="FRO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gt;" compact="0" outline="0" multipleItemSelectionAllowed="1" showAll="0">
      <items>
        <item x="0"/>
        <item t="default"/>
      </items>
    </pivotField>
    <pivotField name="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FROM&gt;TO"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t="default"/>
      </items>
      <autoSortScope>
        <pivotArea>
          <references>
            <reference field="4294967294">
              <x v="0"/>
            </reference>
          </references>
        </pivotArea>
      </autoSortScope>
    </pivotField>
  </pivotFields>
  <rowFields>
    <field x="6"/>
  </rowFields>
  <dataFields>
    <dataField name="SUM of EVENTS" fld="0"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apple.com" TargetMode="External"/><Relationship Id="rId42" Type="http://schemas.openxmlformats.org/officeDocument/2006/relationships/hyperlink" Target="http://www.anatolihome.com" TargetMode="External"/><Relationship Id="rId41" Type="http://schemas.openxmlformats.org/officeDocument/2006/relationships/hyperlink" Target="http://www.ranchero.com.tr" TargetMode="External"/><Relationship Id="rId44" Type="http://schemas.openxmlformats.org/officeDocument/2006/relationships/hyperlink" Target="https://www.zenpirlanta.com/" TargetMode="External"/><Relationship Id="rId43" Type="http://schemas.openxmlformats.org/officeDocument/2006/relationships/hyperlink" Target="http://www.zarahome.com/tr" TargetMode="External"/><Relationship Id="rId46" Type="http://schemas.openxmlformats.org/officeDocument/2006/relationships/hyperlink" Target="http://www.kipling.com.tr/" TargetMode="External"/><Relationship Id="rId45" Type="http://schemas.openxmlformats.org/officeDocument/2006/relationships/hyperlink" Target="http://www.walkersbar.com" TargetMode="External"/><Relationship Id="rId80" Type="http://schemas.openxmlformats.org/officeDocument/2006/relationships/hyperlink" Target="http://www.vakko.com/wedding" TargetMode="External"/><Relationship Id="rId82" Type="http://schemas.openxmlformats.org/officeDocument/2006/relationships/drawing" Target="../drawings/drawing1.xml"/><Relationship Id="rId81" Type="http://schemas.openxmlformats.org/officeDocument/2006/relationships/hyperlink" Target="http://www.zwilling.com/tr" TargetMode="External"/><Relationship Id="rId1" Type="http://schemas.openxmlformats.org/officeDocument/2006/relationships/hyperlink" Target="https://inmapper.com/zorlucenter/img/" TargetMode="External"/><Relationship Id="rId2" Type="http://schemas.openxmlformats.org/officeDocument/2006/relationships/hyperlink" Target="http://www.zterzi.com/" TargetMode="External"/><Relationship Id="rId3" Type="http://schemas.openxmlformats.org/officeDocument/2006/relationships/hyperlink" Target="http://www.mediamarkt.com.tr" TargetMode="External"/><Relationship Id="rId4" Type="http://schemas.openxmlformats.org/officeDocument/2006/relationships/hyperlink" Target="http://www.eveshop.com.tr" TargetMode="External"/><Relationship Id="rId9" Type="http://schemas.openxmlformats.org/officeDocument/2006/relationships/hyperlink" Target="http://www.nike.com.tr/" TargetMode="External"/><Relationship Id="rId48" Type="http://schemas.openxmlformats.org/officeDocument/2006/relationships/hyperlink" Target="http://www.goldengoose.com" TargetMode="External"/><Relationship Id="rId47" Type="http://schemas.openxmlformats.org/officeDocument/2006/relationships/hyperlink" Target="http://www.fabianafilippi.com/" TargetMode="External"/><Relationship Id="rId49" Type="http://schemas.openxmlformats.org/officeDocument/2006/relationships/hyperlink" Target="http://www.celine.com" TargetMode="External"/><Relationship Id="rId5" Type="http://schemas.openxmlformats.org/officeDocument/2006/relationships/hyperlink" Target="http://www.penelopebedroom.com/" TargetMode="External"/><Relationship Id="rId6" Type="http://schemas.openxmlformats.org/officeDocument/2006/relationships/hyperlink" Target="http://www.paribucineverse.com/" TargetMode="External"/><Relationship Id="rId7" Type="http://schemas.openxmlformats.org/officeDocument/2006/relationships/hyperlink" Target="http://www.houseofsuperstep.com" TargetMode="External"/><Relationship Id="rId8" Type="http://schemas.openxmlformats.org/officeDocument/2006/relationships/hyperlink" Target="http://www.adidas.com" TargetMode="External"/><Relationship Id="rId73" Type="http://schemas.openxmlformats.org/officeDocument/2006/relationships/hyperlink" Target="http://www.eataly.com.tr/tr/terrazza-italia" TargetMode="External"/><Relationship Id="rId72" Type="http://schemas.openxmlformats.org/officeDocument/2006/relationships/hyperlink" Target="http://www.kronotrop.com.tr/" TargetMode="External"/><Relationship Id="rId31" Type="http://schemas.openxmlformats.org/officeDocument/2006/relationships/hyperlink" Target="http://www.etisleri.com.tr/" TargetMode="External"/><Relationship Id="rId75" Type="http://schemas.openxmlformats.org/officeDocument/2006/relationships/hyperlink" Target="http://www.dorya.com.tr" TargetMode="External"/><Relationship Id="rId30" Type="http://schemas.openxmlformats.org/officeDocument/2006/relationships/hyperlink" Target="http://www.reallyfriedchicken.com/" TargetMode="External"/><Relationship Id="rId74" Type="http://schemas.openxmlformats.org/officeDocument/2006/relationships/hyperlink" Target="http://www.enplus.com.tr" TargetMode="External"/><Relationship Id="rId33" Type="http://schemas.openxmlformats.org/officeDocument/2006/relationships/hyperlink" Target="http://www.tavukdunyasi.com/" TargetMode="External"/><Relationship Id="rId77" Type="http://schemas.openxmlformats.org/officeDocument/2006/relationships/hyperlink" Target="http://www.1290sqm.com" TargetMode="External"/><Relationship Id="rId32" Type="http://schemas.openxmlformats.org/officeDocument/2006/relationships/hyperlink" Target="http://www.durumle.com/" TargetMode="External"/><Relationship Id="rId76" Type="http://schemas.openxmlformats.org/officeDocument/2006/relationships/hyperlink" Target="http://www.taji.com.tr/" TargetMode="External"/><Relationship Id="rId35" Type="http://schemas.openxmlformats.org/officeDocument/2006/relationships/hyperlink" Target="http://www.brooksbrothers.com.tr" TargetMode="External"/><Relationship Id="rId79" Type="http://schemas.openxmlformats.org/officeDocument/2006/relationships/hyperlink" Target="http://www.vakkolatelier.com/" TargetMode="External"/><Relationship Id="rId34" Type="http://schemas.openxmlformats.org/officeDocument/2006/relationships/hyperlink" Target="http://www.edwards.com.tr" TargetMode="External"/><Relationship Id="rId78" Type="http://schemas.openxmlformats.org/officeDocument/2006/relationships/hyperlink" Target="http://www.jbl.com" TargetMode="External"/><Relationship Id="rId71" Type="http://schemas.openxmlformats.org/officeDocument/2006/relationships/hyperlink" Target="http://www.anyhome.com.tr" TargetMode="External"/><Relationship Id="rId70" Type="http://schemas.openxmlformats.org/officeDocument/2006/relationships/hyperlink" Target="http://www.akbank.com" TargetMode="External"/><Relationship Id="rId37" Type="http://schemas.openxmlformats.org/officeDocument/2006/relationships/hyperlink" Target="http://www.nautica-tr.com/" TargetMode="External"/><Relationship Id="rId36" Type="http://schemas.openxmlformats.org/officeDocument/2006/relationships/hyperlink" Target="https://www.pinkoturkey.com/" TargetMode="External"/><Relationship Id="rId39" Type="http://schemas.openxmlformats.org/officeDocument/2006/relationships/hyperlink" Target="https://inmapper.com/zorlucenter/img/logo/INTIMISSIMIUOMO.png" TargetMode="External"/><Relationship Id="rId38" Type="http://schemas.openxmlformats.org/officeDocument/2006/relationships/hyperlink" Target="http://www.intimissimi.com/tr/erkek/" TargetMode="External"/><Relationship Id="rId62" Type="http://schemas.openxmlformats.org/officeDocument/2006/relationships/hyperlink" Target="http://www.meleztea.com/" TargetMode="External"/><Relationship Id="rId61" Type="http://schemas.openxmlformats.org/officeDocument/2006/relationships/hyperlink" Target="http://www.gucci.com/" TargetMode="External"/><Relationship Id="rId20" Type="http://schemas.openxmlformats.org/officeDocument/2006/relationships/hyperlink" Target="http://www.kikomilano.com.tr/" TargetMode="External"/><Relationship Id="rId64" Type="http://schemas.openxmlformats.org/officeDocument/2006/relationships/hyperlink" Target="http://www.chopard.com/" TargetMode="External"/><Relationship Id="rId63" Type="http://schemas.openxmlformats.org/officeDocument/2006/relationships/hyperlink" Target="http://www.lillo.com.tr" TargetMode="External"/><Relationship Id="rId22" Type="http://schemas.openxmlformats.org/officeDocument/2006/relationships/hyperlink" Target="http://www.aloyoga.com" TargetMode="External"/><Relationship Id="rId66" Type="http://schemas.openxmlformats.org/officeDocument/2006/relationships/hyperlink" Target="http://www.chanel.com/" TargetMode="External"/><Relationship Id="rId21" Type="http://schemas.openxmlformats.org/officeDocument/2006/relationships/hyperlink" Target="http://www.mediamarkt.com.tr" TargetMode="External"/><Relationship Id="rId65" Type="http://schemas.openxmlformats.org/officeDocument/2006/relationships/hyperlink" Target="http://www.bottegaveneta.com" TargetMode="External"/><Relationship Id="rId24" Type="http://schemas.openxmlformats.org/officeDocument/2006/relationships/hyperlink" Target="http://www.pluskitchen.com.tr" TargetMode="External"/><Relationship Id="rId68" Type="http://schemas.openxmlformats.org/officeDocument/2006/relationships/hyperlink" Target="http://www.lesbenjamins.com/" TargetMode="External"/><Relationship Id="rId23" Type="http://schemas.openxmlformats.org/officeDocument/2006/relationships/hyperlink" Target="http://www.watsons.com.tr" TargetMode="External"/><Relationship Id="rId67" Type="http://schemas.openxmlformats.org/officeDocument/2006/relationships/hyperlink" Target="http://us.loropiana.com/en" TargetMode="External"/><Relationship Id="rId60" Type="http://schemas.openxmlformats.org/officeDocument/2006/relationships/hyperlink" Target="https://inmapper.com/zorlucenter/img/logo/BEEGODDESS.png" TargetMode="External"/><Relationship Id="rId26" Type="http://schemas.openxmlformats.org/officeDocument/2006/relationships/hyperlink" Target="http://www.caffenero.com.tr" TargetMode="External"/><Relationship Id="rId25" Type="http://schemas.openxmlformats.org/officeDocument/2006/relationships/hyperlink" Target="http://www.bluemint.com" TargetMode="External"/><Relationship Id="rId69" Type="http://schemas.openxmlformats.org/officeDocument/2006/relationships/hyperlink" Target="http://www.togg.com.tr/" TargetMode="External"/><Relationship Id="rId28" Type="http://schemas.openxmlformats.org/officeDocument/2006/relationships/hyperlink" Target="http://www.ziyafe.com.tr/" TargetMode="External"/><Relationship Id="rId27" Type="http://schemas.openxmlformats.org/officeDocument/2006/relationships/hyperlink" Target="http://www.ustadonerci.com/" TargetMode="External"/><Relationship Id="rId29" Type="http://schemas.openxmlformats.org/officeDocument/2006/relationships/hyperlink" Target="http://www.kofteciramiz.com" TargetMode="External"/><Relationship Id="rId51" Type="http://schemas.openxmlformats.org/officeDocument/2006/relationships/hyperlink" Target="http://www.rhodium.com.tr/" TargetMode="External"/><Relationship Id="rId50" Type="http://schemas.openxmlformats.org/officeDocument/2006/relationships/hyperlink" Target="http://www.alexandermcqueen.com" TargetMode="External"/><Relationship Id="rId53" Type="http://schemas.openxmlformats.org/officeDocument/2006/relationships/hyperlink" Target="http://www.nevlokanta.com" TargetMode="External"/><Relationship Id="rId52" Type="http://schemas.openxmlformats.org/officeDocument/2006/relationships/hyperlink" Target="http://www.bigchefs.com.tr" TargetMode="External"/><Relationship Id="rId11" Type="http://schemas.openxmlformats.org/officeDocument/2006/relationships/hyperlink" Target="http://www.victoriassecret.com/tr/" TargetMode="External"/><Relationship Id="rId55" Type="http://schemas.openxmlformats.org/officeDocument/2006/relationships/hyperlink" Target="http://www.fauchon.com" TargetMode="External"/><Relationship Id="rId10" Type="http://schemas.openxmlformats.org/officeDocument/2006/relationships/hyperlink" Target="http://www.victoriassecret.com.tr/pink" TargetMode="External"/><Relationship Id="rId54" Type="http://schemas.openxmlformats.org/officeDocument/2006/relationships/hyperlink" Target="http://www.reyorganic.com/" TargetMode="External"/><Relationship Id="rId13" Type="http://schemas.openxmlformats.org/officeDocument/2006/relationships/hyperlink" Target="http://www.aldoshoes.com.tr" TargetMode="External"/><Relationship Id="rId57" Type="http://schemas.openxmlformats.org/officeDocument/2006/relationships/hyperlink" Target="https://inmapper.com/zorlucenter/img/logo/IWCSCHAFFHAUSENPANERAI.png" TargetMode="External"/><Relationship Id="rId12" Type="http://schemas.openxmlformats.org/officeDocument/2006/relationships/hyperlink" Target="http://www.abdullahkigili.com" TargetMode="External"/><Relationship Id="rId56" Type="http://schemas.openxmlformats.org/officeDocument/2006/relationships/hyperlink" Target="https://inmapper.com/zorlucenter/img/logo/IWCSCHAFFHAUSENPANERAI.png" TargetMode="External"/><Relationship Id="rId15" Type="http://schemas.openxmlformats.org/officeDocument/2006/relationships/hyperlink" Target="http://www.apple.com" TargetMode="External"/><Relationship Id="rId59" Type="http://schemas.openxmlformats.org/officeDocument/2006/relationships/hyperlink" Target="https://www.beegoddess.com/" TargetMode="External"/><Relationship Id="rId14" Type="http://schemas.openxmlformats.org/officeDocument/2006/relationships/hyperlink" Target="http://www.minycenter.com.tr" TargetMode="External"/><Relationship Id="rId58" Type="http://schemas.openxmlformats.org/officeDocument/2006/relationships/hyperlink" Target="http://www.atillakarat.com" TargetMode="External"/><Relationship Id="rId17" Type="http://schemas.openxmlformats.org/officeDocument/2006/relationships/hyperlink" Target="http://www.ametististanbul.com" TargetMode="External"/><Relationship Id="rId16" Type="http://schemas.openxmlformats.org/officeDocument/2006/relationships/hyperlink" Target="http://www.tumi.com.tr" TargetMode="External"/><Relationship Id="rId19" Type="http://schemas.openxmlformats.org/officeDocument/2006/relationships/hyperlink" Target="http://www.maisonpereja.com" TargetMode="External"/><Relationship Id="rId18" Type="http://schemas.openxmlformats.org/officeDocument/2006/relationships/hyperlink" Target="http://www.lamyshop.com.t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www.kipling.com.tr/" TargetMode="External"/><Relationship Id="rId42" Type="http://schemas.openxmlformats.org/officeDocument/2006/relationships/hyperlink" Target="http://www.asimpleway.co" TargetMode="External"/><Relationship Id="rId41" Type="http://schemas.openxmlformats.org/officeDocument/2006/relationships/hyperlink" Target="http://www.durumle.com/" TargetMode="External"/><Relationship Id="rId44" Type="http://schemas.openxmlformats.org/officeDocument/2006/relationships/hyperlink" Target="https://www.lego.com/" TargetMode="External"/><Relationship Id="rId43" Type="http://schemas.openxmlformats.org/officeDocument/2006/relationships/hyperlink" Target="http://www.nevlokanta.com" TargetMode="External"/><Relationship Id="rId46" Type="http://schemas.openxmlformats.org/officeDocument/2006/relationships/hyperlink" Target="http://www.etisleri.com.tr" TargetMode="External"/><Relationship Id="rId45" Type="http://schemas.openxmlformats.org/officeDocument/2006/relationships/hyperlink" Target="http://www.minycenter.com.tr" TargetMode="External"/><Relationship Id="rId1" Type="http://schemas.openxmlformats.org/officeDocument/2006/relationships/hyperlink" Target="http://www.mmytantuni.com/" TargetMode="External"/><Relationship Id="rId2" Type="http://schemas.openxmlformats.org/officeDocument/2006/relationships/hyperlink" Target="http://www.coldstonecreamery.com.tr" TargetMode="External"/><Relationship Id="rId3" Type="http://schemas.openxmlformats.org/officeDocument/2006/relationships/hyperlink" Target="http://www.museforall.com/tr" TargetMode="External"/><Relationship Id="rId4" Type="http://schemas.openxmlformats.org/officeDocument/2006/relationships/hyperlink" Target="http://www.fabianafilippi.com" TargetMode="External"/><Relationship Id="rId9" Type="http://schemas.openxmlformats.org/officeDocument/2006/relationships/hyperlink" Target="http://www.museforall.com/tr" TargetMode="External"/><Relationship Id="rId48" Type="http://schemas.openxmlformats.org/officeDocument/2006/relationships/hyperlink" Target="http://www.minycenter.com.tr" TargetMode="External"/><Relationship Id="rId47" Type="http://schemas.openxmlformats.org/officeDocument/2006/relationships/hyperlink" Target="http://www.doyuyo.com" TargetMode="External"/><Relationship Id="rId49" Type="http://schemas.openxmlformats.org/officeDocument/2006/relationships/hyperlink" Target="http://www.penelopebedroom.com/" TargetMode="External"/><Relationship Id="rId5" Type="http://schemas.openxmlformats.org/officeDocument/2006/relationships/hyperlink" Target="http://www.museforall.com/tr" TargetMode="External"/><Relationship Id="rId6" Type="http://schemas.openxmlformats.org/officeDocument/2006/relationships/hyperlink" Target="http://www.vakkolatelier.com/" TargetMode="External"/><Relationship Id="rId7" Type="http://schemas.openxmlformats.org/officeDocument/2006/relationships/hyperlink" Target="http://www.gucci.com/" TargetMode="External"/><Relationship Id="rId8" Type="http://schemas.openxmlformats.org/officeDocument/2006/relationships/hyperlink" Target="http://www.designmarket.com.tr" TargetMode="External"/><Relationship Id="rId73" Type="http://schemas.openxmlformats.org/officeDocument/2006/relationships/hyperlink" Target="http://www.togg.com.tr/" TargetMode="External"/><Relationship Id="rId72" Type="http://schemas.openxmlformats.org/officeDocument/2006/relationships/hyperlink" Target="http://www.togg.com.tr/" TargetMode="External"/><Relationship Id="rId31" Type="http://schemas.openxmlformats.org/officeDocument/2006/relationships/hyperlink" Target="http://www.tavukdunyasi.com/" TargetMode="External"/><Relationship Id="rId75" Type="http://schemas.openxmlformats.org/officeDocument/2006/relationships/hyperlink" Target="http://www.donercikadirusta.com/" TargetMode="External"/><Relationship Id="rId30" Type="http://schemas.openxmlformats.org/officeDocument/2006/relationships/hyperlink" Target="http://www.museforall.com/tr" TargetMode="External"/><Relationship Id="rId74" Type="http://schemas.openxmlformats.org/officeDocument/2006/relationships/hyperlink" Target="http://www.anatolihome.com" TargetMode="External"/><Relationship Id="rId33" Type="http://schemas.openxmlformats.org/officeDocument/2006/relationships/hyperlink" Target="http://www.walkersbar.com" TargetMode="External"/><Relationship Id="rId77" Type="http://schemas.openxmlformats.org/officeDocument/2006/relationships/drawing" Target="../drawings/drawing3.xml"/><Relationship Id="rId32" Type="http://schemas.openxmlformats.org/officeDocument/2006/relationships/hyperlink" Target="http://www.asimpleway.co" TargetMode="External"/><Relationship Id="rId76" Type="http://schemas.openxmlformats.org/officeDocument/2006/relationships/hyperlink" Target="http://www.meleztea.com/" TargetMode="External"/><Relationship Id="rId35" Type="http://schemas.openxmlformats.org/officeDocument/2006/relationships/hyperlink" Target="http://www.durumle.com/" TargetMode="External"/><Relationship Id="rId34" Type="http://schemas.openxmlformats.org/officeDocument/2006/relationships/hyperlink" Target="http://www.donercikadirusta.com/" TargetMode="External"/><Relationship Id="rId71" Type="http://schemas.openxmlformats.org/officeDocument/2006/relationships/hyperlink" Target="http://www.togg.com.tr/" TargetMode="External"/><Relationship Id="rId70" Type="http://schemas.openxmlformats.org/officeDocument/2006/relationships/hyperlink" Target="http://www.togg.com.tr/" TargetMode="External"/><Relationship Id="rId37" Type="http://schemas.openxmlformats.org/officeDocument/2006/relationships/hyperlink" Target="http://www.zwilling.com/tr" TargetMode="External"/><Relationship Id="rId36" Type="http://schemas.openxmlformats.org/officeDocument/2006/relationships/hyperlink" Target="http://www.zenpirlanta.com/" TargetMode="External"/><Relationship Id="rId39" Type="http://schemas.openxmlformats.org/officeDocument/2006/relationships/hyperlink" Target="http://www.donercikadirusta.com/" TargetMode="External"/><Relationship Id="rId38" Type="http://schemas.openxmlformats.org/officeDocument/2006/relationships/hyperlink" Target="http://www.zwilling.com/tr" TargetMode="External"/><Relationship Id="rId62" Type="http://schemas.openxmlformats.org/officeDocument/2006/relationships/hyperlink" Target="http://www.reallyfriedchicken.com" TargetMode="External"/><Relationship Id="rId61" Type="http://schemas.openxmlformats.org/officeDocument/2006/relationships/hyperlink" Target="http://www.lillo.com.tr" TargetMode="External"/><Relationship Id="rId20" Type="http://schemas.openxmlformats.org/officeDocument/2006/relationships/hyperlink" Target="http://www.enplus.com.tr" TargetMode="External"/><Relationship Id="rId64" Type="http://schemas.openxmlformats.org/officeDocument/2006/relationships/hyperlink" Target="http://www.aloyoga.com" TargetMode="External"/><Relationship Id="rId63" Type="http://schemas.openxmlformats.org/officeDocument/2006/relationships/hyperlink" Target="http://www.brooksbrothers.com.tr" TargetMode="External"/><Relationship Id="rId22" Type="http://schemas.openxmlformats.org/officeDocument/2006/relationships/hyperlink" Target="http://www.museforall.com/tr" TargetMode="External"/><Relationship Id="rId66" Type="http://schemas.openxmlformats.org/officeDocument/2006/relationships/hyperlink" Target="http://www.houseofsuperstep.com" TargetMode="External"/><Relationship Id="rId21" Type="http://schemas.openxmlformats.org/officeDocument/2006/relationships/hyperlink" Target="http://www.kikomilano.com.tr/" TargetMode="External"/><Relationship Id="rId65" Type="http://schemas.openxmlformats.org/officeDocument/2006/relationships/hyperlink" Target="http://www.taji.com.tr/" TargetMode="External"/><Relationship Id="rId24" Type="http://schemas.openxmlformats.org/officeDocument/2006/relationships/hyperlink" Target="http://www.museforall.com/tr" TargetMode="External"/><Relationship Id="rId68" Type="http://schemas.openxmlformats.org/officeDocument/2006/relationships/hyperlink" Target="http://www.meleztea.com/" TargetMode="External"/><Relationship Id="rId23" Type="http://schemas.openxmlformats.org/officeDocument/2006/relationships/hyperlink" Target="http://www.eveshop.com.tr" TargetMode="External"/><Relationship Id="rId67" Type="http://schemas.openxmlformats.org/officeDocument/2006/relationships/hyperlink" Target="http://www.wmf.com.tr/" TargetMode="External"/><Relationship Id="rId60" Type="http://schemas.openxmlformats.org/officeDocument/2006/relationships/hyperlink" Target="http://www.poppinbubbletea.com/" TargetMode="External"/><Relationship Id="rId26" Type="http://schemas.openxmlformats.org/officeDocument/2006/relationships/hyperlink" Target="http://us.loropiana.com/en" TargetMode="External"/><Relationship Id="rId25" Type="http://schemas.openxmlformats.org/officeDocument/2006/relationships/hyperlink" Target="http://www.reyorganic.com" TargetMode="External"/><Relationship Id="rId69" Type="http://schemas.openxmlformats.org/officeDocument/2006/relationships/hyperlink" Target="http://www.zanzibarzorlu.com/" TargetMode="External"/><Relationship Id="rId28" Type="http://schemas.openxmlformats.org/officeDocument/2006/relationships/hyperlink" Target="http://www.reyorganic.com" TargetMode="External"/><Relationship Id="rId27" Type="http://schemas.openxmlformats.org/officeDocument/2006/relationships/hyperlink" Target="http://us.loropiana.com/en" TargetMode="External"/><Relationship Id="rId29" Type="http://schemas.openxmlformats.org/officeDocument/2006/relationships/hyperlink" Target="http://www.casa.com.tr" TargetMode="External"/><Relationship Id="rId51" Type="http://schemas.openxmlformats.org/officeDocument/2006/relationships/hyperlink" Target="http://www.fabianafilippi.com/" TargetMode="External"/><Relationship Id="rId50" Type="http://schemas.openxmlformats.org/officeDocument/2006/relationships/hyperlink" Target="http://www.penelopebedroom.com/" TargetMode="External"/><Relationship Id="rId53" Type="http://schemas.openxmlformats.org/officeDocument/2006/relationships/hyperlink" Target="http://www.kronotop.com.tr/" TargetMode="External"/><Relationship Id="rId52" Type="http://schemas.openxmlformats.org/officeDocument/2006/relationships/hyperlink" Target="http://www.fabianafilippi.com/" TargetMode="External"/><Relationship Id="rId11" Type="http://schemas.openxmlformats.org/officeDocument/2006/relationships/hyperlink" Target="http://www.tumi.com.tr" TargetMode="External"/><Relationship Id="rId55" Type="http://schemas.openxmlformats.org/officeDocument/2006/relationships/hyperlink" Target="http://www.tumi.com.tr" TargetMode="External"/><Relationship Id="rId10" Type="http://schemas.openxmlformats.org/officeDocument/2006/relationships/hyperlink" Target="https://sagaza.com/tr/" TargetMode="External"/><Relationship Id="rId54" Type="http://schemas.openxmlformats.org/officeDocument/2006/relationships/hyperlink" Target="http://www.kronotop.com.tr/" TargetMode="External"/><Relationship Id="rId13" Type="http://schemas.openxmlformats.org/officeDocument/2006/relationships/hyperlink" Target="http://www.edwards.com.tr" TargetMode="External"/><Relationship Id="rId57" Type="http://schemas.openxmlformats.org/officeDocument/2006/relationships/hyperlink" Target="http://www.fabianafilippi.com/" TargetMode="External"/><Relationship Id="rId12" Type="http://schemas.openxmlformats.org/officeDocument/2006/relationships/hyperlink" Target="http://us.loropiana.com/en" TargetMode="External"/><Relationship Id="rId56" Type="http://schemas.openxmlformats.org/officeDocument/2006/relationships/hyperlink" Target="https://www.lego.com/" TargetMode="External"/><Relationship Id="rId15" Type="http://schemas.openxmlformats.org/officeDocument/2006/relationships/hyperlink" Target="http://www.poppinbubbletea.com/" TargetMode="External"/><Relationship Id="rId59" Type="http://schemas.openxmlformats.org/officeDocument/2006/relationships/hyperlink" Target="http://www.bluemint.com/" TargetMode="External"/><Relationship Id="rId14" Type="http://schemas.openxmlformats.org/officeDocument/2006/relationships/hyperlink" Target="http://www.donerstop.com.tr" TargetMode="External"/><Relationship Id="rId58" Type="http://schemas.openxmlformats.org/officeDocument/2006/relationships/hyperlink" Target="http://www.etilermarmaris.com.tr" TargetMode="External"/><Relationship Id="rId17" Type="http://schemas.openxmlformats.org/officeDocument/2006/relationships/hyperlink" Target="http://www.ustadonerci.com/" TargetMode="External"/><Relationship Id="rId16" Type="http://schemas.openxmlformats.org/officeDocument/2006/relationships/hyperlink" Target="http://www.lesbenjamins.com/" TargetMode="External"/><Relationship Id="rId19" Type="http://schemas.openxmlformats.org/officeDocument/2006/relationships/hyperlink" Target="http://www.celine.com" TargetMode="External"/><Relationship Id="rId18" Type="http://schemas.openxmlformats.org/officeDocument/2006/relationships/hyperlink" Target="https://sagaza.com/tr/"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192.168.187.30:8000/sh.html?mode=kiosk&amp;from=K-203"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13"/>
    <col customWidth="1" min="2" max="2" width="30.0"/>
    <col customWidth="1" min="3" max="3" width="17.13"/>
    <col customWidth="1" min="4" max="4" width="15.0"/>
    <col customWidth="1" min="5" max="5" width="13.0"/>
    <col customWidth="1" min="6" max="6" width="15.13"/>
    <col customWidth="1" min="7" max="7" width="18.5"/>
    <col customWidth="1" min="8" max="9" width="22.75"/>
    <col customWidth="1" min="10" max="10" width="56.5"/>
    <col customWidth="1" min="12" max="12" width="22.75"/>
    <col customWidth="1" min="13" max="13" width="32.0"/>
  </cols>
  <sheetData>
    <row r="1" ht="15.75" customHeight="1">
      <c r="A1" s="1" t="s">
        <v>0</v>
      </c>
      <c r="B1" s="2" t="s">
        <v>1</v>
      </c>
      <c r="C1" s="2" t="s">
        <v>2</v>
      </c>
      <c r="D1" s="2" t="s">
        <v>3</v>
      </c>
      <c r="E1" s="2" t="s">
        <v>4</v>
      </c>
      <c r="F1" s="2" t="s">
        <v>5</v>
      </c>
      <c r="G1" s="2" t="s">
        <v>6</v>
      </c>
      <c r="H1" s="3" t="s">
        <v>7</v>
      </c>
      <c r="I1" s="3" t="s">
        <v>8</v>
      </c>
      <c r="J1" s="3" t="s">
        <v>9</v>
      </c>
      <c r="K1" s="3" t="s">
        <v>10</v>
      </c>
      <c r="L1" s="3" t="s">
        <v>11</v>
      </c>
      <c r="M1" s="4" t="s">
        <v>12</v>
      </c>
      <c r="N1" s="5"/>
      <c r="O1" s="5"/>
      <c r="P1" s="5"/>
      <c r="Q1" s="5"/>
      <c r="R1" s="5"/>
      <c r="S1" s="5"/>
      <c r="T1" s="5"/>
      <c r="U1" s="5"/>
      <c r="V1" s="5"/>
      <c r="W1" s="5"/>
      <c r="X1" s="5"/>
      <c r="Y1" s="5"/>
      <c r="Z1" s="5"/>
    </row>
    <row r="2" ht="15.75" customHeight="1">
      <c r="A2" s="6" t="s">
        <v>13</v>
      </c>
      <c r="B2" s="7" t="s">
        <v>14</v>
      </c>
      <c r="C2" s="7"/>
      <c r="D2" s="7"/>
      <c r="E2" s="7">
        <v>-3.0</v>
      </c>
      <c r="F2" s="7" t="s">
        <v>15</v>
      </c>
      <c r="G2" s="7" t="s">
        <v>16</v>
      </c>
      <c r="H2" s="8"/>
      <c r="I2" s="8"/>
      <c r="J2" s="8"/>
      <c r="K2" s="7"/>
      <c r="L2" s="8"/>
      <c r="M2" s="9"/>
      <c r="N2" s="10"/>
      <c r="O2" s="10"/>
      <c r="P2" s="10"/>
      <c r="Q2" s="10"/>
      <c r="R2" s="10"/>
      <c r="S2" s="10"/>
      <c r="T2" s="10"/>
      <c r="U2" s="10"/>
      <c r="V2" s="10"/>
      <c r="W2" s="10"/>
      <c r="X2" s="10"/>
      <c r="Y2" s="10"/>
      <c r="Z2" s="10"/>
    </row>
    <row r="3" ht="15.75" customHeight="1">
      <c r="A3" s="6" t="s">
        <v>13</v>
      </c>
      <c r="B3" s="7" t="s">
        <v>17</v>
      </c>
      <c r="C3" s="11" t="s">
        <v>18</v>
      </c>
      <c r="D3" s="7"/>
      <c r="E3" s="7">
        <v>-3.0</v>
      </c>
      <c r="F3" s="12" t="s">
        <v>19</v>
      </c>
      <c r="G3" s="7" t="s">
        <v>20</v>
      </c>
      <c r="H3" s="8" t="s">
        <v>21</v>
      </c>
      <c r="I3" s="7" t="s">
        <v>22</v>
      </c>
      <c r="J3" s="13" t="str">
        <f>CONCATENATE($M$1,$K3)</f>
        <v>https://inmapper.com/zorlucenter/img/logo/WILLIAMSCARCARE.png</v>
      </c>
      <c r="K3" s="7" t="s">
        <v>23</v>
      </c>
      <c r="L3" s="8" t="s">
        <v>24</v>
      </c>
      <c r="M3" s="9"/>
      <c r="N3" s="10"/>
      <c r="O3" s="10"/>
      <c r="P3" s="10"/>
      <c r="Q3" s="10"/>
      <c r="R3" s="10"/>
      <c r="S3" s="10"/>
      <c r="T3" s="10"/>
      <c r="U3" s="10"/>
      <c r="V3" s="10"/>
      <c r="W3" s="10"/>
      <c r="X3" s="10"/>
      <c r="Y3" s="10"/>
      <c r="Z3" s="10"/>
    </row>
    <row r="4" ht="15.75" customHeight="1">
      <c r="A4" s="6" t="s">
        <v>25</v>
      </c>
      <c r="B4" s="7" t="s">
        <v>26</v>
      </c>
      <c r="C4" s="7"/>
      <c r="D4" s="7"/>
      <c r="E4" s="7">
        <v>-3.0</v>
      </c>
      <c r="F4" s="7" t="s">
        <v>15</v>
      </c>
      <c r="G4" s="7" t="s">
        <v>27</v>
      </c>
      <c r="H4" s="8"/>
      <c r="I4" s="8"/>
      <c r="J4" s="8"/>
      <c r="K4" s="7"/>
      <c r="L4" s="8"/>
      <c r="M4" s="9"/>
      <c r="N4" s="10"/>
      <c r="O4" s="10"/>
      <c r="P4" s="10"/>
      <c r="Q4" s="10"/>
      <c r="R4" s="10"/>
      <c r="S4" s="10"/>
      <c r="T4" s="10"/>
      <c r="U4" s="10"/>
      <c r="V4" s="10"/>
      <c r="W4" s="10"/>
      <c r="X4" s="10"/>
      <c r="Y4" s="10"/>
      <c r="Z4" s="10"/>
    </row>
    <row r="5" ht="15.75" customHeight="1">
      <c r="A5" s="6" t="s">
        <v>28</v>
      </c>
      <c r="B5" s="7" t="s">
        <v>29</v>
      </c>
      <c r="C5" s="7"/>
      <c r="D5" s="7"/>
      <c r="E5" s="7">
        <v>-3.0</v>
      </c>
      <c r="F5" s="7" t="s">
        <v>15</v>
      </c>
      <c r="G5" s="7" t="s">
        <v>27</v>
      </c>
      <c r="H5" s="8"/>
      <c r="I5" s="8"/>
      <c r="J5" s="8"/>
      <c r="K5" s="7"/>
      <c r="L5" s="8"/>
      <c r="M5" s="9"/>
      <c r="N5" s="10"/>
      <c r="O5" s="10"/>
      <c r="P5" s="10"/>
      <c r="Q5" s="10"/>
      <c r="R5" s="10"/>
      <c r="S5" s="10"/>
      <c r="T5" s="10"/>
      <c r="U5" s="10"/>
      <c r="V5" s="10"/>
      <c r="W5" s="10"/>
      <c r="X5" s="10"/>
      <c r="Y5" s="10"/>
      <c r="Z5" s="10"/>
    </row>
    <row r="6" ht="15.75" customHeight="1">
      <c r="A6" s="6" t="s">
        <v>30</v>
      </c>
      <c r="B6" s="7" t="s">
        <v>26</v>
      </c>
      <c r="C6" s="7"/>
      <c r="D6" s="7"/>
      <c r="E6" s="7">
        <v>-3.0</v>
      </c>
      <c r="F6" s="7" t="s">
        <v>15</v>
      </c>
      <c r="G6" s="7" t="s">
        <v>27</v>
      </c>
      <c r="H6" s="8"/>
      <c r="I6" s="8"/>
      <c r="J6" s="8"/>
      <c r="K6" s="7"/>
      <c r="L6" s="8"/>
      <c r="M6" s="9"/>
      <c r="N6" s="10"/>
      <c r="O6" s="10"/>
      <c r="P6" s="10"/>
      <c r="Q6" s="10"/>
      <c r="R6" s="10"/>
      <c r="S6" s="10"/>
      <c r="T6" s="10"/>
      <c r="U6" s="10"/>
      <c r="V6" s="10"/>
      <c r="W6" s="10"/>
      <c r="X6" s="10"/>
      <c r="Y6" s="10"/>
      <c r="Z6" s="10"/>
    </row>
    <row r="7" ht="15.75" customHeight="1">
      <c r="A7" s="6" t="s">
        <v>31</v>
      </c>
      <c r="B7" s="7" t="s">
        <v>32</v>
      </c>
      <c r="C7" s="7"/>
      <c r="D7" s="7"/>
      <c r="E7" s="7">
        <v>-3.0</v>
      </c>
      <c r="F7" s="7" t="s">
        <v>15</v>
      </c>
      <c r="G7" s="7" t="s">
        <v>27</v>
      </c>
      <c r="H7" s="8"/>
      <c r="I7" s="8"/>
      <c r="J7" s="8"/>
      <c r="K7" s="7"/>
      <c r="L7" s="8"/>
      <c r="M7" s="9"/>
      <c r="N7" s="10"/>
      <c r="O7" s="10"/>
      <c r="P7" s="10"/>
      <c r="Q7" s="10"/>
      <c r="R7" s="10"/>
      <c r="S7" s="10"/>
      <c r="T7" s="10"/>
      <c r="U7" s="10"/>
      <c r="V7" s="10"/>
      <c r="W7" s="10"/>
      <c r="X7" s="10"/>
      <c r="Y7" s="10"/>
      <c r="Z7" s="10"/>
    </row>
    <row r="8" ht="15.75" customHeight="1">
      <c r="A8" s="6" t="s">
        <v>33</v>
      </c>
      <c r="B8" s="7" t="s">
        <v>34</v>
      </c>
      <c r="C8" s="7"/>
      <c r="D8" s="7"/>
      <c r="E8" s="7">
        <v>-3.0</v>
      </c>
      <c r="F8" s="7" t="s">
        <v>15</v>
      </c>
      <c r="G8" s="7" t="s">
        <v>27</v>
      </c>
      <c r="H8" s="8"/>
      <c r="I8" s="8"/>
      <c r="J8" s="8"/>
      <c r="K8" s="7"/>
      <c r="L8" s="8"/>
      <c r="M8" s="9"/>
      <c r="N8" s="10"/>
      <c r="O8" s="10"/>
      <c r="P8" s="10"/>
      <c r="Q8" s="10"/>
      <c r="R8" s="10"/>
      <c r="S8" s="10"/>
      <c r="T8" s="10"/>
      <c r="U8" s="10"/>
      <c r="V8" s="10"/>
      <c r="W8" s="10"/>
      <c r="X8" s="10"/>
      <c r="Y8" s="10"/>
      <c r="Z8" s="10"/>
    </row>
    <row r="9" ht="15.75" customHeight="1">
      <c r="A9" s="6" t="s">
        <v>35</v>
      </c>
      <c r="B9" s="7" t="s">
        <v>36</v>
      </c>
      <c r="C9" s="7"/>
      <c r="D9" s="7"/>
      <c r="E9" s="7">
        <v>-3.0</v>
      </c>
      <c r="F9" s="7" t="s">
        <v>15</v>
      </c>
      <c r="G9" s="7" t="s">
        <v>27</v>
      </c>
      <c r="H9" s="8"/>
      <c r="I9" s="8"/>
      <c r="J9" s="8"/>
      <c r="K9" s="7"/>
      <c r="L9" s="8"/>
      <c r="M9" s="9"/>
      <c r="N9" s="10"/>
      <c r="O9" s="10"/>
      <c r="P9" s="10"/>
      <c r="Q9" s="10"/>
      <c r="R9" s="10"/>
      <c r="S9" s="10"/>
      <c r="T9" s="10"/>
      <c r="U9" s="10"/>
      <c r="V9" s="10"/>
      <c r="W9" s="10"/>
      <c r="X9" s="10"/>
      <c r="Y9" s="10"/>
      <c r="Z9" s="10"/>
    </row>
    <row r="10" ht="15.75" customHeight="1">
      <c r="A10" s="6" t="s">
        <v>37</v>
      </c>
      <c r="B10" s="7" t="s">
        <v>38</v>
      </c>
      <c r="C10" s="7"/>
      <c r="D10" s="7"/>
      <c r="E10" s="7">
        <v>-3.0</v>
      </c>
      <c r="F10" s="12" t="s">
        <v>39</v>
      </c>
      <c r="G10" s="7" t="s">
        <v>40</v>
      </c>
      <c r="H10" s="8" t="s">
        <v>41</v>
      </c>
      <c r="I10" s="8" t="s">
        <v>42</v>
      </c>
      <c r="J10" s="13" t="str">
        <f t="shared" ref="J10:J22" si="1">CONCATENATE($M$1,$K10)</f>
        <v>https://inmapper.com/zorlucenter/img/logo/ETSTUR.png</v>
      </c>
      <c r="K10" s="7" t="s">
        <v>43</v>
      </c>
      <c r="L10" s="8" t="s">
        <v>44</v>
      </c>
      <c r="M10" s="9"/>
      <c r="N10" s="10"/>
      <c r="O10" s="10"/>
      <c r="P10" s="10"/>
      <c r="Q10" s="10"/>
      <c r="R10" s="10"/>
      <c r="S10" s="10"/>
      <c r="T10" s="10"/>
      <c r="U10" s="10"/>
      <c r="V10" s="10"/>
      <c r="W10" s="10"/>
      <c r="X10" s="10"/>
      <c r="Y10" s="10"/>
      <c r="Z10" s="10"/>
    </row>
    <row r="11" ht="15.75" customHeight="1">
      <c r="A11" s="6" t="s">
        <v>45</v>
      </c>
      <c r="B11" s="7" t="s">
        <v>46</v>
      </c>
      <c r="C11" s="7"/>
      <c r="D11" s="7"/>
      <c r="E11" s="7">
        <v>-3.0</v>
      </c>
      <c r="F11" s="12" t="s">
        <v>47</v>
      </c>
      <c r="G11" s="7" t="s">
        <v>48</v>
      </c>
      <c r="H11" s="8" t="s">
        <v>21</v>
      </c>
      <c r="I11" s="8" t="s">
        <v>49</v>
      </c>
      <c r="J11" s="13" t="str">
        <f t="shared" si="1"/>
        <v>https://inmapper.com/zorlucenter/img/logo/LEVENTLOSTRA.png</v>
      </c>
      <c r="K11" s="7" t="s">
        <v>50</v>
      </c>
      <c r="L11" s="8" t="s">
        <v>24</v>
      </c>
      <c r="M11" s="9"/>
      <c r="N11" s="10"/>
      <c r="O11" s="10"/>
      <c r="P11" s="10"/>
      <c r="Q11" s="10"/>
      <c r="R11" s="10"/>
      <c r="S11" s="10"/>
      <c r="T11" s="10"/>
      <c r="U11" s="10"/>
      <c r="V11" s="10"/>
      <c r="W11" s="10"/>
      <c r="X11" s="10"/>
      <c r="Y11" s="10"/>
      <c r="Z11" s="10"/>
    </row>
    <row r="12" ht="15.75" customHeight="1">
      <c r="A12" s="6" t="s">
        <v>51</v>
      </c>
      <c r="B12" s="7" t="s">
        <v>52</v>
      </c>
      <c r="C12" s="7"/>
      <c r="D12" s="7"/>
      <c r="E12" s="7">
        <v>-3.0</v>
      </c>
      <c r="F12" s="12" t="s">
        <v>53</v>
      </c>
      <c r="G12" s="7" t="s">
        <v>54</v>
      </c>
      <c r="H12" s="8" t="s">
        <v>21</v>
      </c>
      <c r="I12" s="8" t="s">
        <v>55</v>
      </c>
      <c r="J12" s="13" t="str">
        <f t="shared" si="1"/>
        <v>https://inmapper.com/zorlucenter/img/logo/DRYCORNER.png</v>
      </c>
      <c r="K12" s="7" t="s">
        <v>56</v>
      </c>
      <c r="L12" s="8" t="s">
        <v>24</v>
      </c>
      <c r="M12" s="9"/>
      <c r="N12" s="10"/>
      <c r="O12" s="10"/>
      <c r="P12" s="10"/>
      <c r="Q12" s="10"/>
      <c r="R12" s="10"/>
      <c r="S12" s="10"/>
      <c r="T12" s="10"/>
      <c r="U12" s="10"/>
      <c r="V12" s="10"/>
      <c r="W12" s="10"/>
      <c r="X12" s="10"/>
      <c r="Y12" s="10"/>
      <c r="Z12" s="10"/>
    </row>
    <row r="13" ht="15.75" customHeight="1">
      <c r="A13" s="6" t="s">
        <v>57</v>
      </c>
      <c r="B13" s="7" t="s">
        <v>58</v>
      </c>
      <c r="C13" s="7"/>
      <c r="D13" s="7"/>
      <c r="E13" s="7">
        <v>-3.0</v>
      </c>
      <c r="F13" s="12" t="s">
        <v>59</v>
      </c>
      <c r="G13" s="7" t="s">
        <v>60</v>
      </c>
      <c r="H13" s="8" t="s">
        <v>21</v>
      </c>
      <c r="I13" s="14" t="s">
        <v>61</v>
      </c>
      <c r="J13" s="13" t="str">
        <f t="shared" si="1"/>
        <v>https://inmapper.com/zorlucenter/img/logo/ZTERZİ.png</v>
      </c>
      <c r="K13" s="7" t="s">
        <v>62</v>
      </c>
      <c r="L13" s="8" t="s">
        <v>24</v>
      </c>
      <c r="M13" s="9"/>
      <c r="N13" s="15"/>
      <c r="O13" s="10"/>
      <c r="P13" s="10"/>
      <c r="Q13" s="10"/>
      <c r="R13" s="16"/>
      <c r="S13" s="10"/>
      <c r="T13" s="10"/>
      <c r="U13" s="10"/>
      <c r="V13" s="10"/>
      <c r="W13" s="10"/>
      <c r="X13" s="10"/>
      <c r="Y13" s="10"/>
      <c r="Z13" s="10"/>
    </row>
    <row r="14" ht="15.75" customHeight="1">
      <c r="A14" s="6" t="s">
        <v>63</v>
      </c>
      <c r="B14" s="7" t="s">
        <v>64</v>
      </c>
      <c r="C14" s="7"/>
      <c r="D14" s="7"/>
      <c r="E14" s="7">
        <v>-3.0</v>
      </c>
      <c r="F14" s="17" t="s">
        <v>65</v>
      </c>
      <c r="G14" s="7" t="s">
        <v>66</v>
      </c>
      <c r="H14" s="8" t="s">
        <v>67</v>
      </c>
      <c r="I14" s="8" t="s">
        <v>68</v>
      </c>
      <c r="J14" s="13" t="str">
        <f t="shared" si="1"/>
        <v>https://inmapper.com/zorlucenter/img/logo/ROSSMANN.png</v>
      </c>
      <c r="K14" s="7" t="s">
        <v>69</v>
      </c>
      <c r="L14" s="8" t="s">
        <v>70</v>
      </c>
      <c r="M14" s="9"/>
      <c r="N14" s="10"/>
      <c r="O14" s="10"/>
      <c r="P14" s="10"/>
      <c r="Q14" s="10"/>
      <c r="R14" s="10"/>
      <c r="S14" s="10"/>
      <c r="T14" s="10"/>
      <c r="U14" s="10"/>
      <c r="V14" s="10"/>
      <c r="W14" s="10"/>
      <c r="X14" s="10"/>
      <c r="Y14" s="10"/>
      <c r="Z14" s="10"/>
    </row>
    <row r="15" ht="15.75" customHeight="1">
      <c r="A15" s="6" t="s">
        <v>71</v>
      </c>
      <c r="B15" s="18" t="s">
        <v>72</v>
      </c>
      <c r="C15" s="18"/>
      <c r="D15" s="7"/>
      <c r="E15" s="18">
        <v>-3.0</v>
      </c>
      <c r="F15" s="12" t="s">
        <v>73</v>
      </c>
      <c r="G15" s="18" t="s">
        <v>74</v>
      </c>
      <c r="H15" s="8" t="s">
        <v>21</v>
      </c>
      <c r="I15" s="8"/>
      <c r="J15" s="13" t="str">
        <f t="shared" si="1"/>
        <v>https://inmapper.com/zorlucenter/img/logo/VENNUS.png</v>
      </c>
      <c r="K15" s="9" t="s">
        <v>75</v>
      </c>
      <c r="L15" s="8" t="s">
        <v>24</v>
      </c>
      <c r="M15" s="19"/>
      <c r="N15" s="20"/>
      <c r="O15" s="10"/>
      <c r="P15" s="10"/>
      <c r="Q15" s="10"/>
      <c r="R15" s="10"/>
      <c r="S15" s="10"/>
      <c r="T15" s="10"/>
      <c r="U15" s="10"/>
      <c r="V15" s="10"/>
      <c r="W15" s="10"/>
      <c r="X15" s="10"/>
      <c r="Y15" s="10"/>
      <c r="Z15" s="10"/>
    </row>
    <row r="16" ht="15.75" customHeight="1">
      <c r="A16" s="6" t="s">
        <v>76</v>
      </c>
      <c r="B16" s="18" t="s">
        <v>77</v>
      </c>
      <c r="C16" s="7"/>
      <c r="D16" s="7"/>
      <c r="E16" s="7">
        <v>-3.0</v>
      </c>
      <c r="F16" s="12" t="s">
        <v>78</v>
      </c>
      <c r="G16" s="7" t="s">
        <v>79</v>
      </c>
      <c r="H16" s="8" t="s">
        <v>41</v>
      </c>
      <c r="I16" s="8"/>
      <c r="J16" s="13" t="str">
        <f t="shared" si="1"/>
        <v>https://inmapper.com/zorlucenter/img/logo/BALONIKA.png</v>
      </c>
      <c r="K16" s="18" t="s">
        <v>80</v>
      </c>
      <c r="L16" s="8" t="s">
        <v>44</v>
      </c>
      <c r="M16" s="9"/>
      <c r="N16" s="10"/>
      <c r="O16" s="10"/>
      <c r="P16" s="10"/>
      <c r="Q16" s="10"/>
      <c r="R16" s="10"/>
      <c r="S16" s="10"/>
      <c r="T16" s="10"/>
      <c r="U16" s="10"/>
      <c r="V16" s="10"/>
      <c r="W16" s="10"/>
      <c r="X16" s="10"/>
      <c r="Y16" s="10"/>
      <c r="Z16" s="10"/>
    </row>
    <row r="17" ht="15.75" customHeight="1">
      <c r="A17" s="21" t="s">
        <v>81</v>
      </c>
      <c r="B17" s="18" t="s">
        <v>82</v>
      </c>
      <c r="C17" s="7"/>
      <c r="D17" s="7"/>
      <c r="E17" s="7">
        <v>-3.0</v>
      </c>
      <c r="F17" s="17" t="s">
        <v>83</v>
      </c>
      <c r="G17" s="18" t="s">
        <v>84</v>
      </c>
      <c r="H17" s="8" t="s">
        <v>21</v>
      </c>
      <c r="I17" s="8"/>
      <c r="J17" s="13" t="str">
        <f t="shared" si="1"/>
        <v>https://inmapper.com/zorlucenter/img/logo/USTASAAT.png</v>
      </c>
      <c r="K17" s="18" t="s">
        <v>85</v>
      </c>
      <c r="L17" s="8" t="s">
        <v>24</v>
      </c>
      <c r="M17" s="19"/>
      <c r="N17" s="20"/>
      <c r="O17" s="10"/>
      <c r="P17" s="10"/>
      <c r="Q17" s="10"/>
      <c r="R17" s="10"/>
      <c r="S17" s="10"/>
      <c r="T17" s="10"/>
      <c r="U17" s="10"/>
      <c r="V17" s="10"/>
      <c r="W17" s="10"/>
      <c r="X17" s="10"/>
      <c r="Y17" s="10"/>
      <c r="Z17" s="10"/>
    </row>
    <row r="18" ht="15.75" customHeight="1">
      <c r="A18" s="6" t="s">
        <v>86</v>
      </c>
      <c r="B18" s="7" t="s">
        <v>87</v>
      </c>
      <c r="C18" s="7"/>
      <c r="D18" s="7"/>
      <c r="E18" s="7">
        <v>-3.0</v>
      </c>
      <c r="F18" s="12" t="s">
        <v>88</v>
      </c>
      <c r="G18" s="7" t="s">
        <v>89</v>
      </c>
      <c r="H18" s="8" t="s">
        <v>90</v>
      </c>
      <c r="I18" s="9"/>
      <c r="J18" s="13" t="str">
        <f t="shared" si="1"/>
        <v>https://inmapper.com/zorlucenter/img/logo/URANUS.png</v>
      </c>
      <c r="K18" s="7" t="s">
        <v>91</v>
      </c>
      <c r="L18" s="8" t="s">
        <v>92</v>
      </c>
      <c r="M18" s="9"/>
      <c r="N18" s="15"/>
      <c r="O18" s="10"/>
      <c r="P18" s="10"/>
      <c r="Q18" s="10"/>
      <c r="R18" s="16"/>
      <c r="S18" s="10"/>
      <c r="T18" s="10"/>
      <c r="U18" s="10"/>
      <c r="V18" s="10"/>
      <c r="W18" s="10"/>
      <c r="X18" s="10"/>
      <c r="Y18" s="10"/>
      <c r="Z18" s="10"/>
    </row>
    <row r="19" ht="15.75" customHeight="1">
      <c r="A19" s="6" t="s">
        <v>93</v>
      </c>
      <c r="B19" s="7" t="s">
        <v>94</v>
      </c>
      <c r="C19" s="7"/>
      <c r="D19" s="7" t="s">
        <v>86</v>
      </c>
      <c r="E19" s="7">
        <v>-3.0</v>
      </c>
      <c r="F19" s="12" t="s">
        <v>95</v>
      </c>
      <c r="G19" s="7" t="s">
        <v>96</v>
      </c>
      <c r="H19" s="8" t="s">
        <v>90</v>
      </c>
      <c r="I19" s="22" t="s">
        <v>97</v>
      </c>
      <c r="J19" s="13" t="str">
        <f t="shared" si="1"/>
        <v>https://inmapper.com/zorlucenter/img/logo/MEDIAMARKT.png</v>
      </c>
      <c r="K19" s="7" t="s">
        <v>98</v>
      </c>
      <c r="L19" s="8" t="s">
        <v>92</v>
      </c>
      <c r="M19" s="9"/>
      <c r="N19" s="15"/>
      <c r="O19" s="10"/>
      <c r="P19" s="10"/>
      <c r="Q19" s="10"/>
      <c r="R19" s="16"/>
      <c r="S19" s="10"/>
      <c r="T19" s="10"/>
      <c r="U19" s="10"/>
      <c r="V19" s="10"/>
      <c r="W19" s="10"/>
      <c r="X19" s="10"/>
      <c r="Y19" s="10"/>
      <c r="Z19" s="10"/>
    </row>
    <row r="20" ht="15.75" customHeight="1">
      <c r="A20" s="6" t="s">
        <v>99</v>
      </c>
      <c r="B20" s="18" t="s">
        <v>100</v>
      </c>
      <c r="C20" s="7"/>
      <c r="D20" s="7"/>
      <c r="E20" s="7">
        <v>-3.0</v>
      </c>
      <c r="F20" s="18" t="s">
        <v>15</v>
      </c>
      <c r="G20" s="18"/>
      <c r="H20" s="8" t="s">
        <v>67</v>
      </c>
      <c r="I20" s="23" t="s">
        <v>101</v>
      </c>
      <c r="J20" s="13" t="str">
        <f t="shared" si="1"/>
        <v>https://inmapper.com/zorlucenter/img/logo/EVE.png</v>
      </c>
      <c r="K20" s="18" t="s">
        <v>102</v>
      </c>
      <c r="L20" s="8" t="s">
        <v>70</v>
      </c>
      <c r="M20" s="9"/>
      <c r="N20" s="15"/>
      <c r="O20" s="10"/>
      <c r="P20" s="10"/>
      <c r="Q20" s="10"/>
      <c r="R20" s="16"/>
      <c r="S20" s="10"/>
      <c r="T20" s="10"/>
      <c r="U20" s="10"/>
      <c r="V20" s="10"/>
      <c r="W20" s="10"/>
      <c r="X20" s="10"/>
      <c r="Y20" s="10"/>
      <c r="Z20" s="10"/>
    </row>
    <row r="21" ht="15.75" customHeight="1">
      <c r="A21" s="6" t="s">
        <v>103</v>
      </c>
      <c r="B21" s="18" t="s">
        <v>104</v>
      </c>
      <c r="C21" s="7"/>
      <c r="D21" s="7"/>
      <c r="E21" s="18">
        <v>-3.0</v>
      </c>
      <c r="F21" s="17" t="s">
        <v>105</v>
      </c>
      <c r="G21" s="7" t="s">
        <v>60</v>
      </c>
      <c r="H21" s="8" t="s">
        <v>21</v>
      </c>
      <c r="I21" s="24"/>
      <c r="J21" s="13" t="str">
        <f t="shared" si="1"/>
        <v>https://inmapper.com/zorlucenter/img/logo/ERKANTAS.png</v>
      </c>
      <c r="K21" s="18" t="s">
        <v>106</v>
      </c>
      <c r="L21" s="8" t="s">
        <v>24</v>
      </c>
      <c r="M21" s="24"/>
      <c r="N21" s="25"/>
      <c r="O21" s="10"/>
      <c r="P21" s="10"/>
      <c r="Q21" s="10"/>
      <c r="R21" s="16"/>
      <c r="S21" s="10"/>
      <c r="T21" s="10"/>
      <c r="U21" s="10"/>
      <c r="V21" s="10"/>
      <c r="W21" s="10"/>
      <c r="X21" s="10"/>
      <c r="Y21" s="10"/>
      <c r="Z21" s="10"/>
    </row>
    <row r="22" ht="15.75" customHeight="1">
      <c r="A22" s="26" t="s">
        <v>107</v>
      </c>
      <c r="B22" s="27" t="s">
        <v>108</v>
      </c>
      <c r="C22" s="28"/>
      <c r="D22" s="28"/>
      <c r="E22" s="29">
        <v>-3.0</v>
      </c>
      <c r="F22" s="30" t="s">
        <v>109</v>
      </c>
      <c r="G22" s="31" t="s">
        <v>110</v>
      </c>
      <c r="H22" s="32" t="s">
        <v>21</v>
      </c>
      <c r="I22" s="32" t="s">
        <v>111</v>
      </c>
      <c r="J22" s="32" t="str">
        <f t="shared" si="1"/>
        <v>https://inmapper.com/zorlucenter/img/logo/YALÇINLAR.png</v>
      </c>
      <c r="K22" s="27" t="s">
        <v>112</v>
      </c>
      <c r="L22" s="32" t="s">
        <v>24</v>
      </c>
      <c r="M22" s="28"/>
      <c r="N22" s="33"/>
      <c r="O22" s="28"/>
      <c r="P22" s="28"/>
      <c r="Q22" s="28"/>
      <c r="R22" s="33"/>
      <c r="S22" s="28"/>
      <c r="T22" s="28"/>
      <c r="U22" s="28"/>
      <c r="V22" s="28"/>
      <c r="W22" s="28"/>
      <c r="X22" s="28"/>
      <c r="Y22" s="28"/>
      <c r="Z22" s="28"/>
    </row>
    <row r="23" ht="15.75" customHeight="1">
      <c r="A23" s="26" t="s">
        <v>113</v>
      </c>
      <c r="B23" s="7" t="s">
        <v>114</v>
      </c>
      <c r="C23" s="34" t="s">
        <v>115</v>
      </c>
      <c r="D23" s="7"/>
      <c r="E23" s="18">
        <v>-3.0</v>
      </c>
      <c r="F23" s="12" t="s">
        <v>116</v>
      </c>
      <c r="G23" s="7" t="s">
        <v>117</v>
      </c>
      <c r="H23" s="8" t="s">
        <v>41</v>
      </c>
      <c r="I23" s="8"/>
      <c r="J23" s="8"/>
      <c r="K23" s="7"/>
      <c r="L23" s="8" t="s">
        <v>44</v>
      </c>
      <c r="M23" s="9"/>
      <c r="N23" s="10"/>
      <c r="O23" s="10"/>
      <c r="P23" s="10"/>
      <c r="Q23" s="10"/>
      <c r="R23" s="10"/>
      <c r="S23" s="10"/>
      <c r="T23" s="10"/>
      <c r="U23" s="10"/>
      <c r="V23" s="10"/>
      <c r="W23" s="10"/>
      <c r="X23" s="10"/>
      <c r="Y23" s="10"/>
      <c r="Z23" s="10"/>
    </row>
    <row r="24" ht="15.75" customHeight="1">
      <c r="A24" s="26" t="s">
        <v>118</v>
      </c>
      <c r="B24" s="27" t="s">
        <v>119</v>
      </c>
      <c r="C24" s="28"/>
      <c r="D24" s="28"/>
      <c r="E24" s="29">
        <v>-3.0</v>
      </c>
      <c r="F24" s="35" t="s">
        <v>120</v>
      </c>
      <c r="G24" s="31" t="s">
        <v>121</v>
      </c>
      <c r="H24" s="32" t="s">
        <v>122</v>
      </c>
      <c r="I24" s="36" t="s">
        <v>123</v>
      </c>
      <c r="J24" s="37" t="str">
        <f>CONCATENATE($M$1,$K24)</f>
        <v>https://inmapper.com/zorlucenter/img/logo/PENELOPE.png</v>
      </c>
      <c r="K24" s="31" t="s">
        <v>124</v>
      </c>
      <c r="L24" s="32" t="s">
        <v>125</v>
      </c>
      <c r="M24" s="38"/>
      <c r="N24" s="28"/>
      <c r="O24" s="28"/>
      <c r="P24" s="28"/>
      <c r="Q24" s="28"/>
      <c r="R24" s="28"/>
      <c r="S24" s="28"/>
      <c r="T24" s="28"/>
      <c r="U24" s="28"/>
      <c r="V24" s="28"/>
      <c r="W24" s="28"/>
      <c r="X24" s="28"/>
      <c r="Y24" s="28"/>
      <c r="Z24" s="28"/>
    </row>
    <row r="25" ht="15.75" customHeight="1">
      <c r="A25" s="21" t="s">
        <v>126</v>
      </c>
      <c r="B25" s="18" t="s">
        <v>127</v>
      </c>
      <c r="C25" s="28"/>
      <c r="D25" s="28"/>
      <c r="E25" s="29">
        <v>-3.0</v>
      </c>
      <c r="F25" s="39" t="s">
        <v>15</v>
      </c>
      <c r="G25" s="39" t="s">
        <v>128</v>
      </c>
      <c r="H25" s="8" t="s">
        <v>129</v>
      </c>
      <c r="I25" s="32"/>
      <c r="J25" s="37"/>
      <c r="K25" s="31"/>
      <c r="L25" s="32" t="s">
        <v>24</v>
      </c>
      <c r="M25" s="38"/>
      <c r="N25" s="28"/>
      <c r="O25" s="28"/>
      <c r="P25" s="28"/>
      <c r="Q25" s="28"/>
      <c r="R25" s="28"/>
      <c r="S25" s="28"/>
      <c r="T25" s="28"/>
      <c r="U25" s="28"/>
      <c r="V25" s="28"/>
      <c r="W25" s="28"/>
      <c r="X25" s="28"/>
      <c r="Y25" s="28"/>
      <c r="Z25" s="28"/>
    </row>
    <row r="26" ht="15.75" customHeight="1">
      <c r="A26" s="6" t="s">
        <v>130</v>
      </c>
      <c r="B26" s="7" t="s">
        <v>131</v>
      </c>
      <c r="C26" s="7"/>
      <c r="D26" s="7"/>
      <c r="E26" s="7">
        <v>-3.0</v>
      </c>
      <c r="F26" s="7" t="s">
        <v>15</v>
      </c>
      <c r="G26" s="7" t="s">
        <v>132</v>
      </c>
      <c r="H26" s="8"/>
      <c r="I26" s="8"/>
      <c r="J26" s="9"/>
      <c r="K26" s="8"/>
      <c r="L26" s="8"/>
      <c r="M26" s="9"/>
      <c r="N26" s="10"/>
      <c r="O26" s="10"/>
      <c r="P26" s="10"/>
      <c r="Q26" s="10"/>
      <c r="R26" s="10"/>
      <c r="S26" s="10"/>
      <c r="T26" s="10"/>
      <c r="U26" s="10"/>
      <c r="V26" s="10"/>
      <c r="W26" s="10"/>
      <c r="X26" s="10"/>
      <c r="Y26" s="10"/>
      <c r="Z26" s="10"/>
    </row>
    <row r="27" ht="15.75" customHeight="1">
      <c r="A27" s="6" t="s">
        <v>133</v>
      </c>
      <c r="B27" s="7" t="s">
        <v>134</v>
      </c>
      <c r="C27" s="7"/>
      <c r="D27" s="7"/>
      <c r="E27" s="7">
        <v>-2.0</v>
      </c>
      <c r="F27" s="7" t="s">
        <v>15</v>
      </c>
      <c r="G27" s="7" t="s">
        <v>135</v>
      </c>
      <c r="H27" s="8"/>
      <c r="I27" s="8"/>
      <c r="J27" s="8"/>
      <c r="K27" s="7"/>
      <c r="L27" s="8"/>
      <c r="M27" s="9"/>
      <c r="N27" s="10"/>
      <c r="O27" s="10"/>
      <c r="P27" s="10"/>
      <c r="Q27" s="10"/>
      <c r="R27" s="10"/>
      <c r="S27" s="10"/>
      <c r="T27" s="10"/>
      <c r="U27" s="10"/>
      <c r="V27" s="10"/>
      <c r="W27" s="10"/>
      <c r="X27" s="10"/>
      <c r="Y27" s="10"/>
      <c r="Z27" s="10"/>
    </row>
    <row r="28" ht="15.75" customHeight="1">
      <c r="A28" s="6" t="s">
        <v>136</v>
      </c>
      <c r="B28" s="7" t="s">
        <v>134</v>
      </c>
      <c r="C28" s="7"/>
      <c r="D28" s="7"/>
      <c r="E28" s="7">
        <v>-2.0</v>
      </c>
      <c r="F28" s="7" t="s">
        <v>15</v>
      </c>
      <c r="G28" s="7" t="s">
        <v>135</v>
      </c>
      <c r="H28" s="8"/>
      <c r="I28" s="8"/>
      <c r="J28" s="8"/>
      <c r="K28" s="7"/>
      <c r="L28" s="8"/>
      <c r="M28" s="9"/>
      <c r="N28" s="10"/>
      <c r="O28" s="10"/>
      <c r="P28" s="10"/>
      <c r="Q28" s="10"/>
      <c r="R28" s="10"/>
      <c r="S28" s="10"/>
      <c r="T28" s="10"/>
      <c r="U28" s="10"/>
      <c r="V28" s="10"/>
      <c r="W28" s="10"/>
      <c r="X28" s="10"/>
      <c r="Y28" s="10"/>
      <c r="Z28" s="10"/>
    </row>
    <row r="29" ht="15.75" customHeight="1">
      <c r="A29" s="6" t="s">
        <v>137</v>
      </c>
      <c r="B29" s="18" t="s">
        <v>138</v>
      </c>
      <c r="C29" s="7"/>
      <c r="D29" s="7"/>
      <c r="E29" s="7">
        <v>-2.0</v>
      </c>
      <c r="F29" s="12" t="s">
        <v>139</v>
      </c>
      <c r="G29" s="7" t="s">
        <v>140</v>
      </c>
      <c r="H29" s="8" t="s">
        <v>21</v>
      </c>
      <c r="I29" s="9"/>
      <c r="J29" s="8" t="str">
        <f t="shared" ref="J29:J45" si="2">CONCATENATE($M$1,$K29)</f>
        <v>https://inmapper.com/zorlucenter/img/logo/ZORDÖVİZ.png</v>
      </c>
      <c r="K29" s="7" t="s">
        <v>141</v>
      </c>
      <c r="L29" s="8" t="s">
        <v>24</v>
      </c>
      <c r="M29" s="9"/>
      <c r="N29" s="10"/>
      <c r="O29" s="10"/>
      <c r="P29" s="10"/>
      <c r="Q29" s="10"/>
      <c r="R29" s="10"/>
      <c r="S29" s="10"/>
      <c r="T29" s="10"/>
      <c r="U29" s="10"/>
      <c r="V29" s="10"/>
      <c r="W29" s="10"/>
      <c r="X29" s="10"/>
      <c r="Y29" s="10"/>
      <c r="Z29" s="10"/>
    </row>
    <row r="30" ht="15.75" customHeight="1">
      <c r="A30" s="6" t="s">
        <v>142</v>
      </c>
      <c r="B30" s="18" t="s">
        <v>143</v>
      </c>
      <c r="C30" s="7"/>
      <c r="D30" s="7"/>
      <c r="E30" s="7">
        <v>-2.0</v>
      </c>
      <c r="F30" s="12" t="s">
        <v>144</v>
      </c>
      <c r="G30" s="18" t="s">
        <v>145</v>
      </c>
      <c r="H30" s="8" t="s">
        <v>41</v>
      </c>
      <c r="I30" s="40" t="s">
        <v>146</v>
      </c>
      <c r="J30" s="13" t="str">
        <f t="shared" si="2"/>
        <v>https://inmapper.com/zorlucenter/img/logo/PARIBUCINEVERSE.png</v>
      </c>
      <c r="K30" s="18" t="s">
        <v>147</v>
      </c>
      <c r="L30" s="8" t="s">
        <v>44</v>
      </c>
      <c r="M30" s="9"/>
      <c r="N30" s="10"/>
      <c r="O30" s="10"/>
      <c r="P30" s="10"/>
      <c r="Q30" s="10"/>
      <c r="R30" s="10"/>
      <c r="S30" s="10"/>
      <c r="T30" s="10"/>
      <c r="U30" s="10"/>
      <c r="V30" s="10"/>
      <c r="W30" s="10"/>
      <c r="X30" s="10"/>
      <c r="Y30" s="10"/>
      <c r="Z30" s="10"/>
    </row>
    <row r="31" ht="15.75" customHeight="1">
      <c r="A31" s="6" t="s">
        <v>148</v>
      </c>
      <c r="B31" s="7" t="s">
        <v>149</v>
      </c>
      <c r="C31" s="7"/>
      <c r="D31" s="7"/>
      <c r="E31" s="7">
        <v>-2.0</v>
      </c>
      <c r="F31" s="12" t="s">
        <v>150</v>
      </c>
      <c r="G31" s="7" t="s">
        <v>151</v>
      </c>
      <c r="H31" s="8" t="s">
        <v>152</v>
      </c>
      <c r="I31" s="8" t="s">
        <v>153</v>
      </c>
      <c r="J31" s="13" t="str">
        <f t="shared" si="2"/>
        <v>https://inmapper.com/zorlucenter/img/logo/HOUSEOFDESIGN.png</v>
      </c>
      <c r="K31" s="7" t="s">
        <v>154</v>
      </c>
      <c r="L31" s="8" t="s">
        <v>155</v>
      </c>
      <c r="M31" s="9"/>
      <c r="N31" s="10"/>
      <c r="O31" s="10"/>
      <c r="P31" s="10"/>
      <c r="Q31" s="10"/>
      <c r="R31" s="10"/>
      <c r="S31" s="10"/>
      <c r="T31" s="10"/>
      <c r="U31" s="10"/>
      <c r="V31" s="10"/>
      <c r="W31" s="10"/>
      <c r="X31" s="10"/>
      <c r="Y31" s="10"/>
      <c r="Z31" s="10"/>
    </row>
    <row r="32" ht="15.75" customHeight="1">
      <c r="A32" s="6" t="s">
        <v>156</v>
      </c>
      <c r="B32" s="7" t="s">
        <v>157</v>
      </c>
      <c r="C32" s="7"/>
      <c r="D32" s="7"/>
      <c r="E32" s="7">
        <v>-2.0</v>
      </c>
      <c r="F32" s="12" t="s">
        <v>158</v>
      </c>
      <c r="G32" s="7" t="s">
        <v>159</v>
      </c>
      <c r="H32" s="8" t="s">
        <v>160</v>
      </c>
      <c r="I32" s="8" t="s">
        <v>161</v>
      </c>
      <c r="J32" s="13" t="str">
        <f t="shared" si="2"/>
        <v>https://inmapper.com/zorlucenter/img/logo/DAGİ.png</v>
      </c>
      <c r="K32" s="7" t="s">
        <v>162</v>
      </c>
      <c r="L32" s="8" t="s">
        <v>163</v>
      </c>
      <c r="M32" s="9"/>
      <c r="N32" s="10"/>
      <c r="O32" s="10"/>
      <c r="P32" s="10"/>
      <c r="Q32" s="10"/>
      <c r="R32" s="10"/>
      <c r="S32" s="10"/>
      <c r="T32" s="10"/>
      <c r="U32" s="10"/>
      <c r="V32" s="10"/>
      <c r="W32" s="10"/>
      <c r="X32" s="10"/>
      <c r="Y32" s="10"/>
      <c r="Z32" s="10"/>
    </row>
    <row r="33" ht="15.75" customHeight="1">
      <c r="A33" s="6" t="s">
        <v>164</v>
      </c>
      <c r="B33" s="7" t="s">
        <v>165</v>
      </c>
      <c r="C33" s="7"/>
      <c r="D33" s="7"/>
      <c r="E33" s="7">
        <v>-2.0</v>
      </c>
      <c r="F33" s="12" t="s">
        <v>166</v>
      </c>
      <c r="G33" s="7" t="s">
        <v>167</v>
      </c>
      <c r="H33" s="8" t="s">
        <v>168</v>
      </c>
      <c r="I33" s="8" t="s">
        <v>169</v>
      </c>
      <c r="J33" s="13" t="str">
        <f t="shared" si="2"/>
        <v>https://inmapper.com/zorlucenter/img/logo/TARTINEETCHOCOLAT.png</v>
      </c>
      <c r="K33" s="9" t="s">
        <v>170</v>
      </c>
      <c r="L33" s="8" t="s">
        <v>171</v>
      </c>
      <c r="M33" s="9"/>
      <c r="N33" s="10"/>
      <c r="O33" s="10"/>
      <c r="P33" s="10"/>
      <c r="Q33" s="10"/>
      <c r="R33" s="10"/>
      <c r="S33" s="10"/>
      <c r="T33" s="10"/>
      <c r="U33" s="10"/>
      <c r="V33" s="10"/>
      <c r="W33" s="10"/>
      <c r="X33" s="10"/>
      <c r="Y33" s="10"/>
      <c r="Z33" s="10"/>
    </row>
    <row r="34" ht="15.75" customHeight="1">
      <c r="A34" s="6" t="s">
        <v>172</v>
      </c>
      <c r="B34" s="7" t="s">
        <v>173</v>
      </c>
      <c r="C34" s="7"/>
      <c r="D34" s="7"/>
      <c r="E34" s="7">
        <v>-2.0</v>
      </c>
      <c r="F34" s="12" t="s">
        <v>174</v>
      </c>
      <c r="G34" s="7" t="s">
        <v>175</v>
      </c>
      <c r="H34" s="8" t="s">
        <v>176</v>
      </c>
      <c r="I34" s="8" t="s">
        <v>177</v>
      </c>
      <c r="J34" s="13" t="str">
        <f t="shared" si="2"/>
        <v>https://inmapper.com/zorlucenter/img/logo/SKECHERS.png</v>
      </c>
      <c r="K34" s="7" t="s">
        <v>178</v>
      </c>
      <c r="L34" s="8" t="s">
        <v>179</v>
      </c>
      <c r="M34" s="9"/>
      <c r="N34" s="10"/>
      <c r="O34" s="10"/>
      <c r="P34" s="10"/>
      <c r="Q34" s="10"/>
      <c r="R34" s="10"/>
      <c r="S34" s="10"/>
      <c r="T34" s="10"/>
      <c r="U34" s="10"/>
      <c r="V34" s="10"/>
      <c r="W34" s="10"/>
      <c r="X34" s="10"/>
      <c r="Y34" s="10"/>
      <c r="Z34" s="10"/>
    </row>
    <row r="35" ht="15.75" customHeight="1">
      <c r="A35" s="6" t="s">
        <v>180</v>
      </c>
      <c r="B35" s="7" t="s">
        <v>181</v>
      </c>
      <c r="C35" s="7"/>
      <c r="D35" s="7"/>
      <c r="E35" s="7">
        <v>-2.0</v>
      </c>
      <c r="F35" s="12" t="s">
        <v>182</v>
      </c>
      <c r="G35" s="7" t="s">
        <v>183</v>
      </c>
      <c r="H35" s="8" t="s">
        <v>184</v>
      </c>
      <c r="I35" s="8" t="s">
        <v>185</v>
      </c>
      <c r="J35" s="13" t="str">
        <f t="shared" si="2"/>
        <v>https://inmapper.com/zorlucenter/img/logo/STARBUCKS.png</v>
      </c>
      <c r="K35" s="7" t="s">
        <v>186</v>
      </c>
      <c r="L35" s="8" t="s">
        <v>187</v>
      </c>
      <c r="M35" s="9"/>
      <c r="N35" s="10"/>
      <c r="O35" s="10"/>
      <c r="P35" s="10"/>
      <c r="Q35" s="10"/>
      <c r="R35" s="10"/>
      <c r="S35" s="10"/>
      <c r="T35" s="10"/>
      <c r="U35" s="10"/>
      <c r="V35" s="10"/>
      <c r="W35" s="10"/>
      <c r="X35" s="10"/>
      <c r="Y35" s="10"/>
      <c r="Z35" s="10"/>
    </row>
    <row r="36" ht="15.75" customHeight="1">
      <c r="A36" s="21" t="s">
        <v>188</v>
      </c>
      <c r="B36" s="18" t="s">
        <v>189</v>
      </c>
      <c r="C36" s="18"/>
      <c r="D36" s="7"/>
      <c r="E36" s="18">
        <v>-2.0</v>
      </c>
      <c r="F36" s="18" t="s">
        <v>15</v>
      </c>
      <c r="G36" s="7"/>
      <c r="H36" s="8" t="s">
        <v>176</v>
      </c>
      <c r="I36" s="41" t="s">
        <v>190</v>
      </c>
      <c r="J36" s="13" t="str">
        <f t="shared" si="2"/>
        <v>https://inmapper.com/zorlucenter/img/logo/HOUSEOFSUPERSTEP.png</v>
      </c>
      <c r="K36" s="18" t="s">
        <v>191</v>
      </c>
      <c r="L36" s="8" t="s">
        <v>179</v>
      </c>
      <c r="M36" s="19"/>
      <c r="N36" s="20"/>
      <c r="O36" s="10"/>
      <c r="P36" s="10"/>
      <c r="Q36" s="10"/>
      <c r="R36" s="10"/>
      <c r="S36" s="10"/>
      <c r="T36" s="10"/>
      <c r="U36" s="10"/>
      <c r="V36" s="10"/>
      <c r="W36" s="10"/>
      <c r="X36" s="10"/>
      <c r="Y36" s="10"/>
      <c r="Z36" s="10"/>
    </row>
    <row r="37" ht="15.75" customHeight="1">
      <c r="A37" s="6" t="s">
        <v>192</v>
      </c>
      <c r="B37" s="7" t="s">
        <v>193</v>
      </c>
      <c r="C37" s="7"/>
      <c r="D37" s="7"/>
      <c r="E37" s="7">
        <v>-2.0</v>
      </c>
      <c r="F37" s="12" t="s">
        <v>194</v>
      </c>
      <c r="G37" s="7" t="s">
        <v>195</v>
      </c>
      <c r="H37" s="8" t="s">
        <v>67</v>
      </c>
      <c r="I37" s="8" t="s">
        <v>196</v>
      </c>
      <c r="J37" s="13" t="str">
        <f t="shared" si="2"/>
        <v>https://inmapper.com/zorlucenter/img/logo/SEPHORA.png</v>
      </c>
      <c r="K37" s="7" t="s">
        <v>197</v>
      </c>
      <c r="L37" s="8" t="s">
        <v>70</v>
      </c>
      <c r="M37" s="9"/>
      <c r="N37" s="10"/>
      <c r="O37" s="10"/>
      <c r="P37" s="10"/>
      <c r="Q37" s="10"/>
      <c r="R37" s="10"/>
      <c r="S37" s="10"/>
      <c r="T37" s="10"/>
      <c r="U37" s="10"/>
      <c r="V37" s="10"/>
      <c r="W37" s="10"/>
      <c r="X37" s="10"/>
      <c r="Y37" s="10"/>
      <c r="Z37" s="10"/>
    </row>
    <row r="38" ht="15.75" customHeight="1">
      <c r="A38" s="6" t="s">
        <v>198</v>
      </c>
      <c r="B38" s="7" t="s">
        <v>199</v>
      </c>
      <c r="C38" s="7"/>
      <c r="D38" s="7"/>
      <c r="E38" s="7">
        <v>-2.0</v>
      </c>
      <c r="F38" s="12" t="s">
        <v>200</v>
      </c>
      <c r="G38" s="7" t="s">
        <v>201</v>
      </c>
      <c r="H38" s="8" t="s">
        <v>160</v>
      </c>
      <c r="I38" s="8" t="s">
        <v>202</v>
      </c>
      <c r="J38" s="13" t="str">
        <f t="shared" si="2"/>
        <v>https://inmapper.com/zorlucenter/img/logo/UNDERARMOUR.png</v>
      </c>
      <c r="K38" s="7" t="s">
        <v>203</v>
      </c>
      <c r="L38" s="8" t="s">
        <v>163</v>
      </c>
      <c r="M38" s="9"/>
      <c r="N38" s="10"/>
      <c r="O38" s="10"/>
      <c r="P38" s="10"/>
      <c r="Q38" s="10"/>
      <c r="R38" s="10"/>
      <c r="S38" s="10"/>
      <c r="T38" s="10"/>
      <c r="U38" s="10"/>
      <c r="V38" s="10"/>
      <c r="W38" s="10"/>
      <c r="X38" s="10"/>
      <c r="Y38" s="10"/>
      <c r="Z38" s="10"/>
    </row>
    <row r="39" ht="15.75" customHeight="1">
      <c r="A39" s="6" t="s">
        <v>204</v>
      </c>
      <c r="B39" s="7" t="s">
        <v>205</v>
      </c>
      <c r="C39" s="7"/>
      <c r="D39" s="7"/>
      <c r="E39" s="7">
        <v>-2.0</v>
      </c>
      <c r="F39" s="12" t="s">
        <v>206</v>
      </c>
      <c r="G39" s="7" t="s">
        <v>207</v>
      </c>
      <c r="H39" s="8" t="s">
        <v>160</v>
      </c>
      <c r="I39" s="14" t="s">
        <v>208</v>
      </c>
      <c r="J39" s="13" t="str">
        <f t="shared" si="2"/>
        <v>https://inmapper.com/zorlucenter/img/logo/ADİDAS.png</v>
      </c>
      <c r="K39" s="7" t="s">
        <v>209</v>
      </c>
      <c r="L39" s="8" t="s">
        <v>163</v>
      </c>
      <c r="M39" s="9"/>
      <c r="N39" s="10"/>
      <c r="O39" s="10"/>
      <c r="P39" s="10"/>
      <c r="Q39" s="10"/>
      <c r="R39" s="10"/>
      <c r="S39" s="10"/>
      <c r="T39" s="10"/>
      <c r="U39" s="10"/>
      <c r="V39" s="10"/>
      <c r="W39" s="10"/>
      <c r="X39" s="10"/>
      <c r="Y39" s="10"/>
      <c r="Z39" s="10"/>
    </row>
    <row r="40" ht="15.75" customHeight="1">
      <c r="A40" s="6" t="s">
        <v>210</v>
      </c>
      <c r="B40" s="7" t="s">
        <v>211</v>
      </c>
      <c r="C40" s="7"/>
      <c r="D40" s="7"/>
      <c r="E40" s="7">
        <v>-2.0</v>
      </c>
      <c r="F40" s="12" t="s">
        <v>212</v>
      </c>
      <c r="G40" s="7" t="s">
        <v>207</v>
      </c>
      <c r="H40" s="8" t="s">
        <v>160</v>
      </c>
      <c r="I40" s="8" t="s">
        <v>213</v>
      </c>
      <c r="J40" s="13" t="str">
        <f t="shared" si="2"/>
        <v>https://inmapper.com/zorlucenter/img/logo/ASICS.png</v>
      </c>
      <c r="K40" s="7" t="s">
        <v>214</v>
      </c>
      <c r="L40" s="8" t="s">
        <v>163</v>
      </c>
      <c r="M40" s="9"/>
      <c r="N40" s="10"/>
      <c r="O40" s="10"/>
      <c r="P40" s="10"/>
      <c r="Q40" s="10"/>
      <c r="R40" s="10"/>
      <c r="S40" s="10"/>
      <c r="T40" s="10"/>
      <c r="U40" s="10"/>
      <c r="V40" s="10"/>
      <c r="W40" s="10"/>
      <c r="X40" s="10"/>
      <c r="Y40" s="10"/>
      <c r="Z40" s="10"/>
    </row>
    <row r="41" ht="15.75" customHeight="1">
      <c r="A41" s="6" t="s">
        <v>215</v>
      </c>
      <c r="B41" s="7" t="s">
        <v>216</v>
      </c>
      <c r="C41" s="7"/>
      <c r="D41" s="7"/>
      <c r="E41" s="7">
        <v>-2.0</v>
      </c>
      <c r="F41" s="12" t="s">
        <v>217</v>
      </c>
      <c r="G41" s="7" t="s">
        <v>218</v>
      </c>
      <c r="H41" s="8" t="s">
        <v>160</v>
      </c>
      <c r="I41" s="8" t="s">
        <v>219</v>
      </c>
      <c r="J41" s="13" t="str">
        <f t="shared" si="2"/>
        <v>https://inmapper.com/zorlucenter/img/logo/MAVİ.png</v>
      </c>
      <c r="K41" s="7" t="s">
        <v>220</v>
      </c>
      <c r="L41" s="8" t="s">
        <v>163</v>
      </c>
      <c r="M41" s="9"/>
      <c r="N41" s="10"/>
      <c r="O41" s="10"/>
      <c r="P41" s="10"/>
      <c r="Q41" s="10"/>
      <c r="R41" s="10"/>
      <c r="S41" s="10"/>
      <c r="T41" s="10"/>
      <c r="U41" s="10"/>
      <c r="V41" s="10"/>
      <c r="W41" s="10"/>
      <c r="X41" s="10"/>
      <c r="Y41" s="10"/>
      <c r="Z41" s="10"/>
    </row>
    <row r="42" ht="15.75" customHeight="1">
      <c r="A42" s="6" t="s">
        <v>221</v>
      </c>
      <c r="B42" s="7" t="s">
        <v>222</v>
      </c>
      <c r="C42" s="7"/>
      <c r="D42" s="7"/>
      <c r="E42" s="7">
        <v>-2.0</v>
      </c>
      <c r="F42" s="12" t="s">
        <v>223</v>
      </c>
      <c r="G42" s="7" t="s">
        <v>224</v>
      </c>
      <c r="H42" s="8" t="s">
        <v>160</v>
      </c>
      <c r="I42" s="42" t="s">
        <v>225</v>
      </c>
      <c r="J42" s="13" t="str">
        <f t="shared" si="2"/>
        <v>https://inmapper.com/zorlucenter/img/logo/GAP.png</v>
      </c>
      <c r="K42" s="7" t="s">
        <v>226</v>
      </c>
      <c r="L42" s="8" t="s">
        <v>163</v>
      </c>
      <c r="M42" s="9"/>
      <c r="N42" s="10"/>
      <c r="O42" s="10"/>
      <c r="P42" s="10"/>
      <c r="Q42" s="10"/>
      <c r="R42" s="10"/>
      <c r="S42" s="10"/>
      <c r="T42" s="10"/>
      <c r="U42" s="10"/>
      <c r="V42" s="10"/>
      <c r="W42" s="10"/>
      <c r="X42" s="10"/>
      <c r="Y42" s="10"/>
      <c r="Z42" s="10"/>
    </row>
    <row r="43" ht="15.75" customHeight="1">
      <c r="A43" s="6" t="s">
        <v>227</v>
      </c>
      <c r="B43" s="7" t="s">
        <v>228</v>
      </c>
      <c r="C43" s="18"/>
      <c r="D43" s="7"/>
      <c r="E43" s="7">
        <v>-2.0</v>
      </c>
      <c r="F43" s="12" t="s">
        <v>229</v>
      </c>
      <c r="G43" s="7" t="s">
        <v>230</v>
      </c>
      <c r="H43" s="8" t="s">
        <v>160</v>
      </c>
      <c r="I43" s="8" t="s">
        <v>231</v>
      </c>
      <c r="J43" s="13" t="str">
        <f t="shared" si="2"/>
        <v>https://inmapper.com/zorlucenter/img/logo/İPEKYOL.png</v>
      </c>
      <c r="K43" s="7" t="s">
        <v>232</v>
      </c>
      <c r="L43" s="8" t="s">
        <v>163</v>
      </c>
      <c r="M43" s="9"/>
      <c r="N43" s="10"/>
      <c r="O43" s="10"/>
      <c r="P43" s="10"/>
      <c r="Q43" s="10"/>
      <c r="R43" s="10"/>
      <c r="S43" s="10"/>
      <c r="T43" s="10"/>
      <c r="U43" s="10"/>
      <c r="V43" s="10"/>
      <c r="W43" s="10"/>
      <c r="X43" s="10"/>
      <c r="Y43" s="10"/>
      <c r="Z43" s="10"/>
    </row>
    <row r="44" ht="15.75" customHeight="1">
      <c r="A44" s="6" t="s">
        <v>233</v>
      </c>
      <c r="B44" s="7" t="s">
        <v>234</v>
      </c>
      <c r="C44" s="7"/>
      <c r="D44" s="7"/>
      <c r="E44" s="7">
        <v>-2.0</v>
      </c>
      <c r="F44" s="12" t="s">
        <v>235</v>
      </c>
      <c r="G44" s="7" t="s">
        <v>236</v>
      </c>
      <c r="H44" s="8" t="s">
        <v>160</v>
      </c>
      <c r="I44" s="8" t="s">
        <v>237</v>
      </c>
      <c r="J44" s="13" t="str">
        <f t="shared" si="2"/>
        <v>https://inmapper.com/zorlucenter/img/logo/BRANDY'S.png</v>
      </c>
      <c r="K44" s="7" t="s">
        <v>238</v>
      </c>
      <c r="L44" s="8" t="s">
        <v>163</v>
      </c>
      <c r="M44" s="9"/>
      <c r="N44" s="10"/>
      <c r="O44" s="10"/>
      <c r="P44" s="10"/>
      <c r="Q44" s="10"/>
      <c r="R44" s="10"/>
      <c r="S44" s="10"/>
      <c r="T44" s="10"/>
      <c r="U44" s="10"/>
      <c r="V44" s="10"/>
      <c r="W44" s="10"/>
      <c r="X44" s="10"/>
      <c r="Y44" s="10"/>
      <c r="Z44" s="10"/>
    </row>
    <row r="45" ht="15.75" customHeight="1">
      <c r="A45" s="21" t="s">
        <v>239</v>
      </c>
      <c r="B45" s="18" t="s">
        <v>240</v>
      </c>
      <c r="C45" s="7"/>
      <c r="D45" s="7"/>
      <c r="E45" s="18">
        <v>-2.0</v>
      </c>
      <c r="F45" s="17" t="s">
        <v>241</v>
      </c>
      <c r="G45" s="7"/>
      <c r="H45" s="43" t="s">
        <v>160</v>
      </c>
      <c r="I45" s="40" t="s">
        <v>242</v>
      </c>
      <c r="J45" s="13" t="str">
        <f t="shared" si="2"/>
        <v>https://inmapper.com/zorlucenter/img/logo/NIKE.png</v>
      </c>
      <c r="K45" s="18" t="s">
        <v>243</v>
      </c>
      <c r="L45" s="43" t="s">
        <v>163</v>
      </c>
      <c r="M45" s="9"/>
      <c r="N45" s="10"/>
      <c r="O45" s="10"/>
      <c r="P45" s="10"/>
      <c r="Q45" s="10"/>
      <c r="R45" s="10"/>
      <c r="S45" s="10"/>
      <c r="T45" s="10"/>
      <c r="U45" s="10"/>
      <c r="V45" s="10"/>
      <c r="W45" s="10"/>
      <c r="X45" s="10"/>
      <c r="Y45" s="10"/>
      <c r="Z45" s="10"/>
    </row>
    <row r="46" ht="15.75" customHeight="1">
      <c r="A46" s="6" t="s">
        <v>244</v>
      </c>
      <c r="B46" s="7" t="s">
        <v>245</v>
      </c>
      <c r="C46" s="7"/>
      <c r="D46" s="7"/>
      <c r="E46" s="7">
        <v>-2.0</v>
      </c>
      <c r="F46" s="12" t="s">
        <v>246</v>
      </c>
      <c r="G46" s="7" t="s">
        <v>247</v>
      </c>
      <c r="H46" s="8" t="s">
        <v>160</v>
      </c>
      <c r="I46" s="14" t="s">
        <v>248</v>
      </c>
      <c r="J46" s="44"/>
      <c r="K46" s="9"/>
      <c r="L46" s="8" t="s">
        <v>163</v>
      </c>
      <c r="M46" s="9"/>
      <c r="N46" s="10"/>
      <c r="O46" s="10"/>
      <c r="P46" s="10"/>
      <c r="Q46" s="10"/>
      <c r="R46" s="10"/>
      <c r="S46" s="10"/>
      <c r="T46" s="10"/>
      <c r="U46" s="10"/>
      <c r="V46" s="10"/>
      <c r="W46" s="10"/>
      <c r="X46" s="10"/>
      <c r="Y46" s="10"/>
      <c r="Z46" s="10"/>
    </row>
    <row r="47" ht="15.75" customHeight="1">
      <c r="A47" s="6" t="s">
        <v>249</v>
      </c>
      <c r="B47" s="7" t="s">
        <v>250</v>
      </c>
      <c r="C47" s="7"/>
      <c r="D47" s="7"/>
      <c r="E47" s="7">
        <v>-2.0</v>
      </c>
      <c r="F47" s="12" t="s">
        <v>246</v>
      </c>
      <c r="G47" s="7" t="s">
        <v>251</v>
      </c>
      <c r="H47" s="8" t="s">
        <v>160</v>
      </c>
      <c r="I47" s="14" t="s">
        <v>252</v>
      </c>
      <c r="J47" s="13" t="str">
        <f t="shared" ref="J47:J62" si="3">CONCATENATE($M$1,$K47)</f>
        <v>https://inmapper.com/zorlucenter/img/logo/VICTORIA'SSECRET.png</v>
      </c>
      <c r="K47" s="7" t="s">
        <v>253</v>
      </c>
      <c r="L47" s="8" t="s">
        <v>163</v>
      </c>
      <c r="M47" s="9"/>
      <c r="N47" s="10"/>
      <c r="O47" s="10"/>
      <c r="P47" s="10"/>
      <c r="Q47" s="10"/>
      <c r="R47" s="10"/>
      <c r="S47" s="10"/>
      <c r="T47" s="10"/>
      <c r="U47" s="10"/>
      <c r="V47" s="10"/>
      <c r="W47" s="10"/>
      <c r="X47" s="10"/>
      <c r="Y47" s="10"/>
      <c r="Z47" s="10"/>
    </row>
    <row r="48" ht="15.75" customHeight="1">
      <c r="A48" s="6" t="s">
        <v>254</v>
      </c>
      <c r="B48" s="7" t="s">
        <v>255</v>
      </c>
      <c r="C48" s="7"/>
      <c r="D48" s="7"/>
      <c r="E48" s="7">
        <v>-2.0</v>
      </c>
      <c r="F48" s="12" t="s">
        <v>256</v>
      </c>
      <c r="G48" s="7" t="s">
        <v>257</v>
      </c>
      <c r="H48" s="8" t="s">
        <v>160</v>
      </c>
      <c r="I48" s="13" t="s">
        <v>258</v>
      </c>
      <c r="J48" s="8" t="str">
        <f t="shared" si="3"/>
        <v>https://inmapper.com/zorlucenter/img/logo/ABDULLAHKİĞILI.png</v>
      </c>
      <c r="K48" s="7" t="s">
        <v>259</v>
      </c>
      <c r="L48" s="8" t="s">
        <v>163</v>
      </c>
      <c r="M48" s="9"/>
      <c r="N48" s="10"/>
      <c r="O48" s="10"/>
      <c r="P48" s="10"/>
      <c r="Q48" s="10"/>
      <c r="R48" s="10"/>
      <c r="S48" s="10"/>
      <c r="T48" s="10"/>
      <c r="U48" s="10"/>
      <c r="V48" s="10"/>
      <c r="W48" s="10"/>
      <c r="X48" s="10"/>
      <c r="Y48" s="10"/>
      <c r="Z48" s="10"/>
    </row>
    <row r="49" ht="15.75" customHeight="1">
      <c r="A49" s="6" t="s">
        <v>260</v>
      </c>
      <c r="B49" s="7" t="s">
        <v>261</v>
      </c>
      <c r="D49" s="7"/>
      <c r="E49" s="7">
        <v>-2.0</v>
      </c>
      <c r="F49" s="12" t="s">
        <v>262</v>
      </c>
      <c r="G49" s="7" t="s">
        <v>263</v>
      </c>
      <c r="H49" s="8" t="s">
        <v>160</v>
      </c>
      <c r="I49" s="8" t="s">
        <v>264</v>
      </c>
      <c r="J49" s="13" t="str">
        <f t="shared" si="3"/>
        <v>https://inmapper.com/zorlucenter/img/logo/PENTİ.png</v>
      </c>
      <c r="K49" s="7" t="s">
        <v>265</v>
      </c>
      <c r="L49" s="8" t="s">
        <v>163</v>
      </c>
      <c r="M49" s="9"/>
      <c r="N49" s="10"/>
      <c r="O49" s="10"/>
      <c r="P49" s="10"/>
      <c r="Q49" s="10"/>
      <c r="R49" s="10"/>
      <c r="S49" s="10"/>
      <c r="T49" s="10"/>
      <c r="U49" s="10"/>
      <c r="V49" s="10"/>
      <c r="W49" s="10"/>
      <c r="X49" s="10"/>
      <c r="Y49" s="10"/>
      <c r="Z49" s="10"/>
    </row>
    <row r="50" ht="15.75" customHeight="1">
      <c r="A50" s="6" t="s">
        <v>266</v>
      </c>
      <c r="B50" s="7" t="s">
        <v>267</v>
      </c>
      <c r="C50" s="7"/>
      <c r="D50" s="7"/>
      <c r="E50" s="7">
        <v>-2.0</v>
      </c>
      <c r="F50" s="12" t="s">
        <v>268</v>
      </c>
      <c r="G50" s="7" t="s">
        <v>269</v>
      </c>
      <c r="H50" s="8" t="s">
        <v>160</v>
      </c>
      <c r="I50" s="8" t="s">
        <v>270</v>
      </c>
      <c r="J50" s="13" t="str">
        <f t="shared" si="3"/>
        <v>https://inmapper.com/zorlucenter/img/logo/H&amp;M.png</v>
      </c>
      <c r="K50" s="7" t="s">
        <v>271</v>
      </c>
      <c r="L50" s="8" t="s">
        <v>163</v>
      </c>
      <c r="M50" s="9"/>
      <c r="N50" s="10"/>
      <c r="O50" s="10"/>
      <c r="P50" s="10"/>
      <c r="Q50" s="10"/>
      <c r="R50" s="10"/>
      <c r="S50" s="10"/>
      <c r="T50" s="10"/>
      <c r="U50" s="10"/>
      <c r="V50" s="10"/>
      <c r="W50" s="10"/>
      <c r="X50" s="10"/>
      <c r="Y50" s="10"/>
      <c r="Z50" s="10"/>
    </row>
    <row r="51" ht="15.75" customHeight="1">
      <c r="A51" s="6" t="s">
        <v>272</v>
      </c>
      <c r="B51" s="7" t="s">
        <v>273</v>
      </c>
      <c r="C51" s="18"/>
      <c r="D51" s="7"/>
      <c r="E51" s="7">
        <v>-2.0</v>
      </c>
      <c r="F51" s="12" t="s">
        <v>274</v>
      </c>
      <c r="G51" s="7" t="s">
        <v>275</v>
      </c>
      <c r="H51" s="8" t="s">
        <v>160</v>
      </c>
      <c r="I51" s="8" t="s">
        <v>276</v>
      </c>
      <c r="J51" s="13" t="str">
        <f t="shared" si="3"/>
        <v>https://inmapper.com/zorlucenter/img/logo/PERSPECTIVE.png</v>
      </c>
      <c r="K51" s="7" t="s">
        <v>277</v>
      </c>
      <c r="L51" s="8" t="s">
        <v>163</v>
      </c>
      <c r="M51" s="9"/>
      <c r="N51" s="10"/>
      <c r="O51" s="10"/>
      <c r="P51" s="10"/>
      <c r="Q51" s="10"/>
      <c r="R51" s="10"/>
      <c r="S51" s="10"/>
      <c r="T51" s="10"/>
      <c r="U51" s="10"/>
      <c r="V51" s="10"/>
      <c r="W51" s="10"/>
      <c r="X51" s="10"/>
      <c r="Y51" s="10"/>
      <c r="Z51" s="10"/>
    </row>
    <row r="52" ht="15.75" customHeight="1">
      <c r="A52" s="6" t="s">
        <v>278</v>
      </c>
      <c r="B52" s="7" t="s">
        <v>279</v>
      </c>
      <c r="C52" s="7"/>
      <c r="D52" s="7"/>
      <c r="E52" s="7">
        <v>-2.0</v>
      </c>
      <c r="F52" s="12" t="s">
        <v>280</v>
      </c>
      <c r="G52" s="7" t="s">
        <v>281</v>
      </c>
      <c r="H52" s="8" t="s">
        <v>160</v>
      </c>
      <c r="I52" s="8" t="s">
        <v>282</v>
      </c>
      <c r="J52" s="13" t="str">
        <f t="shared" si="3"/>
        <v>https://inmapper.com/zorlucenter/img/logo/TWIST.png</v>
      </c>
      <c r="K52" s="7" t="s">
        <v>283</v>
      </c>
      <c r="L52" s="8" t="s">
        <v>163</v>
      </c>
      <c r="M52" s="9"/>
      <c r="N52" s="10"/>
      <c r="O52" s="10"/>
      <c r="P52" s="10"/>
      <c r="Q52" s="10"/>
      <c r="R52" s="10"/>
      <c r="S52" s="10"/>
      <c r="T52" s="10"/>
      <c r="U52" s="10"/>
      <c r="V52" s="10"/>
      <c r="W52" s="10"/>
      <c r="X52" s="10"/>
      <c r="Y52" s="10"/>
      <c r="Z52" s="10"/>
    </row>
    <row r="53" ht="15.75" customHeight="1">
      <c r="A53" s="6" t="s">
        <v>284</v>
      </c>
      <c r="B53" s="7" t="s">
        <v>285</v>
      </c>
      <c r="C53" s="7"/>
      <c r="D53" s="7"/>
      <c r="E53" s="7">
        <v>-2.0</v>
      </c>
      <c r="F53" s="12" t="s">
        <v>286</v>
      </c>
      <c r="G53" s="7" t="s">
        <v>287</v>
      </c>
      <c r="H53" s="8" t="s">
        <v>176</v>
      </c>
      <c r="I53" s="13" t="s">
        <v>288</v>
      </c>
      <c r="J53" s="13" t="str">
        <f t="shared" si="3"/>
        <v>https://inmapper.com/zorlucenter/img/logo/ALDO.png</v>
      </c>
      <c r="K53" s="7" t="s">
        <v>289</v>
      </c>
      <c r="L53" s="8" t="s">
        <v>179</v>
      </c>
      <c r="M53" s="9"/>
      <c r="N53" s="10"/>
      <c r="O53" s="10"/>
      <c r="P53" s="10"/>
      <c r="Q53" s="10"/>
      <c r="R53" s="10"/>
      <c r="S53" s="10"/>
      <c r="T53" s="10"/>
      <c r="U53" s="10"/>
      <c r="V53" s="10"/>
      <c r="W53" s="10"/>
      <c r="X53" s="10"/>
      <c r="Y53" s="10"/>
      <c r="Z53" s="10"/>
    </row>
    <row r="54" ht="15.75" customHeight="1">
      <c r="A54" s="6" t="s">
        <v>290</v>
      </c>
      <c r="B54" s="7" t="s">
        <v>291</v>
      </c>
      <c r="C54" s="7"/>
      <c r="D54" s="7"/>
      <c r="E54" s="7">
        <v>-2.0</v>
      </c>
      <c r="F54" s="12" t="s">
        <v>292</v>
      </c>
      <c r="G54" s="7" t="s">
        <v>293</v>
      </c>
      <c r="H54" s="8" t="s">
        <v>160</v>
      </c>
      <c r="I54" s="8" t="s">
        <v>294</v>
      </c>
      <c r="J54" s="13" t="str">
        <f t="shared" si="3"/>
        <v>https://inmapper.com/zorlucenter/img/logo/CACHAREL.png</v>
      </c>
      <c r="K54" s="7" t="s">
        <v>295</v>
      </c>
      <c r="L54" s="8" t="s">
        <v>163</v>
      </c>
      <c r="M54" s="9"/>
      <c r="N54" s="10"/>
      <c r="O54" s="10"/>
      <c r="P54" s="10"/>
      <c r="Q54" s="10"/>
      <c r="R54" s="10"/>
      <c r="S54" s="10"/>
      <c r="T54" s="10"/>
      <c r="U54" s="10"/>
      <c r="V54" s="10"/>
      <c r="W54" s="10"/>
      <c r="X54" s="10"/>
      <c r="Y54" s="10"/>
      <c r="Z54" s="10"/>
    </row>
    <row r="55" ht="15.75" customHeight="1">
      <c r="A55" s="6" t="s">
        <v>296</v>
      </c>
      <c r="B55" s="7" t="s">
        <v>297</v>
      </c>
      <c r="C55" s="7"/>
      <c r="D55" s="7"/>
      <c r="E55" s="7">
        <v>-2.0</v>
      </c>
      <c r="F55" s="12" t="s">
        <v>298</v>
      </c>
      <c r="G55" s="7" t="s">
        <v>299</v>
      </c>
      <c r="H55" s="8" t="s">
        <v>176</v>
      </c>
      <c r="I55" s="8" t="s">
        <v>300</v>
      </c>
      <c r="J55" s="13" t="str">
        <f t="shared" si="3"/>
        <v>https://inmapper.com/zorlucenter/img/logo/CAMPER.png</v>
      </c>
      <c r="K55" s="7" t="s">
        <v>301</v>
      </c>
      <c r="L55" s="8" t="s">
        <v>179</v>
      </c>
      <c r="M55" s="9"/>
      <c r="N55" s="10"/>
      <c r="O55" s="10"/>
      <c r="P55" s="10"/>
      <c r="Q55" s="10"/>
      <c r="R55" s="10"/>
      <c r="S55" s="10"/>
      <c r="T55" s="10"/>
      <c r="U55" s="10"/>
      <c r="V55" s="10"/>
      <c r="W55" s="10"/>
      <c r="X55" s="10"/>
      <c r="Y55" s="10"/>
      <c r="Z55" s="10"/>
    </row>
    <row r="56" ht="15.75" customHeight="1">
      <c r="A56" s="6" t="s">
        <v>302</v>
      </c>
      <c r="B56" s="7" t="s">
        <v>303</v>
      </c>
      <c r="C56" s="7"/>
      <c r="D56" s="7"/>
      <c r="E56" s="7">
        <v>-2.0</v>
      </c>
      <c r="F56" s="12" t="s">
        <v>304</v>
      </c>
      <c r="G56" s="7" t="s">
        <v>305</v>
      </c>
      <c r="H56" s="8" t="s">
        <v>67</v>
      </c>
      <c r="I56" s="7" t="s">
        <v>306</v>
      </c>
      <c r="J56" s="13" t="str">
        <f t="shared" si="3"/>
        <v>https://inmapper.com/zorlucenter/img/logo/YVESROCHER.png</v>
      </c>
      <c r="K56" s="7" t="s">
        <v>307</v>
      </c>
      <c r="L56" s="8" t="s">
        <v>70</v>
      </c>
      <c r="M56" s="9"/>
      <c r="N56" s="10"/>
      <c r="O56" s="10"/>
      <c r="P56" s="10"/>
      <c r="Q56" s="10"/>
      <c r="R56" s="10"/>
      <c r="S56" s="10"/>
      <c r="T56" s="10"/>
      <c r="U56" s="10"/>
      <c r="V56" s="10"/>
      <c r="W56" s="10"/>
      <c r="X56" s="10"/>
      <c r="Y56" s="10"/>
      <c r="Z56" s="10"/>
    </row>
    <row r="57" ht="15.75" customHeight="1">
      <c r="A57" s="6" t="s">
        <v>308</v>
      </c>
      <c r="B57" s="7" t="s">
        <v>309</v>
      </c>
      <c r="C57" s="7"/>
      <c r="D57" s="7"/>
      <c r="E57" s="7">
        <v>-2.0</v>
      </c>
      <c r="F57" s="12" t="s">
        <v>310</v>
      </c>
      <c r="G57" s="7" t="s">
        <v>311</v>
      </c>
      <c r="H57" s="8" t="s">
        <v>67</v>
      </c>
      <c r="I57" s="8" t="s">
        <v>312</v>
      </c>
      <c r="J57" s="13" t="str">
        <f t="shared" si="3"/>
        <v>https://inmapper.com/zorlucenter/img/logo/M.A.C.png</v>
      </c>
      <c r="K57" s="7" t="s">
        <v>313</v>
      </c>
      <c r="L57" s="8" t="s">
        <v>70</v>
      </c>
      <c r="M57" s="9"/>
      <c r="N57" s="10"/>
      <c r="O57" s="10"/>
      <c r="P57" s="10"/>
      <c r="Q57" s="10"/>
      <c r="R57" s="10"/>
      <c r="S57" s="10"/>
      <c r="T57" s="10"/>
      <c r="U57" s="10"/>
      <c r="V57" s="10"/>
      <c r="W57" s="10"/>
      <c r="X57" s="10"/>
      <c r="Y57" s="10"/>
      <c r="Z57" s="10"/>
    </row>
    <row r="58" ht="15.75" customHeight="1">
      <c r="A58" s="21" t="s">
        <v>314</v>
      </c>
      <c r="B58" s="7" t="s">
        <v>315</v>
      </c>
      <c r="C58" s="7"/>
      <c r="D58" s="7"/>
      <c r="E58" s="7">
        <v>-2.0</v>
      </c>
      <c r="F58" s="12" t="s">
        <v>316</v>
      </c>
      <c r="G58" s="7" t="s">
        <v>230</v>
      </c>
      <c r="H58" s="8" t="s">
        <v>160</v>
      </c>
      <c r="I58" s="8" t="s">
        <v>317</v>
      </c>
      <c r="J58" s="13" t="str">
        <f t="shared" si="3"/>
        <v>https://inmapper.com/zorlucenter/img/logo/MANGO.png</v>
      </c>
      <c r="K58" s="7" t="s">
        <v>318</v>
      </c>
      <c r="L58" s="8" t="s">
        <v>163</v>
      </c>
      <c r="M58" s="9"/>
      <c r="N58" s="10"/>
      <c r="O58" s="10"/>
      <c r="P58" s="10"/>
      <c r="Q58" s="10"/>
      <c r="R58" s="10"/>
      <c r="S58" s="10"/>
      <c r="T58" s="10"/>
      <c r="U58" s="10"/>
      <c r="V58" s="10"/>
      <c r="W58" s="10"/>
      <c r="X58" s="10"/>
      <c r="Y58" s="10"/>
      <c r="Z58" s="10"/>
    </row>
    <row r="59" ht="15.75" customHeight="1">
      <c r="A59" s="6" t="s">
        <v>319</v>
      </c>
      <c r="B59" s="7" t="s">
        <v>320</v>
      </c>
      <c r="C59" s="7"/>
      <c r="D59" s="7"/>
      <c r="E59" s="7">
        <v>-2.0</v>
      </c>
      <c r="F59" s="12" t="s">
        <v>321</v>
      </c>
      <c r="G59" s="7" t="s">
        <v>322</v>
      </c>
      <c r="H59" s="8" t="s">
        <v>160</v>
      </c>
      <c r="I59" s="8" t="s">
        <v>323</v>
      </c>
      <c r="J59" s="8" t="str">
        <f t="shared" si="3"/>
        <v>https://inmapper.com/zorlucenter/img/logo/U.S.POLO ASSN.png</v>
      </c>
      <c r="K59" s="7" t="s">
        <v>324</v>
      </c>
      <c r="L59" s="8" t="s">
        <v>163</v>
      </c>
      <c r="M59" s="9"/>
      <c r="N59" s="10"/>
      <c r="O59" s="10"/>
      <c r="P59" s="10"/>
      <c r="Q59" s="10"/>
      <c r="R59" s="10"/>
      <c r="S59" s="10"/>
      <c r="T59" s="10"/>
      <c r="U59" s="10"/>
      <c r="V59" s="10"/>
      <c r="W59" s="10"/>
      <c r="X59" s="10"/>
      <c r="Y59" s="10"/>
      <c r="Z59" s="10"/>
    </row>
    <row r="60" ht="15.75" customHeight="1">
      <c r="A60" s="6" t="s">
        <v>325</v>
      </c>
      <c r="B60" s="7" t="s">
        <v>326</v>
      </c>
      <c r="C60" s="18"/>
      <c r="D60" s="7"/>
      <c r="E60" s="7">
        <v>-2.0</v>
      </c>
      <c r="F60" s="17" t="s">
        <v>327</v>
      </c>
      <c r="G60" s="7" t="s">
        <v>328</v>
      </c>
      <c r="H60" s="8" t="s">
        <v>160</v>
      </c>
      <c r="I60" s="8" t="s">
        <v>329</v>
      </c>
      <c r="J60" s="13" t="str">
        <f t="shared" si="3"/>
        <v>https://inmapper.com/zorlucenter/img/logo/MASSIMODUTTI.png</v>
      </c>
      <c r="K60" s="7" t="s">
        <v>330</v>
      </c>
      <c r="L60" s="8" t="s">
        <v>163</v>
      </c>
      <c r="M60" s="9"/>
      <c r="N60" s="10"/>
      <c r="O60" s="10"/>
      <c r="P60" s="10"/>
      <c r="Q60" s="10"/>
      <c r="R60" s="10"/>
      <c r="S60" s="10"/>
      <c r="T60" s="10"/>
      <c r="U60" s="10"/>
      <c r="V60" s="10"/>
      <c r="W60" s="10"/>
      <c r="X60" s="10"/>
      <c r="Y60" s="10"/>
      <c r="Z60" s="10"/>
    </row>
    <row r="61" ht="15.75" customHeight="1">
      <c r="A61" s="6" t="s">
        <v>331</v>
      </c>
      <c r="B61" s="19" t="s">
        <v>332</v>
      </c>
      <c r="C61" s="18"/>
      <c r="D61" s="7"/>
      <c r="E61" s="7">
        <v>-2.0</v>
      </c>
      <c r="F61" s="17" t="s">
        <v>333</v>
      </c>
      <c r="G61" s="7" t="s">
        <v>334</v>
      </c>
      <c r="H61" s="8" t="s">
        <v>176</v>
      </c>
      <c r="I61" s="8"/>
      <c r="J61" s="13" t="str">
        <f t="shared" si="3"/>
        <v>https://inmapper.com/zorlucenter/img/logo/HEARTBEAT.png</v>
      </c>
      <c r="K61" s="18" t="s">
        <v>335</v>
      </c>
      <c r="L61" s="8" t="s">
        <v>179</v>
      </c>
      <c r="M61" s="9"/>
      <c r="N61" s="15"/>
      <c r="O61" s="10"/>
      <c r="P61" s="10"/>
      <c r="Q61" s="10"/>
      <c r="R61" s="16"/>
      <c r="S61" s="10"/>
      <c r="T61" s="10"/>
      <c r="U61" s="10"/>
      <c r="V61" s="10"/>
      <c r="W61" s="10"/>
      <c r="X61" s="10"/>
      <c r="Y61" s="10"/>
      <c r="Z61" s="10"/>
    </row>
    <row r="62" ht="15.75" customHeight="1">
      <c r="A62" s="6" t="s">
        <v>336</v>
      </c>
      <c r="B62" s="7" t="s">
        <v>337</v>
      </c>
      <c r="C62" s="18"/>
      <c r="D62" s="7"/>
      <c r="E62" s="7">
        <v>-2.0</v>
      </c>
      <c r="F62" s="12" t="s">
        <v>338</v>
      </c>
      <c r="G62" s="18" t="s">
        <v>339</v>
      </c>
      <c r="H62" s="8" t="s">
        <v>152</v>
      </c>
      <c r="I62" s="8" t="s">
        <v>340</v>
      </c>
      <c r="J62" s="13" t="str">
        <f t="shared" si="3"/>
        <v>https://inmapper.com/zorlucenter/img/logo/SAAT&amp;SAAT.png</v>
      </c>
      <c r="K62" s="7" t="s">
        <v>341</v>
      </c>
      <c r="L62" s="8" t="s">
        <v>155</v>
      </c>
      <c r="M62" s="9"/>
      <c r="N62" s="10"/>
      <c r="O62" s="10"/>
      <c r="P62" s="10"/>
      <c r="Q62" s="10"/>
      <c r="R62" s="10"/>
      <c r="S62" s="10"/>
      <c r="T62" s="10"/>
      <c r="U62" s="10"/>
      <c r="V62" s="10"/>
      <c r="W62" s="10"/>
      <c r="X62" s="10"/>
      <c r="Y62" s="10"/>
      <c r="Z62" s="10"/>
    </row>
    <row r="63" ht="15.75" customHeight="1">
      <c r="A63" s="6" t="s">
        <v>342</v>
      </c>
      <c r="B63" s="7" t="s">
        <v>343</v>
      </c>
      <c r="C63" s="7"/>
      <c r="D63" s="7"/>
      <c r="E63" s="7">
        <v>-2.0</v>
      </c>
      <c r="F63" s="17" t="s">
        <v>344</v>
      </c>
      <c r="G63" s="7" t="s">
        <v>345</v>
      </c>
      <c r="H63" s="8" t="s">
        <v>176</v>
      </c>
      <c r="I63" s="8" t="s">
        <v>346</v>
      </c>
      <c r="J63" s="8" t="s">
        <v>347</v>
      </c>
      <c r="K63" s="7" t="s">
        <v>348</v>
      </c>
      <c r="L63" s="8" t="s">
        <v>179</v>
      </c>
      <c r="M63" s="9"/>
      <c r="N63" s="10"/>
      <c r="O63" s="10"/>
      <c r="P63" s="10"/>
      <c r="Q63" s="10"/>
      <c r="R63" s="10"/>
      <c r="S63" s="10"/>
      <c r="T63" s="10"/>
      <c r="U63" s="10"/>
      <c r="V63" s="10"/>
      <c r="W63" s="10"/>
      <c r="X63" s="10"/>
      <c r="Y63" s="10"/>
      <c r="Z63" s="10"/>
    </row>
    <row r="64" ht="15.75" customHeight="1">
      <c r="A64" s="6" t="s">
        <v>349</v>
      </c>
      <c r="B64" s="7" t="s">
        <v>350</v>
      </c>
      <c r="C64" s="7"/>
      <c r="D64" s="7"/>
      <c r="E64" s="7">
        <v>-2.0</v>
      </c>
      <c r="F64" s="12" t="s">
        <v>351</v>
      </c>
      <c r="G64" s="7" t="s">
        <v>352</v>
      </c>
      <c r="H64" s="8" t="s">
        <v>168</v>
      </c>
      <c r="I64" s="8" t="s">
        <v>353</v>
      </c>
      <c r="J64" s="13" t="str">
        <f t="shared" ref="J64:J72" si="4">CONCATENATE($M$1,$K64)</f>
        <v>https://inmapper.com/zorlucenter/img/logo/JACADIPARIS.png</v>
      </c>
      <c r="K64" s="7" t="s">
        <v>354</v>
      </c>
      <c r="L64" s="8" t="s">
        <v>171</v>
      </c>
      <c r="M64" s="9"/>
      <c r="N64" s="10"/>
      <c r="O64" s="10"/>
      <c r="P64" s="10"/>
      <c r="Q64" s="10"/>
      <c r="R64" s="10"/>
      <c r="S64" s="10"/>
      <c r="T64" s="10"/>
      <c r="U64" s="10"/>
      <c r="V64" s="10"/>
      <c r="W64" s="10"/>
      <c r="X64" s="10"/>
      <c r="Y64" s="10"/>
      <c r="Z64" s="10"/>
    </row>
    <row r="65" ht="15.75" customHeight="1">
      <c r="A65" s="6" t="s">
        <v>355</v>
      </c>
      <c r="B65" s="7" t="s">
        <v>356</v>
      </c>
      <c r="C65" s="7"/>
      <c r="D65" s="7"/>
      <c r="E65" s="7">
        <v>-2.0</v>
      </c>
      <c r="F65" s="12" t="s">
        <v>357</v>
      </c>
      <c r="G65" s="7" t="s">
        <v>358</v>
      </c>
      <c r="H65" s="8" t="s">
        <v>160</v>
      </c>
      <c r="I65" s="8" t="s">
        <v>359</v>
      </c>
      <c r="J65" s="13" t="str">
        <f t="shared" si="4"/>
        <v>https://inmapper.com/zorlucenter/img/logo/COLUMBIA.png</v>
      </c>
      <c r="K65" s="7" t="s">
        <v>360</v>
      </c>
      <c r="L65" s="8" t="s">
        <v>163</v>
      </c>
      <c r="M65" s="9"/>
      <c r="N65" s="10"/>
      <c r="O65" s="10"/>
      <c r="P65" s="10"/>
      <c r="Q65" s="10"/>
      <c r="R65" s="10"/>
      <c r="S65" s="10"/>
      <c r="T65" s="10"/>
      <c r="U65" s="10"/>
      <c r="V65" s="10"/>
      <c r="W65" s="10"/>
      <c r="X65" s="10"/>
      <c r="Y65" s="10"/>
      <c r="Z65" s="10"/>
    </row>
    <row r="66" ht="15.75" customHeight="1">
      <c r="A66" s="6" t="s">
        <v>361</v>
      </c>
      <c r="B66" s="7" t="s">
        <v>362</v>
      </c>
      <c r="C66" s="18"/>
      <c r="D66" s="7"/>
      <c r="E66" s="7">
        <v>-2.0</v>
      </c>
      <c r="F66" s="12" t="s">
        <v>363</v>
      </c>
      <c r="G66" s="7" t="s">
        <v>364</v>
      </c>
      <c r="H66" s="8" t="s">
        <v>168</v>
      </c>
      <c r="I66" s="8" t="s">
        <v>365</v>
      </c>
      <c r="J66" s="13" t="str">
        <f t="shared" si="4"/>
        <v>https://inmapper.com/zorlucenter/img/logo/B&amp;GSTORE.png</v>
      </c>
      <c r="K66" s="7" t="s">
        <v>366</v>
      </c>
      <c r="L66" s="8" t="s">
        <v>171</v>
      </c>
      <c r="M66" s="9"/>
      <c r="N66" s="10"/>
      <c r="O66" s="10"/>
      <c r="P66" s="10"/>
      <c r="Q66" s="10"/>
      <c r="R66" s="10"/>
      <c r="S66" s="10"/>
      <c r="T66" s="10"/>
      <c r="U66" s="10"/>
      <c r="V66" s="10"/>
      <c r="W66" s="10"/>
      <c r="X66" s="10"/>
      <c r="Y66" s="10"/>
      <c r="Z66" s="10"/>
    </row>
    <row r="67" ht="15.75" customHeight="1">
      <c r="A67" s="6" t="s">
        <v>367</v>
      </c>
      <c r="B67" s="7" t="s">
        <v>368</v>
      </c>
      <c r="C67" s="7"/>
      <c r="D67" s="7"/>
      <c r="E67" s="7">
        <v>-2.0</v>
      </c>
      <c r="F67" s="12" t="s">
        <v>369</v>
      </c>
      <c r="G67" s="7" t="s">
        <v>370</v>
      </c>
      <c r="H67" s="8" t="s">
        <v>160</v>
      </c>
      <c r="I67" s="8" t="s">
        <v>371</v>
      </c>
      <c r="J67" s="13" t="str">
        <f t="shared" si="4"/>
        <v>https://inmapper.com/zorlucenter/img/logo/LEVI'S.png</v>
      </c>
      <c r="K67" s="7" t="s">
        <v>372</v>
      </c>
      <c r="L67" s="8" t="s">
        <v>163</v>
      </c>
      <c r="M67" s="9"/>
      <c r="N67" s="10"/>
      <c r="O67" s="10"/>
      <c r="P67" s="10"/>
      <c r="Q67" s="10"/>
      <c r="R67" s="10"/>
      <c r="S67" s="10"/>
      <c r="T67" s="10"/>
      <c r="U67" s="10"/>
      <c r="V67" s="10"/>
      <c r="W67" s="10"/>
      <c r="X67" s="10"/>
      <c r="Y67" s="10"/>
      <c r="Z67" s="10"/>
    </row>
    <row r="68" ht="15.75" customHeight="1">
      <c r="A68" s="6" t="s">
        <v>373</v>
      </c>
      <c r="B68" s="18" t="s">
        <v>374</v>
      </c>
      <c r="C68" s="18"/>
      <c r="D68" s="7"/>
      <c r="E68" s="7">
        <v>-2.0</v>
      </c>
      <c r="F68" s="12" t="s">
        <v>375</v>
      </c>
      <c r="G68" s="7" t="s">
        <v>376</v>
      </c>
      <c r="H68" s="8" t="s">
        <v>168</v>
      </c>
      <c r="I68" s="41" t="s">
        <v>377</v>
      </c>
      <c r="J68" s="13" t="str">
        <f t="shared" si="4"/>
        <v>https://inmapper.com/zorlucenter/img/logo/MINYCENTERCARTER'S.png</v>
      </c>
      <c r="K68" s="7" t="s">
        <v>378</v>
      </c>
      <c r="L68" s="8" t="s">
        <v>171</v>
      </c>
      <c r="M68" s="9"/>
      <c r="N68" s="10"/>
      <c r="O68" s="10"/>
      <c r="P68" s="10"/>
      <c r="Q68" s="10"/>
      <c r="R68" s="10"/>
      <c r="S68" s="10"/>
      <c r="T68" s="10"/>
      <c r="U68" s="10"/>
      <c r="V68" s="10"/>
      <c r="W68" s="10"/>
      <c r="X68" s="10"/>
      <c r="Y68" s="10"/>
      <c r="Z68" s="10"/>
    </row>
    <row r="69" ht="15.75" customHeight="1">
      <c r="A69" s="6" t="s">
        <v>379</v>
      </c>
      <c r="B69" s="7" t="s">
        <v>380</v>
      </c>
      <c r="C69" s="7"/>
      <c r="D69" s="7"/>
      <c r="E69" s="7">
        <v>-2.0</v>
      </c>
      <c r="F69" s="12" t="s">
        <v>381</v>
      </c>
      <c r="G69" s="7" t="s">
        <v>382</v>
      </c>
      <c r="H69" s="8" t="s">
        <v>67</v>
      </c>
      <c r="I69" s="8" t="s">
        <v>383</v>
      </c>
      <c r="J69" s="13" t="str">
        <f t="shared" si="4"/>
        <v>https://inmapper.com/zorlucenter/img/logo/ATELIERREBUL.png</v>
      </c>
      <c r="K69" s="7" t="s">
        <v>384</v>
      </c>
      <c r="L69" s="8" t="s">
        <v>70</v>
      </c>
      <c r="M69" s="9"/>
      <c r="N69" s="10"/>
      <c r="O69" s="10"/>
      <c r="P69" s="10"/>
      <c r="Q69" s="10"/>
      <c r="R69" s="10"/>
      <c r="S69" s="10"/>
      <c r="T69" s="10"/>
      <c r="U69" s="10"/>
      <c r="V69" s="10"/>
      <c r="W69" s="10"/>
      <c r="X69" s="10"/>
      <c r="Y69" s="10"/>
      <c r="Z69" s="10"/>
    </row>
    <row r="70" ht="15.75" customHeight="1">
      <c r="A70" s="6" t="s">
        <v>385</v>
      </c>
      <c r="B70" s="7" t="s">
        <v>386</v>
      </c>
      <c r="C70" s="7"/>
      <c r="D70" s="7"/>
      <c r="E70" s="7">
        <v>-2.0</v>
      </c>
      <c r="F70" s="12" t="s">
        <v>387</v>
      </c>
      <c r="G70" s="7" t="s">
        <v>388</v>
      </c>
      <c r="H70" s="8" t="s">
        <v>152</v>
      </c>
      <c r="I70" s="8" t="s">
        <v>389</v>
      </c>
      <c r="J70" s="13" t="str">
        <f t="shared" si="4"/>
        <v>https://inmapper.com/zorlucenter/img/logo/EMOOPTİK.png</v>
      </c>
      <c r="K70" s="7" t="s">
        <v>390</v>
      </c>
      <c r="L70" s="8" t="s">
        <v>155</v>
      </c>
      <c r="M70" s="9"/>
      <c r="N70" s="10"/>
      <c r="O70" s="10"/>
      <c r="P70" s="10"/>
      <c r="Q70" s="10"/>
      <c r="R70" s="10"/>
      <c r="S70" s="10"/>
      <c r="T70" s="10"/>
      <c r="U70" s="10"/>
      <c r="V70" s="10"/>
      <c r="W70" s="10"/>
      <c r="X70" s="10"/>
      <c r="Y70" s="10"/>
      <c r="Z70" s="10"/>
    </row>
    <row r="71" ht="15.75" customHeight="1">
      <c r="A71" s="6" t="s">
        <v>391</v>
      </c>
      <c r="B71" s="7" t="s">
        <v>392</v>
      </c>
      <c r="C71" s="7"/>
      <c r="D71" s="7"/>
      <c r="E71" s="7">
        <v>-2.0</v>
      </c>
      <c r="F71" s="12" t="s">
        <v>393</v>
      </c>
      <c r="G71" s="18" t="s">
        <v>394</v>
      </c>
      <c r="H71" s="42" t="s">
        <v>395</v>
      </c>
      <c r="I71" s="9"/>
      <c r="J71" s="13" t="str">
        <f t="shared" si="4"/>
        <v>https://inmapper.com/zorlucenter/img/logo/HELLOSWEETIE.png</v>
      </c>
      <c r="K71" s="7" t="s">
        <v>396</v>
      </c>
      <c r="L71" s="42" t="s">
        <v>397</v>
      </c>
      <c r="M71" s="9"/>
      <c r="N71" s="10"/>
      <c r="O71" s="10"/>
      <c r="P71" s="10"/>
      <c r="Q71" s="10"/>
      <c r="R71" s="10"/>
      <c r="S71" s="10"/>
      <c r="T71" s="10"/>
      <c r="U71" s="10"/>
      <c r="V71" s="10"/>
      <c r="W71" s="10"/>
      <c r="X71" s="10"/>
      <c r="Y71" s="10"/>
      <c r="Z71" s="10"/>
    </row>
    <row r="72" ht="15.75" customHeight="1">
      <c r="A72" s="6" t="s">
        <v>398</v>
      </c>
      <c r="B72" s="7" t="s">
        <v>399</v>
      </c>
      <c r="C72" s="7"/>
      <c r="D72" s="7"/>
      <c r="E72" s="7">
        <v>-2.0</v>
      </c>
      <c r="F72" s="12" t="s">
        <v>400</v>
      </c>
      <c r="G72" s="7" t="s">
        <v>401</v>
      </c>
      <c r="H72" s="8" t="s">
        <v>90</v>
      </c>
      <c r="I72" s="13" t="s">
        <v>402</v>
      </c>
      <c r="J72" s="13" t="str">
        <f t="shared" si="4"/>
        <v>https://inmapper.com/zorlucenter/img/logo/APPLESTORE.png</v>
      </c>
      <c r="K72" s="7" t="s">
        <v>403</v>
      </c>
      <c r="L72" s="8" t="s">
        <v>92</v>
      </c>
      <c r="M72" s="9"/>
      <c r="N72" s="10"/>
      <c r="O72" s="10"/>
      <c r="P72" s="10"/>
      <c r="Q72" s="10"/>
      <c r="R72" s="10"/>
      <c r="S72" s="10"/>
      <c r="T72" s="10"/>
      <c r="U72" s="10"/>
      <c r="V72" s="10"/>
      <c r="W72" s="10"/>
      <c r="X72" s="10"/>
      <c r="Y72" s="10"/>
      <c r="Z72" s="10"/>
    </row>
    <row r="73" ht="15.75" customHeight="1">
      <c r="A73" s="6" t="s">
        <v>404</v>
      </c>
      <c r="B73" s="7" t="s">
        <v>405</v>
      </c>
      <c r="C73" s="34"/>
      <c r="D73" s="7"/>
      <c r="E73" s="7">
        <v>-2.0</v>
      </c>
      <c r="F73" s="12" t="s">
        <v>406</v>
      </c>
      <c r="G73" s="7" t="s">
        <v>407</v>
      </c>
      <c r="H73" s="8" t="s">
        <v>184</v>
      </c>
      <c r="I73" s="8"/>
      <c r="J73" s="8"/>
      <c r="K73" s="7"/>
      <c r="L73" s="8" t="s">
        <v>187</v>
      </c>
      <c r="M73" s="9"/>
      <c r="N73" s="10"/>
      <c r="O73" s="10"/>
      <c r="P73" s="10"/>
      <c r="Q73" s="10"/>
      <c r="R73" s="10"/>
      <c r="S73" s="10"/>
      <c r="T73" s="10"/>
      <c r="U73" s="10"/>
      <c r="V73" s="10"/>
      <c r="W73" s="10"/>
      <c r="X73" s="10"/>
      <c r="Y73" s="10"/>
      <c r="Z73" s="10"/>
    </row>
    <row r="74" ht="15.75" customHeight="1">
      <c r="A74" s="6" t="s">
        <v>404</v>
      </c>
      <c r="B74" s="24" t="s">
        <v>408</v>
      </c>
      <c r="C74" s="9"/>
      <c r="D74" s="9"/>
      <c r="E74" s="7">
        <v>-2.0</v>
      </c>
      <c r="F74" s="24" t="s">
        <v>15</v>
      </c>
      <c r="G74" s="24" t="s">
        <v>409</v>
      </c>
      <c r="H74" s="8" t="s">
        <v>41</v>
      </c>
      <c r="I74" s="8"/>
      <c r="J74" s="8"/>
      <c r="K74" s="7"/>
      <c r="L74" s="8" t="s">
        <v>44</v>
      </c>
      <c r="M74" s="9"/>
      <c r="N74" s="10"/>
      <c r="O74" s="10"/>
      <c r="P74" s="10"/>
      <c r="Q74" s="10"/>
      <c r="R74" s="10"/>
      <c r="S74" s="10"/>
      <c r="T74" s="10"/>
      <c r="U74" s="10"/>
      <c r="V74" s="10"/>
      <c r="W74" s="10"/>
      <c r="X74" s="10"/>
      <c r="Y74" s="10"/>
      <c r="Z74" s="10"/>
    </row>
    <row r="75" ht="15.75" customHeight="1">
      <c r="A75" s="6" t="s">
        <v>404</v>
      </c>
      <c r="B75" s="24" t="s">
        <v>410</v>
      </c>
      <c r="C75" s="9"/>
      <c r="D75" s="9"/>
      <c r="E75" s="7">
        <v>-2.0</v>
      </c>
      <c r="F75" s="45" t="s">
        <v>411</v>
      </c>
      <c r="G75" s="24" t="s">
        <v>409</v>
      </c>
      <c r="H75" s="8" t="s">
        <v>41</v>
      </c>
      <c r="I75" s="8"/>
      <c r="J75" s="8"/>
      <c r="K75" s="7"/>
      <c r="L75" s="8" t="s">
        <v>44</v>
      </c>
      <c r="M75" s="9"/>
      <c r="N75" s="15"/>
      <c r="O75" s="10"/>
      <c r="P75" s="10"/>
      <c r="Q75" s="10"/>
      <c r="R75" s="16"/>
      <c r="S75" s="10"/>
      <c r="T75" s="10"/>
      <c r="U75" s="10"/>
      <c r="V75" s="10"/>
      <c r="W75" s="10"/>
      <c r="X75" s="10"/>
      <c r="Y75" s="10"/>
      <c r="Z75" s="10"/>
    </row>
    <row r="76" ht="15.75" customHeight="1">
      <c r="A76" s="6" t="s">
        <v>404</v>
      </c>
      <c r="B76" s="7" t="s">
        <v>114</v>
      </c>
      <c r="C76" s="34" t="s">
        <v>115</v>
      </c>
      <c r="D76" s="7"/>
      <c r="E76" s="7">
        <v>-2.0</v>
      </c>
      <c r="F76" s="12" t="s">
        <v>116</v>
      </c>
      <c r="G76" s="7" t="s">
        <v>117</v>
      </c>
      <c r="H76" s="8" t="s">
        <v>41</v>
      </c>
      <c r="I76" s="8"/>
      <c r="J76" s="8"/>
      <c r="K76" s="7"/>
      <c r="L76" s="8" t="s">
        <v>44</v>
      </c>
      <c r="M76" s="9"/>
      <c r="N76" s="10"/>
      <c r="O76" s="10"/>
      <c r="P76" s="10"/>
      <c r="Q76" s="10"/>
      <c r="R76" s="10"/>
      <c r="S76" s="10"/>
      <c r="T76" s="10"/>
      <c r="U76" s="10"/>
      <c r="V76" s="10"/>
      <c r="W76" s="10"/>
      <c r="X76" s="10"/>
      <c r="Y76" s="10"/>
      <c r="Z76" s="10"/>
    </row>
    <row r="77" ht="15.75" customHeight="1">
      <c r="A77" s="21" t="s">
        <v>412</v>
      </c>
      <c r="B77" s="18" t="s">
        <v>413</v>
      </c>
      <c r="C77" s="18"/>
      <c r="D77" s="7"/>
      <c r="E77" s="18">
        <v>-2.0</v>
      </c>
      <c r="F77" s="17" t="s">
        <v>414</v>
      </c>
      <c r="G77" s="7"/>
      <c r="H77" s="8" t="s">
        <v>176</v>
      </c>
      <c r="I77" s="41" t="s">
        <v>415</v>
      </c>
      <c r="J77" s="13" t="str">
        <f t="shared" ref="J77:J85" si="5">CONCATENATE($M$1,$K77)</f>
        <v>https://inmapper.com/zorlucenter/img/logo/TUMI.png</v>
      </c>
      <c r="K77" s="18" t="s">
        <v>416</v>
      </c>
      <c r="L77" s="8" t="s">
        <v>179</v>
      </c>
      <c r="M77" s="9"/>
      <c r="N77" s="10"/>
      <c r="O77" s="10"/>
      <c r="P77" s="10"/>
      <c r="Q77" s="10"/>
      <c r="R77" s="10"/>
      <c r="S77" s="10"/>
      <c r="T77" s="10"/>
      <c r="U77" s="10"/>
      <c r="V77" s="10"/>
      <c r="W77" s="10"/>
      <c r="X77" s="10"/>
      <c r="Y77" s="10"/>
      <c r="Z77" s="10"/>
    </row>
    <row r="78" ht="15.75" customHeight="1">
      <c r="A78" s="6" t="s">
        <v>417</v>
      </c>
      <c r="B78" s="7" t="s">
        <v>418</v>
      </c>
      <c r="C78" s="7"/>
      <c r="D78" s="7"/>
      <c r="E78" s="7">
        <v>-2.0</v>
      </c>
      <c r="F78" s="12" t="s">
        <v>419</v>
      </c>
      <c r="G78" s="7" t="s">
        <v>420</v>
      </c>
      <c r="H78" s="8" t="s">
        <v>90</v>
      </c>
      <c r="I78" s="8" t="s">
        <v>421</v>
      </c>
      <c r="J78" s="13" t="str">
        <f t="shared" si="5"/>
        <v>https://inmapper.com/zorlucenter/img/logo/DYSON.png</v>
      </c>
      <c r="K78" s="7" t="s">
        <v>422</v>
      </c>
      <c r="L78" s="8" t="s">
        <v>92</v>
      </c>
      <c r="M78" s="9"/>
      <c r="N78" s="10"/>
      <c r="O78" s="10"/>
      <c r="P78" s="10"/>
      <c r="Q78" s="10"/>
      <c r="R78" s="10"/>
      <c r="S78" s="10"/>
      <c r="T78" s="10"/>
      <c r="U78" s="10"/>
      <c r="V78" s="10"/>
      <c r="W78" s="10"/>
      <c r="X78" s="10"/>
      <c r="Y78" s="10"/>
      <c r="Z78" s="10"/>
    </row>
    <row r="79" ht="15.75" customHeight="1">
      <c r="A79" s="6" t="s">
        <v>423</v>
      </c>
      <c r="B79" s="7" t="s">
        <v>424</v>
      </c>
      <c r="C79" s="7"/>
      <c r="D79" s="7"/>
      <c r="E79" s="7">
        <v>-2.0</v>
      </c>
      <c r="F79" s="12" t="s">
        <v>425</v>
      </c>
      <c r="G79" s="7" t="s">
        <v>426</v>
      </c>
      <c r="H79" s="8" t="s">
        <v>168</v>
      </c>
      <c r="I79" s="8" t="s">
        <v>427</v>
      </c>
      <c r="J79" s="13" t="str">
        <f t="shared" si="5"/>
        <v>https://inmapper.com/zorlucenter/img/logo/PEMBECİDA.png</v>
      </c>
      <c r="K79" s="7" t="s">
        <v>428</v>
      </c>
      <c r="L79" s="8" t="s">
        <v>171</v>
      </c>
      <c r="M79" s="9"/>
      <c r="N79" s="10"/>
      <c r="O79" s="10"/>
      <c r="P79" s="10"/>
      <c r="Q79" s="10"/>
      <c r="R79" s="10"/>
      <c r="S79" s="10"/>
      <c r="T79" s="10"/>
      <c r="U79" s="10"/>
      <c r="V79" s="10"/>
      <c r="W79" s="10"/>
      <c r="X79" s="10"/>
      <c r="Y79" s="10"/>
      <c r="Z79" s="10"/>
    </row>
    <row r="80" ht="15.75" customHeight="1">
      <c r="A80" s="6" t="s">
        <v>429</v>
      </c>
      <c r="B80" s="7" t="s">
        <v>430</v>
      </c>
      <c r="C80" s="7"/>
      <c r="D80" s="7"/>
      <c r="E80" s="7">
        <v>-2.0</v>
      </c>
      <c r="F80" s="12" t="s">
        <v>431</v>
      </c>
      <c r="G80" s="7" t="s">
        <v>432</v>
      </c>
      <c r="H80" s="7" t="s">
        <v>152</v>
      </c>
      <c r="I80" s="46" t="s">
        <v>433</v>
      </c>
      <c r="J80" s="13" t="str">
        <f t="shared" si="5"/>
        <v>https://inmapper.com/zorlucenter/img/logo/AMETIST.png</v>
      </c>
      <c r="K80" s="7" t="s">
        <v>434</v>
      </c>
      <c r="L80" s="7" t="s">
        <v>155</v>
      </c>
      <c r="M80" s="9"/>
      <c r="N80" s="15"/>
      <c r="O80" s="10"/>
      <c r="P80" s="10"/>
      <c r="Q80" s="10"/>
      <c r="R80" s="16"/>
      <c r="S80" s="10"/>
      <c r="T80" s="10"/>
      <c r="U80" s="10"/>
      <c r="V80" s="10"/>
      <c r="W80" s="10"/>
      <c r="X80" s="10"/>
      <c r="Y80" s="10"/>
      <c r="Z80" s="10"/>
    </row>
    <row r="81" ht="15.75" customHeight="1">
      <c r="A81" s="6" t="s">
        <v>435</v>
      </c>
      <c r="B81" s="7" t="s">
        <v>436</v>
      </c>
      <c r="C81" s="7"/>
      <c r="D81" s="7"/>
      <c r="E81" s="7">
        <v>-2.0</v>
      </c>
      <c r="F81" s="12" t="s">
        <v>437</v>
      </c>
      <c r="G81" s="7" t="s">
        <v>438</v>
      </c>
      <c r="H81" s="7" t="s">
        <v>152</v>
      </c>
      <c r="I81" s="46" t="s">
        <v>439</v>
      </c>
      <c r="J81" s="13" t="str">
        <f t="shared" si="5"/>
        <v>https://inmapper.com/zorlucenter/img/logo/LAMY.png</v>
      </c>
      <c r="K81" s="7" t="s">
        <v>440</v>
      </c>
      <c r="L81" s="7" t="s">
        <v>155</v>
      </c>
      <c r="M81" s="9"/>
      <c r="N81" s="15"/>
      <c r="O81" s="10"/>
      <c r="P81" s="10"/>
      <c r="Q81" s="10"/>
      <c r="R81" s="16"/>
      <c r="S81" s="10"/>
      <c r="T81" s="10"/>
      <c r="U81" s="10"/>
      <c r="V81" s="10"/>
      <c r="W81" s="10"/>
      <c r="X81" s="10"/>
      <c r="Y81" s="10"/>
      <c r="Z81" s="10"/>
    </row>
    <row r="82" ht="15.75" customHeight="1">
      <c r="A82" s="6" t="s">
        <v>441</v>
      </c>
      <c r="B82" s="7" t="s">
        <v>442</v>
      </c>
      <c r="C82" s="7"/>
      <c r="D82" s="7"/>
      <c r="E82" s="7">
        <v>-2.0</v>
      </c>
      <c r="F82" s="7" t="s">
        <v>15</v>
      </c>
      <c r="G82" s="7" t="s">
        <v>443</v>
      </c>
      <c r="H82" s="8" t="s">
        <v>67</v>
      </c>
      <c r="I82" s="13" t="s">
        <v>444</v>
      </c>
      <c r="J82" s="13" t="str">
        <f t="shared" si="5"/>
        <v>https://inmapper.com/zorlucenter/img/logo/MAISONPEREJA.png</v>
      </c>
      <c r="K82" s="7" t="s">
        <v>445</v>
      </c>
      <c r="L82" s="8" t="s">
        <v>70</v>
      </c>
      <c r="M82" s="9"/>
      <c r="N82" s="10"/>
      <c r="O82" s="10"/>
      <c r="P82" s="10"/>
      <c r="Q82" s="10"/>
      <c r="R82" s="10"/>
      <c r="S82" s="10"/>
      <c r="T82" s="10"/>
      <c r="U82" s="10"/>
      <c r="V82" s="10"/>
      <c r="W82" s="10"/>
      <c r="X82" s="10"/>
      <c r="Y82" s="10"/>
      <c r="Z82" s="10"/>
    </row>
    <row r="83" ht="15.75" customHeight="1">
      <c r="A83" s="21" t="s">
        <v>446</v>
      </c>
      <c r="B83" s="18" t="s">
        <v>447</v>
      </c>
      <c r="C83" s="18"/>
      <c r="D83" s="7"/>
      <c r="E83" s="18">
        <v>-2.0</v>
      </c>
      <c r="F83" s="17" t="s">
        <v>448</v>
      </c>
      <c r="G83" s="7"/>
      <c r="H83" s="8" t="s">
        <v>67</v>
      </c>
      <c r="I83" s="40" t="s">
        <v>449</v>
      </c>
      <c r="J83" s="13" t="str">
        <f t="shared" si="5"/>
        <v>https://inmapper.com/zorlucenter/img/logo/KIKOMILANO.png</v>
      </c>
      <c r="K83" s="18" t="s">
        <v>450</v>
      </c>
      <c r="L83" s="8" t="s">
        <v>70</v>
      </c>
      <c r="M83" s="9"/>
      <c r="N83" s="10"/>
      <c r="O83" s="10"/>
      <c r="P83" s="10"/>
      <c r="Q83" s="10"/>
      <c r="R83" s="10"/>
      <c r="S83" s="10"/>
      <c r="T83" s="10"/>
      <c r="U83" s="10"/>
      <c r="V83" s="10"/>
      <c r="W83" s="10"/>
      <c r="X83" s="10"/>
      <c r="Y83" s="10"/>
      <c r="Z83" s="10"/>
    </row>
    <row r="84" ht="15.75" customHeight="1">
      <c r="A84" s="6" t="s">
        <v>451</v>
      </c>
      <c r="B84" s="7" t="s">
        <v>94</v>
      </c>
      <c r="C84" s="7"/>
      <c r="D84" s="6" t="s">
        <v>142</v>
      </c>
      <c r="E84" s="7">
        <v>-2.0</v>
      </c>
      <c r="F84" s="12" t="s">
        <v>95</v>
      </c>
      <c r="G84" s="7" t="s">
        <v>96</v>
      </c>
      <c r="H84" s="8" t="s">
        <v>90</v>
      </c>
      <c r="I84" s="22" t="s">
        <v>97</v>
      </c>
      <c r="J84" s="13" t="str">
        <f t="shared" si="5"/>
        <v>https://inmapper.com/zorlucenter/img/logo/MEDIAMARKT.png</v>
      </c>
      <c r="K84" s="7" t="s">
        <v>98</v>
      </c>
      <c r="L84" s="8" t="s">
        <v>92</v>
      </c>
      <c r="M84" s="9"/>
      <c r="N84" s="10"/>
      <c r="O84" s="10"/>
      <c r="P84" s="10"/>
      <c r="Q84" s="10"/>
      <c r="R84" s="10"/>
      <c r="S84" s="10"/>
      <c r="T84" s="10"/>
      <c r="U84" s="10"/>
      <c r="V84" s="10"/>
      <c r="W84" s="10"/>
      <c r="X84" s="10"/>
      <c r="Y84" s="10"/>
      <c r="Z84" s="10"/>
    </row>
    <row r="85" ht="15.75" customHeight="1">
      <c r="A85" s="6" t="s">
        <v>452</v>
      </c>
      <c r="B85" s="18" t="s">
        <v>453</v>
      </c>
      <c r="C85" s="7"/>
      <c r="D85" s="6"/>
      <c r="E85" s="18">
        <v>-2.0</v>
      </c>
      <c r="F85" s="18" t="s">
        <v>15</v>
      </c>
      <c r="G85" s="7"/>
      <c r="H85" s="43" t="s">
        <v>160</v>
      </c>
      <c r="I85" s="23" t="s">
        <v>454</v>
      </c>
      <c r="J85" s="13" t="str">
        <f t="shared" si="5"/>
        <v>https://inmapper.com/zorlucenter/img/logo/ALO.png</v>
      </c>
      <c r="K85" s="18" t="s">
        <v>455</v>
      </c>
      <c r="L85" s="43" t="s">
        <v>163</v>
      </c>
      <c r="M85" s="9"/>
      <c r="N85" s="10"/>
      <c r="O85" s="10"/>
      <c r="P85" s="10"/>
      <c r="Q85" s="10"/>
      <c r="R85" s="10"/>
      <c r="S85" s="10"/>
      <c r="T85" s="10"/>
      <c r="U85" s="10"/>
      <c r="V85" s="10"/>
      <c r="W85" s="10"/>
      <c r="X85" s="10"/>
      <c r="Y85" s="10"/>
      <c r="Z85" s="10"/>
    </row>
    <row r="86" ht="15.75" customHeight="1">
      <c r="A86" s="47" t="s">
        <v>456</v>
      </c>
      <c r="B86" s="47" t="s">
        <v>457</v>
      </c>
      <c r="C86" s="7"/>
      <c r="D86" s="7"/>
      <c r="E86" s="7">
        <v>-2.0</v>
      </c>
      <c r="F86" s="7" t="s">
        <v>15</v>
      </c>
      <c r="G86" s="7" t="s">
        <v>458</v>
      </c>
      <c r="H86" s="8" t="s">
        <v>129</v>
      </c>
      <c r="I86" s="8"/>
      <c r="J86" s="9"/>
      <c r="K86" s="9"/>
      <c r="L86" s="8" t="s">
        <v>459</v>
      </c>
      <c r="M86" s="9"/>
      <c r="N86" s="10"/>
      <c r="O86" s="10"/>
      <c r="P86" s="10"/>
      <c r="Q86" s="10"/>
      <c r="R86" s="10"/>
      <c r="S86" s="10"/>
      <c r="T86" s="10"/>
      <c r="U86" s="10"/>
      <c r="V86" s="10"/>
      <c r="W86" s="10"/>
      <c r="X86" s="10"/>
      <c r="Y86" s="10"/>
      <c r="Z86" s="10"/>
    </row>
    <row r="87" ht="15.75" customHeight="1">
      <c r="A87" s="47" t="s">
        <v>460</v>
      </c>
      <c r="B87" s="47" t="s">
        <v>457</v>
      </c>
      <c r="C87" s="7"/>
      <c r="D87" s="7"/>
      <c r="E87" s="7">
        <v>-2.0</v>
      </c>
      <c r="F87" s="7" t="s">
        <v>15</v>
      </c>
      <c r="G87" s="7" t="s">
        <v>458</v>
      </c>
      <c r="H87" s="8" t="s">
        <v>129</v>
      </c>
      <c r="I87" s="8"/>
      <c r="J87" s="9"/>
      <c r="K87" s="7"/>
      <c r="L87" s="8" t="s">
        <v>459</v>
      </c>
      <c r="M87" s="9"/>
      <c r="N87" s="10"/>
      <c r="O87" s="10"/>
      <c r="P87" s="10"/>
      <c r="Q87" s="10"/>
      <c r="R87" s="10"/>
      <c r="S87" s="10"/>
      <c r="T87" s="10"/>
      <c r="U87" s="10"/>
      <c r="V87" s="10"/>
      <c r="W87" s="10"/>
      <c r="X87" s="10"/>
      <c r="Y87" s="10"/>
      <c r="Z87" s="10"/>
    </row>
    <row r="88" ht="15.75" customHeight="1">
      <c r="A88" s="6" t="s">
        <v>461</v>
      </c>
      <c r="B88" s="7" t="s">
        <v>462</v>
      </c>
      <c r="C88" s="7"/>
      <c r="D88" s="7"/>
      <c r="E88" s="7">
        <v>-2.0</v>
      </c>
      <c r="F88" s="12" t="s">
        <v>463</v>
      </c>
      <c r="G88" s="7" t="s">
        <v>464</v>
      </c>
      <c r="H88" s="8" t="s">
        <v>129</v>
      </c>
      <c r="I88" s="8"/>
      <c r="J88" s="9"/>
      <c r="K88" s="9"/>
      <c r="L88" s="8" t="s">
        <v>459</v>
      </c>
      <c r="M88" s="9"/>
      <c r="N88" s="10"/>
      <c r="O88" s="10"/>
      <c r="P88" s="10"/>
      <c r="Q88" s="10"/>
      <c r="R88" s="10"/>
      <c r="S88" s="10"/>
      <c r="T88" s="10"/>
      <c r="U88" s="10"/>
      <c r="V88" s="10"/>
      <c r="W88" s="10"/>
      <c r="X88" s="10"/>
      <c r="Y88" s="10"/>
      <c r="Z88" s="10"/>
    </row>
    <row r="89" ht="15.75" customHeight="1">
      <c r="A89" s="6" t="s">
        <v>465</v>
      </c>
      <c r="B89" s="7" t="s">
        <v>466</v>
      </c>
      <c r="C89" s="7"/>
      <c r="D89" s="7"/>
      <c r="E89" s="7">
        <v>-2.0</v>
      </c>
      <c r="F89" s="7" t="s">
        <v>15</v>
      </c>
      <c r="G89" s="7" t="s">
        <v>467</v>
      </c>
      <c r="H89" s="8"/>
      <c r="I89" s="8"/>
      <c r="J89" s="8"/>
      <c r="K89" s="7"/>
      <c r="L89" s="8"/>
      <c r="M89" s="9"/>
      <c r="N89" s="10"/>
      <c r="O89" s="10"/>
      <c r="P89" s="10"/>
      <c r="Q89" s="10"/>
      <c r="R89" s="10"/>
      <c r="S89" s="10"/>
      <c r="T89" s="10"/>
      <c r="U89" s="10"/>
      <c r="V89" s="10"/>
      <c r="W89" s="10"/>
      <c r="X89" s="10"/>
      <c r="Y89" s="10"/>
      <c r="Z89" s="10"/>
    </row>
    <row r="90" ht="15.75" customHeight="1">
      <c r="A90" s="6" t="s">
        <v>468</v>
      </c>
      <c r="B90" s="7" t="s">
        <v>466</v>
      </c>
      <c r="C90" s="7"/>
      <c r="D90" s="7"/>
      <c r="E90" s="7">
        <v>-2.0</v>
      </c>
      <c r="F90" s="7" t="s">
        <v>15</v>
      </c>
      <c r="G90" s="7" t="s">
        <v>467</v>
      </c>
      <c r="H90" s="8"/>
      <c r="I90" s="8"/>
      <c r="J90" s="8"/>
      <c r="K90" s="7"/>
      <c r="L90" s="8"/>
      <c r="M90" s="9"/>
      <c r="N90" s="10"/>
      <c r="O90" s="10"/>
      <c r="P90" s="10"/>
      <c r="Q90" s="10"/>
      <c r="R90" s="10"/>
      <c r="S90" s="10"/>
      <c r="T90" s="10"/>
      <c r="U90" s="10"/>
      <c r="V90" s="10"/>
      <c r="W90" s="10"/>
      <c r="X90" s="10"/>
      <c r="Y90" s="10"/>
      <c r="Z90" s="10"/>
    </row>
    <row r="91" ht="15.75" customHeight="1">
      <c r="A91" s="6" t="s">
        <v>469</v>
      </c>
      <c r="B91" s="7" t="s">
        <v>134</v>
      </c>
      <c r="C91" s="7"/>
      <c r="D91" s="7"/>
      <c r="E91" s="7">
        <v>-1.0</v>
      </c>
      <c r="F91" s="7" t="s">
        <v>15</v>
      </c>
      <c r="G91" s="7" t="s">
        <v>135</v>
      </c>
      <c r="H91" s="8"/>
      <c r="I91" s="8"/>
      <c r="J91" s="8"/>
      <c r="K91" s="7"/>
      <c r="L91" s="8"/>
      <c r="M91" s="9"/>
      <c r="N91" s="10"/>
      <c r="O91" s="10"/>
      <c r="P91" s="10"/>
      <c r="Q91" s="10"/>
      <c r="R91" s="10"/>
      <c r="S91" s="10"/>
      <c r="T91" s="10"/>
      <c r="U91" s="10"/>
      <c r="V91" s="10"/>
      <c r="W91" s="10"/>
      <c r="X91" s="10"/>
      <c r="Y91" s="10"/>
      <c r="Z91" s="10"/>
    </row>
    <row r="92" ht="15.75" customHeight="1">
      <c r="A92" s="6" t="s">
        <v>470</v>
      </c>
      <c r="B92" s="7" t="s">
        <v>134</v>
      </c>
      <c r="C92" s="7"/>
      <c r="D92" s="7"/>
      <c r="E92" s="7">
        <v>-1.0</v>
      </c>
      <c r="F92" s="7" t="s">
        <v>15</v>
      </c>
      <c r="G92" s="7" t="s">
        <v>135</v>
      </c>
      <c r="H92" s="8"/>
      <c r="I92" s="8"/>
      <c r="J92" s="8"/>
      <c r="K92" s="7"/>
      <c r="L92" s="8"/>
      <c r="M92" s="9"/>
      <c r="N92" s="10"/>
      <c r="O92" s="10"/>
      <c r="P92" s="10"/>
      <c r="Q92" s="10"/>
      <c r="R92" s="10"/>
      <c r="S92" s="10"/>
      <c r="T92" s="10"/>
      <c r="U92" s="10"/>
      <c r="V92" s="10"/>
      <c r="W92" s="10"/>
      <c r="X92" s="10"/>
      <c r="Y92" s="10"/>
      <c r="Z92" s="10"/>
    </row>
    <row r="93" ht="15.75" customHeight="1">
      <c r="A93" s="6" t="s">
        <v>471</v>
      </c>
      <c r="B93" s="7" t="s">
        <v>472</v>
      </c>
      <c r="C93" s="7"/>
      <c r="D93" s="7"/>
      <c r="E93" s="7">
        <v>-1.0</v>
      </c>
      <c r="F93" s="7" t="s">
        <v>15</v>
      </c>
      <c r="G93" s="7" t="s">
        <v>27</v>
      </c>
      <c r="H93" s="8"/>
      <c r="I93" s="8"/>
      <c r="J93" s="8"/>
      <c r="K93" s="7"/>
      <c r="L93" s="8"/>
      <c r="M93" s="9"/>
      <c r="N93" s="10"/>
      <c r="O93" s="10"/>
      <c r="P93" s="10"/>
      <c r="Q93" s="10"/>
      <c r="R93" s="10"/>
      <c r="S93" s="10"/>
      <c r="T93" s="10"/>
      <c r="U93" s="10"/>
      <c r="V93" s="10"/>
      <c r="W93" s="10"/>
      <c r="X93" s="10"/>
      <c r="Y93" s="10"/>
      <c r="Z93" s="10"/>
    </row>
    <row r="94" ht="15.75" customHeight="1">
      <c r="A94" s="6" t="s">
        <v>473</v>
      </c>
      <c r="B94" s="7" t="s">
        <v>474</v>
      </c>
      <c r="C94" s="7"/>
      <c r="D94" s="7"/>
      <c r="E94" s="7">
        <v>-1.0</v>
      </c>
      <c r="F94" s="18" t="s">
        <v>15</v>
      </c>
      <c r="G94" s="7" t="s">
        <v>475</v>
      </c>
      <c r="H94" s="8" t="s">
        <v>160</v>
      </c>
      <c r="I94" s="8" t="s">
        <v>476</v>
      </c>
      <c r="J94" s="13" t="str">
        <f t="shared" ref="J94:J110" si="6">CONCATENATE($M$1,$K94)</f>
        <v>https://inmapper.com/zorlucenter/img/logo/ZARA.png</v>
      </c>
      <c r="K94" s="7" t="s">
        <v>477</v>
      </c>
      <c r="L94" s="8" t="s">
        <v>163</v>
      </c>
      <c r="M94" s="9"/>
      <c r="N94" s="10"/>
      <c r="O94" s="10"/>
      <c r="P94" s="10"/>
      <c r="Q94" s="10"/>
      <c r="R94" s="10"/>
      <c r="S94" s="10"/>
      <c r="T94" s="10"/>
      <c r="U94" s="10"/>
      <c r="V94" s="10"/>
      <c r="W94" s="10"/>
      <c r="X94" s="10"/>
      <c r="Y94" s="10"/>
      <c r="Z94" s="10"/>
    </row>
    <row r="95" ht="15.75" customHeight="1">
      <c r="A95" s="6" t="s">
        <v>478</v>
      </c>
      <c r="B95" s="7" t="s">
        <v>479</v>
      </c>
      <c r="C95" s="7"/>
      <c r="D95" s="7"/>
      <c r="E95" s="7">
        <v>-1.0</v>
      </c>
      <c r="F95" s="12" t="s">
        <v>480</v>
      </c>
      <c r="G95" s="7" t="s">
        <v>481</v>
      </c>
      <c r="H95" s="42" t="s">
        <v>395</v>
      </c>
      <c r="I95" s="42" t="s">
        <v>482</v>
      </c>
      <c r="J95" s="13" t="str">
        <f t="shared" si="6"/>
        <v>https://inmapper.com/zorlucenter/img/logo/BAKIRKAZAN.png</v>
      </c>
      <c r="K95" s="7" t="s">
        <v>483</v>
      </c>
      <c r="L95" s="42" t="s">
        <v>397</v>
      </c>
      <c r="M95" s="9"/>
      <c r="N95" s="10"/>
      <c r="O95" s="10"/>
      <c r="P95" s="10"/>
      <c r="Q95" s="10"/>
      <c r="R95" s="10"/>
      <c r="S95" s="10"/>
      <c r="T95" s="10"/>
      <c r="U95" s="10"/>
      <c r="V95" s="10"/>
      <c r="W95" s="10"/>
      <c r="X95" s="10"/>
      <c r="Y95" s="10"/>
      <c r="Z95" s="10"/>
    </row>
    <row r="96" ht="15.75" customHeight="1">
      <c r="A96" s="6" t="s">
        <v>484</v>
      </c>
      <c r="B96" s="7" t="s">
        <v>485</v>
      </c>
      <c r="C96" s="7"/>
      <c r="D96" s="7"/>
      <c r="E96" s="7">
        <v>-1.0</v>
      </c>
      <c r="F96" s="12" t="s">
        <v>486</v>
      </c>
      <c r="G96" s="7" t="s">
        <v>487</v>
      </c>
      <c r="H96" s="8" t="s">
        <v>67</v>
      </c>
      <c r="I96" s="13" t="s">
        <v>488</v>
      </c>
      <c r="J96" s="13" t="str">
        <f t="shared" si="6"/>
        <v>https://inmapper.com/zorlucenter/img/logo/WATSONS.png</v>
      </c>
      <c r="K96" s="7" t="s">
        <v>489</v>
      </c>
      <c r="L96" s="8" t="s">
        <v>70</v>
      </c>
      <c r="M96" s="9"/>
      <c r="N96" s="10"/>
      <c r="O96" s="10"/>
      <c r="P96" s="10"/>
      <c r="Q96" s="10"/>
      <c r="R96" s="10"/>
      <c r="S96" s="10"/>
      <c r="T96" s="10"/>
      <c r="U96" s="10"/>
      <c r="V96" s="10"/>
      <c r="W96" s="10"/>
      <c r="X96" s="10"/>
      <c r="Y96" s="10"/>
      <c r="Z96" s="10"/>
    </row>
    <row r="97" ht="15.75" customHeight="1">
      <c r="A97" s="6" t="s">
        <v>490</v>
      </c>
      <c r="B97" s="7" t="s">
        <v>491</v>
      </c>
      <c r="C97" s="7"/>
      <c r="D97" s="7"/>
      <c r="E97" s="7">
        <v>-1.0</v>
      </c>
      <c r="F97" s="12" t="s">
        <v>492</v>
      </c>
      <c r="G97" s="7" t="s">
        <v>493</v>
      </c>
      <c r="H97" s="8" t="s">
        <v>90</v>
      </c>
      <c r="I97" s="8" t="s">
        <v>494</v>
      </c>
      <c r="J97" s="13" t="str">
        <f t="shared" si="6"/>
        <v>https://inmapper.com/zorlucenter/img/logo/TURKCELL.png</v>
      </c>
      <c r="K97" s="7" t="s">
        <v>495</v>
      </c>
      <c r="L97" s="8" t="s">
        <v>92</v>
      </c>
      <c r="M97" s="9"/>
      <c r="N97" s="10"/>
      <c r="O97" s="10"/>
      <c r="P97" s="10"/>
      <c r="Q97" s="10"/>
      <c r="R97" s="10"/>
      <c r="S97" s="10"/>
      <c r="T97" s="10"/>
      <c r="U97" s="10"/>
      <c r="V97" s="10"/>
      <c r="W97" s="10"/>
      <c r="X97" s="10"/>
      <c r="Y97" s="10"/>
      <c r="Z97" s="10"/>
    </row>
    <row r="98" ht="15.75" customHeight="1">
      <c r="A98" s="6" t="s">
        <v>496</v>
      </c>
      <c r="B98" s="7" t="s">
        <v>497</v>
      </c>
      <c r="C98" s="7"/>
      <c r="D98" s="7"/>
      <c r="E98" s="7">
        <v>-1.0</v>
      </c>
      <c r="F98" s="12" t="s">
        <v>498</v>
      </c>
      <c r="G98" s="7" t="s">
        <v>499</v>
      </c>
      <c r="H98" s="8" t="s">
        <v>21</v>
      </c>
      <c r="I98" s="8" t="s">
        <v>500</v>
      </c>
      <c r="J98" s="13" t="str">
        <f t="shared" si="6"/>
        <v>https://inmapper.com/zorlucenter/img/logo/TOBACCOSHOP.png</v>
      </c>
      <c r="K98" s="7" t="s">
        <v>501</v>
      </c>
      <c r="L98" s="8" t="s">
        <v>24</v>
      </c>
      <c r="M98" s="9"/>
      <c r="N98" s="10"/>
      <c r="O98" s="10"/>
      <c r="P98" s="10"/>
      <c r="Q98" s="10"/>
      <c r="R98" s="10"/>
      <c r="S98" s="10"/>
      <c r="T98" s="10"/>
      <c r="U98" s="10"/>
      <c r="V98" s="10"/>
      <c r="W98" s="10"/>
      <c r="X98" s="10"/>
      <c r="Y98" s="10"/>
      <c r="Z98" s="10"/>
    </row>
    <row r="99" ht="15.75" customHeight="1">
      <c r="A99" s="6" t="s">
        <v>502</v>
      </c>
      <c r="B99" s="7" t="s">
        <v>503</v>
      </c>
      <c r="C99" s="7"/>
      <c r="D99" s="7"/>
      <c r="E99" s="7">
        <v>-1.0</v>
      </c>
      <c r="F99" s="12" t="s">
        <v>504</v>
      </c>
      <c r="G99" s="7" t="s">
        <v>505</v>
      </c>
      <c r="H99" s="8" t="s">
        <v>184</v>
      </c>
      <c r="I99" s="13" t="s">
        <v>506</v>
      </c>
      <c r="J99" s="13" t="str">
        <f t="shared" si="6"/>
        <v>https://inmapper.com/zorlucenter/img/logo/PLUSKITCHEN.png</v>
      </c>
      <c r="K99" s="24" t="s">
        <v>507</v>
      </c>
      <c r="L99" s="8" t="s">
        <v>187</v>
      </c>
      <c r="M99" s="9"/>
      <c r="N99" s="10"/>
      <c r="O99" s="10"/>
      <c r="P99" s="10"/>
      <c r="Q99" s="10"/>
      <c r="R99" s="10"/>
      <c r="S99" s="10"/>
      <c r="T99" s="10"/>
      <c r="U99" s="10"/>
      <c r="V99" s="10"/>
      <c r="W99" s="10"/>
      <c r="X99" s="10"/>
      <c r="Y99" s="10"/>
      <c r="Z99" s="10"/>
    </row>
    <row r="100" ht="15.75" customHeight="1">
      <c r="A100" s="6" t="s">
        <v>508</v>
      </c>
      <c r="B100" s="7" t="s">
        <v>509</v>
      </c>
      <c r="C100" s="7"/>
      <c r="D100" s="7"/>
      <c r="E100" s="7">
        <v>-1.0</v>
      </c>
      <c r="F100" s="12" t="s">
        <v>510</v>
      </c>
      <c r="G100" s="7" t="s">
        <v>511</v>
      </c>
      <c r="H100" s="8" t="s">
        <v>160</v>
      </c>
      <c r="I100" s="8" t="s">
        <v>512</v>
      </c>
      <c r="J100" s="13" t="str">
        <f t="shared" si="6"/>
        <v>https://inmapper.com/zorlucenter/img/logo/INTIMISSIMI.png</v>
      </c>
      <c r="K100" s="7" t="s">
        <v>513</v>
      </c>
      <c r="L100" s="8" t="s">
        <v>163</v>
      </c>
      <c r="M100" s="9"/>
      <c r="N100" s="10"/>
      <c r="O100" s="10"/>
      <c r="P100" s="10"/>
      <c r="Q100" s="10"/>
      <c r="R100" s="10"/>
      <c r="S100" s="10"/>
      <c r="T100" s="10"/>
      <c r="U100" s="10"/>
      <c r="V100" s="10"/>
      <c r="W100" s="10"/>
      <c r="X100" s="10"/>
      <c r="Y100" s="10"/>
      <c r="Z100" s="10"/>
    </row>
    <row r="101" ht="15.75" customHeight="1">
      <c r="A101" s="6" t="s">
        <v>514</v>
      </c>
      <c r="B101" s="7" t="s">
        <v>515</v>
      </c>
      <c r="C101" s="7"/>
      <c r="D101" s="7"/>
      <c r="E101" s="7">
        <v>-1.0</v>
      </c>
      <c r="F101" s="12" t="s">
        <v>516</v>
      </c>
      <c r="G101" s="7" t="s">
        <v>517</v>
      </c>
      <c r="H101" s="8" t="s">
        <v>160</v>
      </c>
      <c r="I101" s="8" t="s">
        <v>518</v>
      </c>
      <c r="J101" s="13" t="str">
        <f t="shared" si="6"/>
        <v>https://inmapper.com/zorlucenter/img/logo/FALCONERI.png</v>
      </c>
      <c r="K101" s="7" t="s">
        <v>519</v>
      </c>
      <c r="L101" s="8" t="s">
        <v>163</v>
      </c>
      <c r="M101" s="9"/>
      <c r="N101" s="10"/>
      <c r="O101" s="10"/>
      <c r="P101" s="10"/>
      <c r="Q101" s="10"/>
      <c r="R101" s="10"/>
      <c r="S101" s="10"/>
      <c r="T101" s="10"/>
      <c r="U101" s="10"/>
      <c r="V101" s="10"/>
      <c r="W101" s="10"/>
      <c r="X101" s="10"/>
      <c r="Y101" s="10"/>
      <c r="Z101" s="10"/>
    </row>
    <row r="102" ht="15.75" customHeight="1">
      <c r="A102" s="6" t="s">
        <v>520</v>
      </c>
      <c r="B102" s="7" t="s">
        <v>521</v>
      </c>
      <c r="C102" s="7"/>
      <c r="D102" s="7"/>
      <c r="E102" s="7">
        <v>-1.0</v>
      </c>
      <c r="F102" s="12" t="s">
        <v>522</v>
      </c>
      <c r="G102" s="7" t="s">
        <v>523</v>
      </c>
      <c r="H102" s="8" t="s">
        <v>160</v>
      </c>
      <c r="I102" s="8" t="s">
        <v>524</v>
      </c>
      <c r="J102" s="13" t="str">
        <f t="shared" si="6"/>
        <v>https://inmapper.com/zorlucenter/img/logo/CALZEDONIA.png</v>
      </c>
      <c r="K102" s="7" t="s">
        <v>525</v>
      </c>
      <c r="L102" s="8" t="s">
        <v>163</v>
      </c>
      <c r="M102" s="9"/>
      <c r="N102" s="10"/>
      <c r="O102" s="10"/>
      <c r="P102" s="10"/>
      <c r="Q102" s="10"/>
      <c r="R102" s="10"/>
      <c r="S102" s="10"/>
      <c r="T102" s="10"/>
      <c r="U102" s="10"/>
      <c r="V102" s="10"/>
      <c r="W102" s="10"/>
      <c r="X102" s="10"/>
      <c r="Y102" s="10"/>
      <c r="Z102" s="10"/>
    </row>
    <row r="103" ht="15.75" customHeight="1">
      <c r="A103" s="6" t="s">
        <v>526</v>
      </c>
      <c r="B103" s="7" t="s">
        <v>527</v>
      </c>
      <c r="C103" s="7"/>
      <c r="D103" s="7"/>
      <c r="E103" s="7">
        <v>-1.0</v>
      </c>
      <c r="F103" s="12" t="s">
        <v>528</v>
      </c>
      <c r="G103" s="7" t="s">
        <v>529</v>
      </c>
      <c r="H103" s="8" t="s">
        <v>67</v>
      </c>
      <c r="I103" s="8" t="s">
        <v>530</v>
      </c>
      <c r="J103" s="13" t="str">
        <f t="shared" si="6"/>
        <v>https://inmapper.com/zorlucenter/img/logo/L'OCCITANE.png</v>
      </c>
      <c r="K103" s="7" t="s">
        <v>531</v>
      </c>
      <c r="L103" s="8" t="s">
        <v>70</v>
      </c>
      <c r="M103" s="9"/>
      <c r="N103" s="10"/>
      <c r="O103" s="10"/>
      <c r="P103" s="10"/>
      <c r="Q103" s="10"/>
      <c r="R103" s="10"/>
      <c r="S103" s="10"/>
      <c r="T103" s="10"/>
      <c r="U103" s="10"/>
      <c r="V103" s="10"/>
      <c r="W103" s="10"/>
      <c r="X103" s="10"/>
      <c r="Y103" s="10"/>
      <c r="Z103" s="10"/>
    </row>
    <row r="104" ht="15.75" customHeight="1">
      <c r="A104" s="6" t="s">
        <v>532</v>
      </c>
      <c r="B104" s="7" t="s">
        <v>533</v>
      </c>
      <c r="C104" s="7"/>
      <c r="D104" s="7"/>
      <c r="E104" s="7">
        <v>-1.0</v>
      </c>
      <c r="F104" s="12" t="s">
        <v>534</v>
      </c>
      <c r="G104" s="7" t="s">
        <v>535</v>
      </c>
      <c r="H104" s="8" t="s">
        <v>67</v>
      </c>
      <c r="I104" s="8" t="s">
        <v>536</v>
      </c>
      <c r="J104" s="13" t="str">
        <f t="shared" si="6"/>
        <v>https://inmapper.com/zorlucenter/img/logo/SEVİL.png</v>
      </c>
      <c r="K104" s="7" t="s">
        <v>537</v>
      </c>
      <c r="L104" s="8" t="s">
        <v>70</v>
      </c>
      <c r="M104" s="9"/>
      <c r="N104" s="10"/>
      <c r="O104" s="10"/>
      <c r="P104" s="10"/>
      <c r="Q104" s="10"/>
      <c r="R104" s="10"/>
      <c r="S104" s="10"/>
      <c r="T104" s="10"/>
      <c r="U104" s="10"/>
      <c r="V104" s="10"/>
      <c r="W104" s="10"/>
      <c r="X104" s="10"/>
      <c r="Y104" s="10"/>
      <c r="Z104" s="10"/>
    </row>
    <row r="105" ht="15.75" customHeight="1">
      <c r="A105" s="21" t="s">
        <v>538</v>
      </c>
      <c r="B105" s="18" t="s">
        <v>539</v>
      </c>
      <c r="C105" s="18"/>
      <c r="D105" s="7"/>
      <c r="E105" s="18">
        <v>-1.0</v>
      </c>
      <c r="F105" s="18" t="s">
        <v>15</v>
      </c>
      <c r="G105" s="7"/>
      <c r="H105" s="43" t="s">
        <v>160</v>
      </c>
      <c r="I105" s="41" t="s">
        <v>540</v>
      </c>
      <c r="J105" s="13" t="str">
        <f t="shared" si="6"/>
        <v>https://inmapper.com/zorlucenter/img/logo/BLUEMINT.png</v>
      </c>
      <c r="K105" s="19" t="s">
        <v>541</v>
      </c>
      <c r="L105" s="43" t="s">
        <v>163</v>
      </c>
      <c r="M105" s="19"/>
      <c r="N105" s="20"/>
      <c r="O105" s="10"/>
      <c r="P105" s="10"/>
      <c r="Q105" s="10"/>
      <c r="R105" s="10"/>
      <c r="S105" s="10"/>
      <c r="T105" s="10"/>
      <c r="U105" s="10"/>
      <c r="V105" s="10"/>
      <c r="W105" s="10"/>
      <c r="X105" s="10"/>
      <c r="Y105" s="10"/>
      <c r="Z105" s="10"/>
    </row>
    <row r="106" ht="15.75" customHeight="1">
      <c r="A106" s="6" t="s">
        <v>542</v>
      </c>
      <c r="B106" s="7" t="s">
        <v>543</v>
      </c>
      <c r="C106" s="7"/>
      <c r="D106" s="7"/>
      <c r="E106" s="7">
        <v>-1.0</v>
      </c>
      <c r="F106" s="17" t="s">
        <v>544</v>
      </c>
      <c r="G106" s="7" t="s">
        <v>545</v>
      </c>
      <c r="H106" s="8" t="s">
        <v>176</v>
      </c>
      <c r="I106" s="8" t="s">
        <v>546</v>
      </c>
      <c r="J106" s="13" t="str">
        <f t="shared" si="6"/>
        <v>https://inmapper.com/zorlucenter/img/logo/DIVARESE.png</v>
      </c>
      <c r="K106" s="7" t="s">
        <v>547</v>
      </c>
      <c r="L106" s="8" t="s">
        <v>179</v>
      </c>
      <c r="M106" s="9"/>
      <c r="N106" s="10"/>
      <c r="O106" s="10"/>
      <c r="P106" s="10"/>
      <c r="Q106" s="10"/>
      <c r="R106" s="10"/>
      <c r="S106" s="10"/>
      <c r="T106" s="10"/>
      <c r="U106" s="10"/>
      <c r="V106" s="10"/>
      <c r="W106" s="10"/>
      <c r="X106" s="10"/>
      <c r="Y106" s="10"/>
      <c r="Z106" s="10"/>
    </row>
    <row r="107" ht="15.75" customHeight="1">
      <c r="A107" s="6" t="s">
        <v>548</v>
      </c>
      <c r="B107" s="7" t="s">
        <v>549</v>
      </c>
      <c r="C107" s="7"/>
      <c r="D107" s="7"/>
      <c r="E107" s="7">
        <v>-1.0</v>
      </c>
      <c r="F107" s="12" t="s">
        <v>550</v>
      </c>
      <c r="G107" s="7" t="s">
        <v>551</v>
      </c>
      <c r="H107" s="8" t="s">
        <v>184</v>
      </c>
      <c r="I107" s="13" t="s">
        <v>552</v>
      </c>
      <c r="J107" s="13" t="str">
        <f t="shared" si="6"/>
        <v>https://inmapper.com/zorlucenter/img/logo/NERO.png</v>
      </c>
      <c r="K107" s="7" t="s">
        <v>553</v>
      </c>
      <c r="L107" s="8" t="s">
        <v>187</v>
      </c>
      <c r="M107" s="9"/>
      <c r="N107" s="10"/>
      <c r="O107" s="10"/>
      <c r="P107" s="10"/>
      <c r="Q107" s="10"/>
      <c r="R107" s="10"/>
      <c r="S107" s="10"/>
      <c r="T107" s="10"/>
      <c r="U107" s="10"/>
      <c r="V107" s="10"/>
      <c r="W107" s="10"/>
      <c r="X107" s="10"/>
      <c r="Y107" s="10"/>
      <c r="Z107" s="10"/>
    </row>
    <row r="108" ht="15.75" customHeight="1">
      <c r="A108" s="6" t="s">
        <v>554</v>
      </c>
      <c r="B108" s="7" t="s">
        <v>555</v>
      </c>
      <c r="C108" s="18"/>
      <c r="D108" s="7"/>
      <c r="E108" s="7">
        <v>-1.0</v>
      </c>
      <c r="F108" s="12" t="s">
        <v>556</v>
      </c>
      <c r="G108" s="7" t="s">
        <v>557</v>
      </c>
      <c r="H108" s="8" t="s">
        <v>558</v>
      </c>
      <c r="I108" s="8" t="s">
        <v>559</v>
      </c>
      <c r="J108" s="8" t="str">
        <f t="shared" si="6"/>
        <v>https://inmapper.com/zorlucenter/img/logo/GÜNAYDINKÖFTEDÖNER.png</v>
      </c>
      <c r="K108" s="7" t="s">
        <v>560</v>
      </c>
      <c r="L108" s="8" t="s">
        <v>561</v>
      </c>
      <c r="M108" s="9"/>
      <c r="N108" s="10"/>
      <c r="O108" s="10"/>
      <c r="P108" s="10"/>
      <c r="Q108" s="10"/>
      <c r="R108" s="10"/>
      <c r="S108" s="10"/>
      <c r="T108" s="10"/>
      <c r="U108" s="10"/>
      <c r="V108" s="10"/>
      <c r="W108" s="10"/>
      <c r="X108" s="10"/>
      <c r="Y108" s="10"/>
      <c r="Z108" s="10"/>
    </row>
    <row r="109" ht="15.75" customHeight="1">
      <c r="A109" s="6" t="s">
        <v>562</v>
      </c>
      <c r="B109" s="7" t="s">
        <v>563</v>
      </c>
      <c r="C109" s="7"/>
      <c r="D109" s="7"/>
      <c r="E109" s="7">
        <v>-1.0</v>
      </c>
      <c r="F109" s="12" t="s">
        <v>564</v>
      </c>
      <c r="G109" s="7" t="s">
        <v>565</v>
      </c>
      <c r="H109" s="8" t="s">
        <v>558</v>
      </c>
      <c r="I109" s="8" t="s">
        <v>566</v>
      </c>
      <c r="J109" s="13" t="str">
        <f t="shared" si="6"/>
        <v>https://inmapper.com/zorlucenter/img/logo/POPEYES.png</v>
      </c>
      <c r="K109" s="7" t="s">
        <v>567</v>
      </c>
      <c r="L109" s="8" t="s">
        <v>561</v>
      </c>
      <c r="M109" s="9"/>
      <c r="N109" s="10"/>
      <c r="O109" s="10"/>
      <c r="P109" s="10"/>
      <c r="Q109" s="10"/>
      <c r="R109" s="10"/>
      <c r="S109" s="10"/>
      <c r="T109" s="10"/>
      <c r="U109" s="10"/>
      <c r="V109" s="10"/>
      <c r="W109" s="10"/>
      <c r="X109" s="10"/>
      <c r="Y109" s="10"/>
      <c r="Z109" s="10"/>
    </row>
    <row r="110" ht="15.75" customHeight="1">
      <c r="A110" s="6" t="s">
        <v>568</v>
      </c>
      <c r="B110" s="7" t="s">
        <v>569</v>
      </c>
      <c r="C110" s="7"/>
      <c r="D110" s="7"/>
      <c r="E110" s="7">
        <v>-1.0</v>
      </c>
      <c r="F110" s="12" t="s">
        <v>570</v>
      </c>
      <c r="G110" s="7" t="s">
        <v>571</v>
      </c>
      <c r="H110" s="8" t="s">
        <v>558</v>
      </c>
      <c r="I110" s="8" t="s">
        <v>572</v>
      </c>
      <c r="J110" s="13" t="str">
        <f t="shared" si="6"/>
        <v>https://inmapper.com/zorlucenter/img/logo/BURGERKING.png</v>
      </c>
      <c r="K110" s="7" t="s">
        <v>573</v>
      </c>
      <c r="L110" s="8" t="s">
        <v>561</v>
      </c>
      <c r="M110" s="9"/>
      <c r="N110" s="10"/>
      <c r="O110" s="10"/>
      <c r="P110" s="10"/>
      <c r="Q110" s="10"/>
      <c r="R110" s="10"/>
      <c r="S110" s="10"/>
      <c r="T110" s="10"/>
      <c r="U110" s="10"/>
      <c r="V110" s="10"/>
      <c r="W110" s="10"/>
      <c r="X110" s="10"/>
      <c r="Y110" s="10"/>
      <c r="Z110" s="10"/>
    </row>
    <row r="111" ht="15.75" customHeight="1">
      <c r="A111" s="6" t="s">
        <v>574</v>
      </c>
      <c r="B111" s="18" t="s">
        <v>575</v>
      </c>
      <c r="C111" s="7"/>
      <c r="D111" s="7"/>
      <c r="E111" s="7">
        <v>-1.0</v>
      </c>
      <c r="F111" s="18" t="s">
        <v>15</v>
      </c>
      <c r="G111" s="7"/>
      <c r="H111" s="8" t="s">
        <v>558</v>
      </c>
      <c r="I111" s="40" t="s">
        <v>576</v>
      </c>
      <c r="J111" s="13" t="str">
        <f>CONCATENATE(Doors!$M$1,$K111)</f>
        <v>https://inmapper.com/zorlucenter/img/logo/USTADONERCI.png</v>
      </c>
      <c r="K111" s="18" t="s">
        <v>577</v>
      </c>
      <c r="L111" s="8" t="s">
        <v>561</v>
      </c>
      <c r="M111" s="19"/>
      <c r="N111" s="20"/>
      <c r="O111" s="10"/>
      <c r="P111" s="10"/>
      <c r="Q111" s="10"/>
      <c r="R111" s="10"/>
      <c r="S111" s="10"/>
      <c r="T111" s="10"/>
      <c r="U111" s="10"/>
      <c r="V111" s="10"/>
      <c r="W111" s="10"/>
      <c r="X111" s="10"/>
      <c r="Y111" s="10"/>
      <c r="Z111" s="10"/>
    </row>
    <row r="112" ht="15.75" customHeight="1">
      <c r="A112" s="6" t="s">
        <v>578</v>
      </c>
      <c r="B112" s="7" t="s">
        <v>579</v>
      </c>
      <c r="C112" s="7"/>
      <c r="D112" s="7"/>
      <c r="E112" s="7">
        <v>-1.0</v>
      </c>
      <c r="F112" s="12" t="s">
        <v>580</v>
      </c>
      <c r="G112" s="7" t="s">
        <v>581</v>
      </c>
      <c r="H112" s="8" t="s">
        <v>558</v>
      </c>
      <c r="I112" s="8" t="s">
        <v>582</v>
      </c>
      <c r="J112" s="13" t="str">
        <f t="shared" ref="J112:J121" si="7">CONCATENATE($M$1,$K112)</f>
        <v>https://inmapper.com/zorlucenter/img/logo/ARBYS.png</v>
      </c>
      <c r="K112" s="7" t="s">
        <v>583</v>
      </c>
      <c r="L112" s="8" t="s">
        <v>561</v>
      </c>
      <c r="M112" s="9"/>
      <c r="N112" s="10"/>
      <c r="O112" s="10"/>
      <c r="P112" s="10"/>
      <c r="Q112" s="10"/>
      <c r="R112" s="10"/>
      <c r="S112" s="10"/>
      <c r="T112" s="10"/>
      <c r="U112" s="10"/>
      <c r="V112" s="10"/>
      <c r="W112" s="10"/>
      <c r="X112" s="10"/>
      <c r="Y112" s="10"/>
      <c r="Z112" s="10"/>
    </row>
    <row r="113" ht="15.75" customHeight="1">
      <c r="A113" s="6" t="s">
        <v>584</v>
      </c>
      <c r="B113" s="7" t="s">
        <v>585</v>
      </c>
      <c r="C113" s="7"/>
      <c r="D113" s="7"/>
      <c r="E113" s="7">
        <v>-1.0</v>
      </c>
      <c r="F113" s="17" t="s">
        <v>586</v>
      </c>
      <c r="G113" s="7" t="s">
        <v>587</v>
      </c>
      <c r="H113" s="8" t="s">
        <v>558</v>
      </c>
      <c r="I113" s="14" t="s">
        <v>588</v>
      </c>
      <c r="J113" s="8" t="str">
        <f t="shared" si="7"/>
        <v>https://inmapper.com/zorlucenter/img/logo/ZİYAFEKAYSERİMUTAFAĞI.png</v>
      </c>
      <c r="K113" s="7" t="s">
        <v>589</v>
      </c>
      <c r="L113" s="8" t="s">
        <v>561</v>
      </c>
      <c r="M113" s="9"/>
      <c r="N113" s="10"/>
      <c r="O113" s="10"/>
      <c r="P113" s="10"/>
      <c r="Q113" s="10"/>
      <c r="R113" s="10"/>
      <c r="S113" s="10"/>
      <c r="T113" s="10"/>
      <c r="U113" s="10"/>
      <c r="V113" s="10"/>
      <c r="W113" s="10"/>
      <c r="X113" s="10"/>
      <c r="Y113" s="10"/>
      <c r="Z113" s="10"/>
    </row>
    <row r="114" ht="15.75" customHeight="1">
      <c r="A114" s="6" t="s">
        <v>590</v>
      </c>
      <c r="B114" s="7" t="s">
        <v>591</v>
      </c>
      <c r="C114" s="7"/>
      <c r="D114" s="7"/>
      <c r="E114" s="7">
        <v>-1.0</v>
      </c>
      <c r="F114" s="17" t="s">
        <v>592</v>
      </c>
      <c r="G114" s="7" t="s">
        <v>593</v>
      </c>
      <c r="H114" s="8" t="s">
        <v>558</v>
      </c>
      <c r="I114" s="14" t="s">
        <v>594</v>
      </c>
      <c r="J114" s="13" t="str">
        <f t="shared" si="7"/>
        <v>https://inmapper.com/zorlucenter/img/logo/RAMİZ.png</v>
      </c>
      <c r="K114" s="7" t="s">
        <v>595</v>
      </c>
      <c r="L114" s="8" t="s">
        <v>561</v>
      </c>
      <c r="M114" s="9"/>
      <c r="N114" s="10"/>
      <c r="O114" s="10"/>
      <c r="P114" s="10"/>
      <c r="Q114" s="10"/>
      <c r="R114" s="10"/>
      <c r="S114" s="10"/>
      <c r="T114" s="10"/>
      <c r="U114" s="10"/>
      <c r="V114" s="10"/>
      <c r="W114" s="10"/>
      <c r="X114" s="10"/>
      <c r="Y114" s="10"/>
      <c r="Z114" s="10"/>
    </row>
    <row r="115" ht="15.75" customHeight="1">
      <c r="A115" s="6" t="s">
        <v>596</v>
      </c>
      <c r="B115" s="7" t="s">
        <v>597</v>
      </c>
      <c r="C115" s="18"/>
      <c r="D115" s="7"/>
      <c r="E115" s="7">
        <v>-1.0</v>
      </c>
      <c r="F115" s="12" t="s">
        <v>598</v>
      </c>
      <c r="G115" s="7" t="s">
        <v>599</v>
      </c>
      <c r="H115" s="8" t="s">
        <v>558</v>
      </c>
      <c r="I115" s="8" t="s">
        <v>600</v>
      </c>
      <c r="J115" s="13" t="str">
        <f t="shared" si="7"/>
        <v>https://inmapper.com/zorlucenter/img/logo/PİDEM.png</v>
      </c>
      <c r="K115" s="7" t="s">
        <v>601</v>
      </c>
      <c r="L115" s="8" t="s">
        <v>561</v>
      </c>
      <c r="M115" s="9"/>
      <c r="N115" s="10"/>
      <c r="O115" s="10"/>
      <c r="P115" s="10"/>
      <c r="Q115" s="10"/>
      <c r="R115" s="10"/>
      <c r="S115" s="10"/>
      <c r="T115" s="10"/>
      <c r="U115" s="10"/>
      <c r="V115" s="10"/>
      <c r="W115" s="10"/>
      <c r="X115" s="10"/>
      <c r="Y115" s="10"/>
      <c r="Z115" s="10"/>
    </row>
    <row r="116" ht="15.75" customHeight="1">
      <c r="A116" s="21" t="s">
        <v>602</v>
      </c>
      <c r="B116" s="18" t="s">
        <v>603</v>
      </c>
      <c r="C116" s="18" t="s">
        <v>604</v>
      </c>
      <c r="D116" s="7"/>
      <c r="E116" s="18">
        <v>-1.0</v>
      </c>
      <c r="F116" s="17" t="s">
        <v>605</v>
      </c>
      <c r="G116" s="7"/>
      <c r="H116" s="8" t="s">
        <v>558</v>
      </c>
      <c r="I116" s="40" t="s">
        <v>606</v>
      </c>
      <c r="J116" s="13" t="str">
        <f t="shared" si="7"/>
        <v>https://inmapper.com/zorlucenter/img/logo/REALLY.png</v>
      </c>
      <c r="K116" s="19" t="s">
        <v>607</v>
      </c>
      <c r="L116" s="8" t="s">
        <v>561</v>
      </c>
      <c r="M116" s="21"/>
      <c r="N116" s="18"/>
      <c r="O116" s="18"/>
      <c r="P116" s="7"/>
      <c r="Q116" s="18"/>
      <c r="R116" s="18"/>
      <c r="S116" s="7"/>
      <c r="T116" s="8"/>
      <c r="U116" s="43"/>
      <c r="V116" s="13"/>
      <c r="W116" s="19"/>
      <c r="X116" s="8"/>
      <c r="Y116" s="10"/>
      <c r="Z116" s="10"/>
    </row>
    <row r="117" ht="15.75" customHeight="1">
      <c r="A117" s="6" t="s">
        <v>608</v>
      </c>
      <c r="B117" s="18" t="s">
        <v>609</v>
      </c>
      <c r="C117" s="7"/>
      <c r="D117" s="7"/>
      <c r="E117" s="7">
        <v>-1.0</v>
      </c>
      <c r="F117" s="18" t="s">
        <v>15</v>
      </c>
      <c r="G117" s="7"/>
      <c r="H117" s="8" t="s">
        <v>558</v>
      </c>
      <c r="I117" s="40" t="s">
        <v>610</v>
      </c>
      <c r="J117" s="13" t="str">
        <f t="shared" si="7"/>
        <v>https://inmapper.com/zorlucenter/img/logo/DOYUYO.png</v>
      </c>
      <c r="K117" s="18" t="s">
        <v>611</v>
      </c>
      <c r="L117" s="8" t="s">
        <v>561</v>
      </c>
      <c r="M117" s="9"/>
      <c r="N117" s="10"/>
      <c r="O117" s="10"/>
      <c r="P117" s="10"/>
      <c r="Q117" s="10"/>
      <c r="R117" s="10"/>
      <c r="S117" s="10"/>
      <c r="T117" s="10"/>
      <c r="U117" s="10"/>
      <c r="V117" s="10"/>
      <c r="W117" s="10"/>
      <c r="X117" s="10"/>
      <c r="Y117" s="10"/>
      <c r="Z117" s="10"/>
    </row>
    <row r="118" ht="15.75" customHeight="1">
      <c r="A118" s="21" t="s">
        <v>612</v>
      </c>
      <c r="B118" s="18" t="s">
        <v>613</v>
      </c>
      <c r="C118" s="19"/>
      <c r="D118" s="7"/>
      <c r="E118" s="18">
        <v>-1.0</v>
      </c>
      <c r="F118" s="18" t="s">
        <v>15</v>
      </c>
      <c r="G118" s="18" t="s">
        <v>614</v>
      </c>
      <c r="H118" s="43" t="s">
        <v>558</v>
      </c>
      <c r="I118" s="40" t="s">
        <v>615</v>
      </c>
      <c r="J118" s="13" t="str">
        <f t="shared" si="7"/>
        <v>https://inmapper.com/zorlucenter/img/logo/DÜRÜMLE.png</v>
      </c>
      <c r="K118" s="18" t="s">
        <v>616</v>
      </c>
      <c r="L118" s="43" t="s">
        <v>561</v>
      </c>
      <c r="M118" s="48"/>
    </row>
    <row r="119" ht="15.75" customHeight="1">
      <c r="A119" s="6" t="s">
        <v>617</v>
      </c>
      <c r="B119" s="7" t="s">
        <v>618</v>
      </c>
      <c r="C119" s="7"/>
      <c r="D119" s="7"/>
      <c r="E119" s="7">
        <v>-1.0</v>
      </c>
      <c r="F119" s="12" t="s">
        <v>619</v>
      </c>
      <c r="G119" s="7" t="s">
        <v>620</v>
      </c>
      <c r="H119" s="8" t="s">
        <v>558</v>
      </c>
      <c r="I119" s="8" t="s">
        <v>621</v>
      </c>
      <c r="J119" s="13" t="str">
        <f t="shared" si="7"/>
        <v>https://inmapper.com/zorlucenter/img/logo/CARL'SJUNIOR.png</v>
      </c>
      <c r="K119" s="7" t="s">
        <v>622</v>
      </c>
      <c r="L119" s="8" t="s">
        <v>561</v>
      </c>
      <c r="M119" s="9"/>
      <c r="N119" s="10"/>
      <c r="O119" s="10"/>
      <c r="P119" s="10"/>
      <c r="Q119" s="10"/>
      <c r="R119" s="10"/>
      <c r="S119" s="10"/>
      <c r="T119" s="10"/>
      <c r="U119" s="10"/>
      <c r="V119" s="10"/>
      <c r="W119" s="10"/>
      <c r="X119" s="10"/>
      <c r="Y119" s="10"/>
      <c r="Z119" s="10"/>
    </row>
    <row r="120" ht="15.75" customHeight="1">
      <c r="A120" s="6" t="s">
        <v>623</v>
      </c>
      <c r="B120" s="7" t="s">
        <v>624</v>
      </c>
      <c r="C120" s="7"/>
      <c r="D120" s="7"/>
      <c r="E120" s="7">
        <v>-1.0</v>
      </c>
      <c r="F120" s="12" t="s">
        <v>625</v>
      </c>
      <c r="G120" s="7" t="s">
        <v>626</v>
      </c>
      <c r="H120" s="8" t="s">
        <v>558</v>
      </c>
      <c r="I120" s="8" t="s">
        <v>627</v>
      </c>
      <c r="J120" s="13" t="str">
        <f t="shared" si="7"/>
        <v>https://inmapper.com/zorlucenter/img/logo/TAHİN.png</v>
      </c>
      <c r="K120" s="9" t="s">
        <v>628</v>
      </c>
      <c r="L120" s="8" t="s">
        <v>561</v>
      </c>
      <c r="M120" s="9"/>
      <c r="N120" s="10"/>
      <c r="O120" s="10"/>
      <c r="P120" s="10"/>
      <c r="Q120" s="10"/>
      <c r="R120" s="10"/>
      <c r="S120" s="10"/>
      <c r="T120" s="10"/>
      <c r="U120" s="10"/>
      <c r="V120" s="10"/>
      <c r="W120" s="10"/>
      <c r="X120" s="10"/>
      <c r="Y120" s="10"/>
      <c r="Z120" s="10"/>
    </row>
    <row r="121" ht="15.75" customHeight="1">
      <c r="A121" s="6" t="s">
        <v>629</v>
      </c>
      <c r="B121" s="7" t="s">
        <v>630</v>
      </c>
      <c r="C121" s="7"/>
      <c r="D121" s="7"/>
      <c r="E121" s="7">
        <v>-1.0</v>
      </c>
      <c r="F121" s="12" t="s">
        <v>631</v>
      </c>
      <c r="G121" s="7" t="s">
        <v>632</v>
      </c>
      <c r="H121" s="8" t="s">
        <v>558</v>
      </c>
      <c r="I121" s="8" t="s">
        <v>633</v>
      </c>
      <c r="J121" s="13" t="str">
        <f t="shared" si="7"/>
        <v>https://inmapper.com/zorlucenter/img/logo/MCDONALD'S.png</v>
      </c>
      <c r="K121" s="7" t="s">
        <v>634</v>
      </c>
      <c r="L121" s="8" t="s">
        <v>561</v>
      </c>
      <c r="M121" s="9"/>
      <c r="N121" s="10"/>
      <c r="O121" s="10"/>
      <c r="P121" s="10"/>
      <c r="Q121" s="10"/>
      <c r="R121" s="10"/>
      <c r="S121" s="10"/>
      <c r="T121" s="10"/>
      <c r="U121" s="10"/>
      <c r="V121" s="10"/>
      <c r="W121" s="10"/>
      <c r="X121" s="10"/>
      <c r="Y121" s="10"/>
      <c r="Z121" s="10"/>
    </row>
    <row r="122" ht="15.75" customHeight="1">
      <c r="A122" s="21" t="s">
        <v>635</v>
      </c>
      <c r="B122" s="18" t="s">
        <v>636</v>
      </c>
      <c r="C122" s="7"/>
      <c r="D122" s="7"/>
      <c r="E122" s="18">
        <v>-1.0</v>
      </c>
      <c r="F122" s="17" t="s">
        <v>637</v>
      </c>
      <c r="G122" s="7"/>
      <c r="H122" s="8" t="s">
        <v>558</v>
      </c>
      <c r="I122" s="40" t="s">
        <v>638</v>
      </c>
      <c r="J122" s="13"/>
      <c r="K122" s="7"/>
      <c r="L122" s="43" t="s">
        <v>561</v>
      </c>
      <c r="M122" s="9"/>
      <c r="N122" s="10"/>
      <c r="O122" s="10"/>
      <c r="P122" s="10"/>
      <c r="Q122" s="10"/>
      <c r="R122" s="10"/>
      <c r="S122" s="10"/>
      <c r="T122" s="10"/>
      <c r="U122" s="10"/>
      <c r="V122" s="10"/>
      <c r="W122" s="10"/>
      <c r="X122" s="10"/>
      <c r="Y122" s="10"/>
      <c r="Z122" s="10"/>
    </row>
    <row r="123" ht="15.75" customHeight="1">
      <c r="A123" s="6" t="s">
        <v>639</v>
      </c>
      <c r="B123" s="7" t="s">
        <v>640</v>
      </c>
      <c r="C123" s="7"/>
      <c r="D123" s="7"/>
      <c r="E123" s="7">
        <v>-1.0</v>
      </c>
      <c r="F123" s="12" t="s">
        <v>641</v>
      </c>
      <c r="G123" s="7" t="s">
        <v>642</v>
      </c>
      <c r="H123" s="8" t="s">
        <v>558</v>
      </c>
      <c r="I123" s="8" t="s">
        <v>643</v>
      </c>
      <c r="J123" s="13" t="str">
        <f t="shared" ref="J123:J152" si="8">CONCATENATE($M$1,$K123)</f>
        <v>https://inmapper.com/zorlucenter/img/logo/SOSA.png</v>
      </c>
      <c r="K123" s="7" t="s">
        <v>644</v>
      </c>
      <c r="L123" s="8" t="s">
        <v>561</v>
      </c>
      <c r="M123" s="9"/>
      <c r="N123" s="10"/>
      <c r="O123" s="10"/>
      <c r="P123" s="10"/>
      <c r="Q123" s="10"/>
      <c r="R123" s="10"/>
      <c r="S123" s="10"/>
      <c r="T123" s="10"/>
      <c r="U123" s="10"/>
      <c r="V123" s="10"/>
      <c r="W123" s="10"/>
      <c r="X123" s="10"/>
      <c r="Y123" s="10"/>
      <c r="Z123" s="10"/>
    </row>
    <row r="124" ht="15.75" customHeight="1">
      <c r="A124" s="6" t="s">
        <v>645</v>
      </c>
      <c r="B124" s="7" t="s">
        <v>646</v>
      </c>
      <c r="C124" s="7"/>
      <c r="D124" s="7"/>
      <c r="E124" s="7">
        <v>-1.0</v>
      </c>
      <c r="F124" s="12" t="s">
        <v>647</v>
      </c>
      <c r="G124" s="7" t="s">
        <v>648</v>
      </c>
      <c r="H124" s="8" t="s">
        <v>558</v>
      </c>
      <c r="I124" s="8" t="s">
        <v>649</v>
      </c>
      <c r="J124" s="13" t="str">
        <f t="shared" si="8"/>
        <v>https://inmapper.com/zorlucenter/img/logo/GREENSALADS.png</v>
      </c>
      <c r="K124" s="7" t="s">
        <v>650</v>
      </c>
      <c r="L124" s="8" t="s">
        <v>561</v>
      </c>
      <c r="M124" s="9"/>
      <c r="N124" s="10"/>
      <c r="O124" s="10"/>
      <c r="P124" s="10"/>
      <c r="Q124" s="10"/>
      <c r="R124" s="10"/>
      <c r="S124" s="10"/>
      <c r="T124" s="10"/>
      <c r="U124" s="10"/>
      <c r="V124" s="10"/>
      <c r="W124" s="10"/>
      <c r="X124" s="10"/>
      <c r="Y124" s="10"/>
      <c r="Z124" s="10"/>
    </row>
    <row r="125" ht="15.75" customHeight="1">
      <c r="A125" s="6" t="s">
        <v>651</v>
      </c>
      <c r="B125" s="7" t="s">
        <v>652</v>
      </c>
      <c r="C125" s="7"/>
      <c r="D125" s="7"/>
      <c r="E125" s="7">
        <v>-1.0</v>
      </c>
      <c r="F125" s="12" t="s">
        <v>653</v>
      </c>
      <c r="G125" s="7" t="s">
        <v>654</v>
      </c>
      <c r="H125" s="8" t="s">
        <v>67</v>
      </c>
      <c r="I125" s="8" t="s">
        <v>655</v>
      </c>
      <c r="J125" s="13" t="str">
        <f t="shared" si="8"/>
        <v>https://inmapper.com/zorlucenter/img/logo/BOBBIBROWN.png</v>
      </c>
      <c r="K125" s="7" t="s">
        <v>656</v>
      </c>
      <c r="L125" s="8" t="s">
        <v>70</v>
      </c>
      <c r="M125" s="9"/>
      <c r="N125" s="10"/>
      <c r="O125" s="10"/>
      <c r="P125" s="10"/>
      <c r="Q125" s="10"/>
      <c r="R125" s="10"/>
      <c r="S125" s="10"/>
      <c r="T125" s="10"/>
      <c r="U125" s="10"/>
      <c r="V125" s="10"/>
      <c r="W125" s="10"/>
      <c r="X125" s="10"/>
      <c r="Y125" s="10"/>
      <c r="Z125" s="10"/>
    </row>
    <row r="126" ht="15.75" customHeight="1">
      <c r="A126" s="6" t="s">
        <v>657</v>
      </c>
      <c r="B126" s="7" t="s">
        <v>658</v>
      </c>
      <c r="C126" s="7"/>
      <c r="D126" s="7"/>
      <c r="E126" s="7">
        <v>-1.0</v>
      </c>
      <c r="F126" s="12" t="s">
        <v>659</v>
      </c>
      <c r="G126" s="7" t="s">
        <v>660</v>
      </c>
      <c r="H126" s="8" t="s">
        <v>152</v>
      </c>
      <c r="I126" s="8" t="s">
        <v>661</v>
      </c>
      <c r="J126" s="13" t="str">
        <f t="shared" si="8"/>
        <v>https://inmapper.com/zorlucenter/img/logo/PANDORA.png</v>
      </c>
      <c r="K126" s="7" t="s">
        <v>662</v>
      </c>
      <c r="L126" s="8" t="s">
        <v>155</v>
      </c>
      <c r="M126" s="9"/>
      <c r="N126" s="10"/>
      <c r="O126" s="10"/>
      <c r="P126" s="10"/>
      <c r="Q126" s="10"/>
      <c r="R126" s="10"/>
      <c r="S126" s="10"/>
      <c r="T126" s="10"/>
      <c r="U126" s="10"/>
      <c r="V126" s="10"/>
      <c r="W126" s="10"/>
      <c r="X126" s="10"/>
      <c r="Y126" s="10"/>
      <c r="Z126" s="10"/>
    </row>
    <row r="127" ht="15.75" customHeight="1">
      <c r="A127" s="6" t="s">
        <v>663</v>
      </c>
      <c r="B127" s="24" t="s">
        <v>664</v>
      </c>
      <c r="C127" s="7"/>
      <c r="D127" s="7"/>
      <c r="E127" s="7">
        <v>-1.0</v>
      </c>
      <c r="F127" s="17" t="s">
        <v>665</v>
      </c>
      <c r="G127" s="7" t="s">
        <v>666</v>
      </c>
      <c r="H127" s="8" t="s">
        <v>160</v>
      </c>
      <c r="I127" s="8" t="s">
        <v>667</v>
      </c>
      <c r="J127" s="13" t="str">
        <f t="shared" si="8"/>
        <v>https://inmapper.com/zorlucenter/img/logo/NETWORK.png</v>
      </c>
      <c r="K127" s="7" t="s">
        <v>668</v>
      </c>
      <c r="L127" s="8" t="s">
        <v>163</v>
      </c>
      <c r="M127" s="9"/>
      <c r="N127" s="10"/>
      <c r="O127" s="10"/>
      <c r="P127" s="10"/>
      <c r="Q127" s="10"/>
      <c r="R127" s="10"/>
      <c r="S127" s="10"/>
      <c r="T127" s="10"/>
      <c r="U127" s="10"/>
      <c r="V127" s="10"/>
      <c r="W127" s="10"/>
      <c r="X127" s="10"/>
      <c r="Y127" s="10"/>
      <c r="Z127" s="10"/>
    </row>
    <row r="128" ht="15.75" customHeight="1">
      <c r="A128" s="6" t="s">
        <v>669</v>
      </c>
      <c r="B128" s="18" t="s">
        <v>670</v>
      </c>
      <c r="C128" s="7"/>
      <c r="D128" s="7"/>
      <c r="E128" s="7">
        <v>-1.0</v>
      </c>
      <c r="F128" s="12" t="s">
        <v>671</v>
      </c>
      <c r="G128" s="18" t="s">
        <v>672</v>
      </c>
      <c r="H128" s="8" t="s">
        <v>160</v>
      </c>
      <c r="I128" s="41" t="s">
        <v>673</v>
      </c>
      <c r="J128" s="13" t="str">
        <f t="shared" si="8"/>
        <v>https://inmapper.com/zorlucenter/img/logo/EDWARDS.png</v>
      </c>
      <c r="K128" s="18" t="s">
        <v>674</v>
      </c>
      <c r="L128" s="8" t="s">
        <v>163</v>
      </c>
      <c r="M128" s="9"/>
      <c r="N128" s="10"/>
      <c r="O128" s="10"/>
      <c r="P128" s="10"/>
      <c r="Q128" s="10"/>
      <c r="R128" s="10"/>
      <c r="S128" s="10"/>
      <c r="T128" s="10"/>
      <c r="U128" s="10"/>
      <c r="V128" s="10"/>
      <c r="W128" s="10"/>
      <c r="X128" s="10"/>
      <c r="Y128" s="10"/>
      <c r="Z128" s="10"/>
    </row>
    <row r="129" ht="15.75" customHeight="1">
      <c r="A129" s="6" t="s">
        <v>675</v>
      </c>
      <c r="B129" s="7" t="s">
        <v>676</v>
      </c>
      <c r="C129" s="7"/>
      <c r="D129" s="7"/>
      <c r="E129" s="7">
        <v>-1.0</v>
      </c>
      <c r="F129" s="12" t="s">
        <v>677</v>
      </c>
      <c r="G129" s="7" t="s">
        <v>678</v>
      </c>
      <c r="H129" s="8" t="s">
        <v>160</v>
      </c>
      <c r="I129" s="8" t="s">
        <v>679</v>
      </c>
      <c r="J129" s="13" t="str">
        <f t="shared" si="8"/>
        <v>https://inmapper.com/zorlucenter/img/logo/TOMMYHILFIGER.png</v>
      </c>
      <c r="K129" s="7" t="s">
        <v>680</v>
      </c>
      <c r="L129" s="8" t="s">
        <v>163</v>
      </c>
      <c r="M129" s="9"/>
      <c r="N129" s="10"/>
      <c r="O129" s="10"/>
      <c r="P129" s="10"/>
      <c r="Q129" s="10"/>
      <c r="R129" s="10"/>
      <c r="S129" s="10"/>
      <c r="T129" s="10"/>
      <c r="U129" s="10"/>
      <c r="V129" s="10"/>
      <c r="W129" s="10"/>
      <c r="X129" s="10"/>
      <c r="Y129" s="10"/>
      <c r="Z129" s="10"/>
    </row>
    <row r="130" ht="15.75" customHeight="1">
      <c r="A130" s="6" t="s">
        <v>681</v>
      </c>
      <c r="B130" s="7" t="s">
        <v>682</v>
      </c>
      <c r="C130" s="7"/>
      <c r="D130" s="7" t="s">
        <v>683</v>
      </c>
      <c r="E130" s="7">
        <v>-1.0</v>
      </c>
      <c r="F130" s="12" t="s">
        <v>684</v>
      </c>
      <c r="G130" s="7" t="s">
        <v>475</v>
      </c>
      <c r="H130" s="8" t="s">
        <v>160</v>
      </c>
      <c r="I130" s="8" t="s">
        <v>685</v>
      </c>
      <c r="J130" s="13" t="str">
        <f t="shared" si="8"/>
        <v>https://inmapper.com/zorlucenter/img/logo/BEYMEN.png</v>
      </c>
      <c r="K130" s="7" t="s">
        <v>686</v>
      </c>
      <c r="L130" s="8" t="s">
        <v>163</v>
      </c>
      <c r="M130" s="9"/>
      <c r="N130" s="10"/>
      <c r="O130" s="10"/>
      <c r="P130" s="10"/>
      <c r="Q130" s="10"/>
      <c r="R130" s="10"/>
      <c r="S130" s="10"/>
      <c r="T130" s="10"/>
      <c r="U130" s="10"/>
      <c r="V130" s="10"/>
      <c r="W130" s="10"/>
      <c r="X130" s="10"/>
      <c r="Y130" s="10"/>
      <c r="Z130" s="10"/>
    </row>
    <row r="131" ht="15.75" customHeight="1">
      <c r="A131" s="6" t="s">
        <v>687</v>
      </c>
      <c r="B131" s="7" t="s">
        <v>688</v>
      </c>
      <c r="C131" s="7"/>
      <c r="D131" s="7"/>
      <c r="E131" s="7">
        <v>-1.0</v>
      </c>
      <c r="F131" s="12" t="s">
        <v>689</v>
      </c>
      <c r="G131" s="7" t="s">
        <v>690</v>
      </c>
      <c r="H131" s="8" t="s">
        <v>160</v>
      </c>
      <c r="I131" s="8" t="s">
        <v>691</v>
      </c>
      <c r="J131" s="13" t="str">
        <f t="shared" si="8"/>
        <v>https://inmapper.com/zorlucenter/img/logo/TWINSETMILANO.png</v>
      </c>
      <c r="K131" s="7" t="s">
        <v>692</v>
      </c>
      <c r="L131" s="8" t="s">
        <v>163</v>
      </c>
      <c r="M131" s="9"/>
      <c r="N131" s="10"/>
      <c r="O131" s="10"/>
      <c r="P131" s="10"/>
      <c r="Q131" s="10"/>
      <c r="R131" s="10"/>
      <c r="S131" s="10"/>
      <c r="T131" s="10"/>
      <c r="U131" s="10"/>
      <c r="V131" s="10"/>
      <c r="W131" s="10"/>
      <c r="X131" s="10"/>
      <c r="Y131" s="10"/>
      <c r="Z131" s="10"/>
    </row>
    <row r="132" ht="15.75" customHeight="1">
      <c r="A132" s="21" t="s">
        <v>693</v>
      </c>
      <c r="B132" s="18" t="s">
        <v>694</v>
      </c>
      <c r="C132" s="7"/>
      <c r="D132" s="7"/>
      <c r="E132" s="18">
        <v>-1.0</v>
      </c>
      <c r="F132" s="17" t="s">
        <v>695</v>
      </c>
      <c r="G132" s="7"/>
      <c r="H132" s="43" t="s">
        <v>160</v>
      </c>
      <c r="I132" s="41" t="s">
        <v>696</v>
      </c>
      <c r="J132" s="13" t="str">
        <f t="shared" si="8"/>
        <v>https://inmapper.com/zorlucenter/img/logo/BROOKSBROTHERS.png</v>
      </c>
      <c r="K132" s="19" t="s">
        <v>697</v>
      </c>
      <c r="L132" s="8" t="s">
        <v>163</v>
      </c>
      <c r="M132" s="9"/>
      <c r="N132" s="10"/>
      <c r="O132" s="10"/>
      <c r="P132" s="10"/>
      <c r="Q132" s="10"/>
      <c r="R132" s="10"/>
      <c r="S132" s="10"/>
      <c r="T132" s="10"/>
      <c r="U132" s="10"/>
      <c r="V132" s="10"/>
      <c r="W132" s="10"/>
      <c r="X132" s="10"/>
      <c r="Y132" s="10"/>
      <c r="Z132" s="10"/>
    </row>
    <row r="133" ht="15.75" customHeight="1">
      <c r="A133" s="6" t="s">
        <v>698</v>
      </c>
      <c r="B133" s="7" t="s">
        <v>699</v>
      </c>
      <c r="C133" s="7"/>
      <c r="D133" s="7"/>
      <c r="E133" s="7">
        <v>-1.0</v>
      </c>
      <c r="F133" s="12" t="s">
        <v>700</v>
      </c>
      <c r="G133" s="7" t="s">
        <v>701</v>
      </c>
      <c r="H133" s="8" t="s">
        <v>184</v>
      </c>
      <c r="I133" s="8" t="s">
        <v>702</v>
      </c>
      <c r="J133" s="13" t="str">
        <f t="shared" si="8"/>
        <v>https://inmapper.com/zorlucenter/img/logo/CUPOFJOY.png</v>
      </c>
      <c r="K133" s="7" t="s">
        <v>703</v>
      </c>
      <c r="L133" s="8" t="s">
        <v>187</v>
      </c>
      <c r="M133" s="9"/>
      <c r="N133" s="10"/>
      <c r="O133" s="10"/>
      <c r="P133" s="10"/>
      <c r="Q133" s="10"/>
      <c r="R133" s="10"/>
      <c r="S133" s="10"/>
      <c r="T133" s="10"/>
      <c r="U133" s="10"/>
      <c r="V133" s="10"/>
      <c r="W133" s="10"/>
      <c r="X133" s="10"/>
      <c r="Y133" s="10"/>
      <c r="Z133" s="10"/>
    </row>
    <row r="134" ht="15.75" customHeight="1">
      <c r="A134" s="6" t="s">
        <v>704</v>
      </c>
      <c r="B134" s="7" t="s">
        <v>705</v>
      </c>
      <c r="C134" s="7"/>
      <c r="D134" s="7"/>
      <c r="E134" s="7">
        <v>-1.0</v>
      </c>
      <c r="F134" s="12" t="s">
        <v>706</v>
      </c>
      <c r="G134" s="7" t="s">
        <v>707</v>
      </c>
      <c r="H134" s="8" t="s">
        <v>152</v>
      </c>
      <c r="I134" s="8" t="s">
        <v>708</v>
      </c>
      <c r="J134" s="13" t="str">
        <f t="shared" si="8"/>
        <v>https://inmapper.com/zorlucenter/img/logo/ATASAY.png</v>
      </c>
      <c r="K134" s="7" t="s">
        <v>709</v>
      </c>
      <c r="L134" s="8" t="s">
        <v>155</v>
      </c>
      <c r="M134" s="9"/>
      <c r="N134" s="10"/>
      <c r="O134" s="10"/>
      <c r="P134" s="10"/>
      <c r="Q134" s="10"/>
      <c r="R134" s="10"/>
      <c r="S134" s="10"/>
      <c r="T134" s="10"/>
      <c r="U134" s="10"/>
      <c r="V134" s="10"/>
      <c r="W134" s="10"/>
      <c r="X134" s="10"/>
      <c r="Y134" s="10"/>
      <c r="Z134" s="10"/>
    </row>
    <row r="135" ht="15.75" customHeight="1">
      <c r="A135" s="6" t="s">
        <v>710</v>
      </c>
      <c r="B135" s="7" t="s">
        <v>711</v>
      </c>
      <c r="C135" s="7"/>
      <c r="D135" s="7"/>
      <c r="E135" s="7">
        <v>-1.0</v>
      </c>
      <c r="F135" s="12" t="s">
        <v>712</v>
      </c>
      <c r="G135" s="7" t="s">
        <v>690</v>
      </c>
      <c r="H135" s="8" t="s">
        <v>160</v>
      </c>
      <c r="I135" s="49" t="s">
        <v>713</v>
      </c>
      <c r="J135" s="13" t="str">
        <f t="shared" si="8"/>
        <v>https://inmapper.com/zorlucenter/img/logo/PINKO.png</v>
      </c>
      <c r="K135" s="7" t="s">
        <v>714</v>
      </c>
      <c r="L135" s="8" t="s">
        <v>163</v>
      </c>
      <c r="M135" s="9"/>
      <c r="N135" s="10"/>
      <c r="O135" s="10"/>
      <c r="P135" s="10"/>
      <c r="Q135" s="10"/>
      <c r="R135" s="10"/>
      <c r="S135" s="10"/>
      <c r="T135" s="10"/>
      <c r="U135" s="10"/>
      <c r="V135" s="10"/>
      <c r="W135" s="10"/>
      <c r="X135" s="10"/>
      <c r="Y135" s="10"/>
      <c r="Z135" s="10"/>
    </row>
    <row r="136" ht="15.75" customHeight="1">
      <c r="A136" s="6" t="s">
        <v>715</v>
      </c>
      <c r="B136" s="7" t="s">
        <v>716</v>
      </c>
      <c r="C136" s="7"/>
      <c r="D136" s="7"/>
      <c r="E136" s="7">
        <v>-1.0</v>
      </c>
      <c r="F136" s="12" t="s">
        <v>717</v>
      </c>
      <c r="G136" s="7" t="s">
        <v>718</v>
      </c>
      <c r="H136" s="8" t="s">
        <v>160</v>
      </c>
      <c r="I136" s="8" t="s">
        <v>719</v>
      </c>
      <c r="J136" s="13" t="str">
        <f t="shared" si="8"/>
        <v>https://inmapper.com/zorlucenter/img/logo/MACHKA.png</v>
      </c>
      <c r="K136" s="7" t="s">
        <v>720</v>
      </c>
      <c r="L136" s="8" t="s">
        <v>163</v>
      </c>
      <c r="M136" s="9"/>
      <c r="N136" s="10"/>
      <c r="O136" s="10"/>
      <c r="P136" s="10"/>
      <c r="Q136" s="10"/>
      <c r="R136" s="10"/>
      <c r="S136" s="10"/>
      <c r="T136" s="10"/>
      <c r="U136" s="10"/>
      <c r="V136" s="10"/>
      <c r="W136" s="10"/>
      <c r="X136" s="10"/>
      <c r="Y136" s="10"/>
      <c r="Z136" s="10"/>
    </row>
    <row r="137" ht="15.75" customHeight="1">
      <c r="A137" s="6" t="s">
        <v>721</v>
      </c>
      <c r="B137" s="7" t="s">
        <v>722</v>
      </c>
      <c r="C137" s="7"/>
      <c r="D137" s="7"/>
      <c r="E137" s="7">
        <v>-1.0</v>
      </c>
      <c r="F137" s="17" t="s">
        <v>723</v>
      </c>
      <c r="G137" s="7" t="s">
        <v>724</v>
      </c>
      <c r="H137" s="8" t="s">
        <v>160</v>
      </c>
      <c r="I137" s="8" t="s">
        <v>725</v>
      </c>
      <c r="J137" s="13" t="str">
        <f t="shared" si="8"/>
        <v>https://inmapper.com/zorlucenter/img/logo/RAMSEY.png</v>
      </c>
      <c r="K137" s="7" t="s">
        <v>726</v>
      </c>
      <c r="L137" s="8" t="s">
        <v>163</v>
      </c>
      <c r="M137" s="9"/>
      <c r="N137" s="10"/>
      <c r="O137" s="10"/>
      <c r="P137" s="10"/>
      <c r="Q137" s="10"/>
      <c r="R137" s="10"/>
      <c r="S137" s="10"/>
      <c r="T137" s="10"/>
      <c r="U137" s="10"/>
      <c r="V137" s="10"/>
      <c r="W137" s="10"/>
      <c r="X137" s="10"/>
      <c r="Y137" s="10"/>
      <c r="Z137" s="10"/>
    </row>
    <row r="138" ht="15.75" customHeight="1">
      <c r="A138" s="6" t="s">
        <v>727</v>
      </c>
      <c r="B138" s="7" t="s">
        <v>728</v>
      </c>
      <c r="C138" s="7"/>
      <c r="D138" s="7"/>
      <c r="E138" s="7">
        <v>-1.0</v>
      </c>
      <c r="F138" s="12" t="s">
        <v>729</v>
      </c>
      <c r="G138" s="7" t="s">
        <v>730</v>
      </c>
      <c r="H138" s="8" t="s">
        <v>160</v>
      </c>
      <c r="I138" s="8" t="s">
        <v>731</v>
      </c>
      <c r="J138" s="13" t="str">
        <f t="shared" si="8"/>
        <v>https://inmapper.com/zorlucenter/img/logo/CALVINKLEINJEANS.png</v>
      </c>
      <c r="K138" s="7" t="s">
        <v>732</v>
      </c>
      <c r="L138" s="8" t="s">
        <v>163</v>
      </c>
      <c r="M138" s="9"/>
      <c r="N138" s="10"/>
      <c r="O138" s="10"/>
      <c r="P138" s="10"/>
      <c r="Q138" s="10"/>
      <c r="R138" s="10"/>
      <c r="S138" s="10"/>
      <c r="T138" s="10"/>
      <c r="U138" s="10"/>
      <c r="V138" s="10"/>
      <c r="W138" s="10"/>
      <c r="X138" s="10"/>
      <c r="Y138" s="10"/>
      <c r="Z138" s="10"/>
    </row>
    <row r="139" ht="15.75" customHeight="1">
      <c r="A139" s="6" t="s">
        <v>733</v>
      </c>
      <c r="B139" s="7" t="s">
        <v>734</v>
      </c>
      <c r="C139" s="7"/>
      <c r="D139" s="7"/>
      <c r="E139" s="7">
        <v>-1.0</v>
      </c>
      <c r="F139" s="12" t="s">
        <v>735</v>
      </c>
      <c r="G139" s="7" t="s">
        <v>736</v>
      </c>
      <c r="H139" s="8" t="s">
        <v>176</v>
      </c>
      <c r="I139" s="8" t="s">
        <v>737</v>
      </c>
      <c r="J139" s="13" t="str">
        <f t="shared" si="8"/>
        <v>https://inmapper.com/zorlucenter/img/logo/VARIO.png</v>
      </c>
      <c r="K139" s="9" t="s">
        <v>738</v>
      </c>
      <c r="L139" s="8" t="s">
        <v>179</v>
      </c>
      <c r="M139" s="9"/>
      <c r="N139" s="10"/>
      <c r="O139" s="10"/>
      <c r="P139" s="10"/>
      <c r="Q139" s="10"/>
      <c r="R139" s="10"/>
      <c r="S139" s="10"/>
      <c r="T139" s="10"/>
      <c r="U139" s="10"/>
      <c r="V139" s="10"/>
      <c r="W139" s="10"/>
      <c r="X139" s="10"/>
      <c r="Y139" s="10"/>
      <c r="Z139" s="10"/>
    </row>
    <row r="140" ht="15.75" customHeight="1">
      <c r="A140" s="6" t="s">
        <v>739</v>
      </c>
      <c r="B140" s="7" t="s">
        <v>740</v>
      </c>
      <c r="C140" s="18"/>
      <c r="D140" s="7"/>
      <c r="E140" s="7">
        <v>-1.0</v>
      </c>
      <c r="F140" s="12" t="s">
        <v>741</v>
      </c>
      <c r="G140" s="7" t="s">
        <v>742</v>
      </c>
      <c r="H140" s="8" t="s">
        <v>160</v>
      </c>
      <c r="I140" s="8" t="s">
        <v>743</v>
      </c>
      <c r="J140" s="13" t="str">
        <f t="shared" si="8"/>
        <v>https://inmapper.com/zorlucenter/img/logo/DIESEL.png</v>
      </c>
      <c r="K140" s="7" t="s">
        <v>744</v>
      </c>
      <c r="L140" s="8" t="s">
        <v>163</v>
      </c>
      <c r="M140" s="9"/>
      <c r="N140" s="10"/>
      <c r="O140" s="10"/>
      <c r="P140" s="10"/>
      <c r="Q140" s="10"/>
      <c r="R140" s="10"/>
      <c r="S140" s="10"/>
      <c r="T140" s="10"/>
      <c r="U140" s="10"/>
      <c r="V140" s="10"/>
      <c r="W140" s="10"/>
      <c r="X140" s="10"/>
      <c r="Y140" s="10"/>
      <c r="Z140" s="10"/>
    </row>
    <row r="141" ht="15.75" customHeight="1">
      <c r="A141" s="6" t="s">
        <v>745</v>
      </c>
      <c r="B141" s="7" t="s">
        <v>746</v>
      </c>
      <c r="C141" s="7"/>
      <c r="D141" s="7"/>
      <c r="E141" s="7">
        <v>-1.0</v>
      </c>
      <c r="F141" s="17" t="s">
        <v>747</v>
      </c>
      <c r="G141" s="7" t="s">
        <v>748</v>
      </c>
      <c r="H141" s="8" t="s">
        <v>176</v>
      </c>
      <c r="I141" s="8" t="s">
        <v>749</v>
      </c>
      <c r="J141" s="13" t="str">
        <f t="shared" si="8"/>
        <v>https://inmapper.com/zorlucenter/img/logo/MOCASSINI.png</v>
      </c>
      <c r="K141" s="7" t="s">
        <v>750</v>
      </c>
      <c r="L141" s="8" t="s">
        <v>179</v>
      </c>
      <c r="M141" s="9"/>
      <c r="N141" s="10"/>
      <c r="O141" s="10"/>
      <c r="P141" s="10"/>
      <c r="Q141" s="10"/>
      <c r="R141" s="10"/>
      <c r="S141" s="10"/>
      <c r="T141" s="10"/>
      <c r="U141" s="10"/>
      <c r="V141" s="10"/>
      <c r="W141" s="10"/>
      <c r="X141" s="10"/>
      <c r="Y141" s="10"/>
      <c r="Z141" s="10"/>
    </row>
    <row r="142" ht="15.75" customHeight="1">
      <c r="A142" s="6" t="s">
        <v>751</v>
      </c>
      <c r="B142" s="7" t="s">
        <v>752</v>
      </c>
      <c r="C142" s="50" t="s">
        <v>753</v>
      </c>
      <c r="D142" s="7"/>
      <c r="E142" s="7">
        <v>-1.0</v>
      </c>
      <c r="F142" s="12" t="s">
        <v>754</v>
      </c>
      <c r="G142" s="18" t="s">
        <v>755</v>
      </c>
      <c r="H142" s="8" t="s">
        <v>160</v>
      </c>
      <c r="I142" s="8" t="s">
        <v>756</v>
      </c>
      <c r="J142" s="13" t="str">
        <f t="shared" si="8"/>
        <v>https://inmapper.com/zorlucenter/img/logo/BEYMENCLUB.png</v>
      </c>
      <c r="K142" s="7" t="s">
        <v>757</v>
      </c>
      <c r="L142" s="8" t="s">
        <v>163</v>
      </c>
      <c r="M142" s="9"/>
      <c r="N142" s="10"/>
      <c r="O142" s="10"/>
      <c r="P142" s="10"/>
      <c r="Q142" s="10"/>
      <c r="R142" s="10"/>
      <c r="S142" s="10"/>
      <c r="T142" s="10"/>
      <c r="U142" s="10"/>
      <c r="V142" s="10"/>
      <c r="W142" s="10"/>
      <c r="X142" s="10"/>
      <c r="Y142" s="10"/>
      <c r="Z142" s="10"/>
    </row>
    <row r="143" ht="15.75" customHeight="1">
      <c r="A143" s="6" t="s">
        <v>758</v>
      </c>
      <c r="B143" s="7" t="s">
        <v>759</v>
      </c>
      <c r="C143" s="7"/>
      <c r="D143" s="7"/>
      <c r="E143" s="7">
        <v>-1.0</v>
      </c>
      <c r="F143" s="12" t="s">
        <v>760</v>
      </c>
      <c r="G143" s="7" t="s">
        <v>761</v>
      </c>
      <c r="H143" s="8" t="s">
        <v>160</v>
      </c>
      <c r="I143" s="51" t="s">
        <v>762</v>
      </c>
      <c r="J143" s="13" t="str">
        <f t="shared" si="8"/>
        <v>https://inmapper.com/zorlucenter/img/logo/NAUTICA.png</v>
      </c>
      <c r="K143" s="7" t="s">
        <v>763</v>
      </c>
      <c r="L143" s="8" t="s">
        <v>163</v>
      </c>
      <c r="M143" s="9"/>
      <c r="N143" s="10"/>
      <c r="O143" s="10"/>
      <c r="P143" s="10"/>
      <c r="Q143" s="10"/>
      <c r="R143" s="10"/>
      <c r="S143" s="10"/>
      <c r="T143" s="10"/>
      <c r="U143" s="10"/>
      <c r="V143" s="10"/>
      <c r="W143" s="10"/>
      <c r="X143" s="10"/>
      <c r="Y143" s="10"/>
      <c r="Z143" s="10"/>
    </row>
    <row r="144" ht="15.75" customHeight="1">
      <c r="A144" s="6" t="s">
        <v>764</v>
      </c>
      <c r="B144" s="7" t="s">
        <v>765</v>
      </c>
      <c r="C144" s="7"/>
      <c r="D144" s="7"/>
      <c r="E144" s="7">
        <v>-1.0</v>
      </c>
      <c r="F144" s="12" t="s">
        <v>766</v>
      </c>
      <c r="G144" s="7" t="s">
        <v>767</v>
      </c>
      <c r="H144" s="8" t="s">
        <v>160</v>
      </c>
      <c r="I144" s="8" t="s">
        <v>768</v>
      </c>
      <c r="J144" s="13" t="str">
        <f t="shared" si="8"/>
        <v>https://inmapper.com/zorlucenter/img/logo/GANT.png</v>
      </c>
      <c r="K144" s="7" t="s">
        <v>769</v>
      </c>
      <c r="L144" s="8" t="s">
        <v>163</v>
      </c>
      <c r="M144" s="9"/>
      <c r="N144" s="10"/>
      <c r="O144" s="10"/>
      <c r="P144" s="10"/>
      <c r="Q144" s="10"/>
      <c r="R144" s="10"/>
      <c r="S144" s="10"/>
      <c r="T144" s="10"/>
      <c r="U144" s="10"/>
      <c r="V144" s="10"/>
      <c r="W144" s="10"/>
      <c r="X144" s="10"/>
      <c r="Y144" s="10"/>
      <c r="Z144" s="10"/>
    </row>
    <row r="145" ht="15.75" customHeight="1">
      <c r="A145" s="6" t="s">
        <v>770</v>
      </c>
      <c r="B145" s="7" t="s">
        <v>771</v>
      </c>
      <c r="C145" s="7"/>
      <c r="D145" s="7"/>
      <c r="E145" s="7">
        <v>-1.0</v>
      </c>
      <c r="F145" s="12" t="s">
        <v>772</v>
      </c>
      <c r="G145" s="7" t="s">
        <v>773</v>
      </c>
      <c r="H145" s="8" t="s">
        <v>160</v>
      </c>
      <c r="I145" s="8" t="s">
        <v>774</v>
      </c>
      <c r="J145" s="13" t="str">
        <f t="shared" si="8"/>
        <v>https://inmapper.com/zorlucenter/img/logo/LACOSTE.png</v>
      </c>
      <c r="K145" s="7" t="s">
        <v>775</v>
      </c>
      <c r="L145" s="8" t="s">
        <v>163</v>
      </c>
      <c r="M145" s="9"/>
      <c r="N145" s="10"/>
      <c r="O145" s="10"/>
      <c r="P145" s="10"/>
      <c r="Q145" s="10"/>
      <c r="R145" s="10"/>
      <c r="S145" s="10"/>
      <c r="T145" s="10"/>
      <c r="U145" s="10"/>
      <c r="V145" s="10"/>
      <c r="W145" s="10"/>
      <c r="X145" s="10"/>
      <c r="Y145" s="10"/>
      <c r="Z145" s="10"/>
    </row>
    <row r="146" ht="15.75" customHeight="1">
      <c r="A146" s="6" t="s">
        <v>776</v>
      </c>
      <c r="B146" s="7" t="s">
        <v>777</v>
      </c>
      <c r="C146" s="7"/>
      <c r="D146" s="7"/>
      <c r="E146" s="7">
        <v>-1.0</v>
      </c>
      <c r="F146" s="12" t="s">
        <v>778</v>
      </c>
      <c r="G146" s="7" t="s">
        <v>779</v>
      </c>
      <c r="H146" s="8" t="s">
        <v>160</v>
      </c>
      <c r="I146" s="8" t="s">
        <v>780</v>
      </c>
      <c r="J146" s="13" t="str">
        <f t="shared" si="8"/>
        <v>https://inmapper.com/zorlucenter/img/logo/COS.png</v>
      </c>
      <c r="K146" s="9" t="s">
        <v>781</v>
      </c>
      <c r="L146" s="8" t="s">
        <v>163</v>
      </c>
      <c r="M146" s="9"/>
      <c r="N146" s="10"/>
      <c r="O146" s="10"/>
      <c r="P146" s="10"/>
      <c r="Q146" s="10"/>
      <c r="R146" s="10"/>
      <c r="S146" s="10"/>
      <c r="T146" s="10"/>
      <c r="U146" s="10"/>
      <c r="V146" s="10"/>
      <c r="W146" s="10"/>
      <c r="X146" s="10"/>
      <c r="Y146" s="10"/>
      <c r="Z146" s="10"/>
    </row>
    <row r="147" ht="15.75" customHeight="1">
      <c r="A147" s="6" t="s">
        <v>782</v>
      </c>
      <c r="B147" s="7" t="s">
        <v>783</v>
      </c>
      <c r="C147" s="7"/>
      <c r="D147" s="7"/>
      <c r="E147" s="7">
        <v>-1.0</v>
      </c>
      <c r="F147" s="17" t="s">
        <v>784</v>
      </c>
      <c r="G147" s="7" t="s">
        <v>779</v>
      </c>
      <c r="H147" s="8" t="s">
        <v>160</v>
      </c>
      <c r="I147" s="8" t="s">
        <v>785</v>
      </c>
      <c r="J147" s="13" t="str">
        <f t="shared" si="8"/>
        <v>https://inmapper.com/zorlucenter/img/logo/BAQA.png</v>
      </c>
      <c r="K147" s="7" t="s">
        <v>786</v>
      </c>
      <c r="L147" s="8" t="s">
        <v>163</v>
      </c>
      <c r="M147" s="9"/>
      <c r="N147" s="10"/>
      <c r="O147" s="10"/>
      <c r="P147" s="10"/>
      <c r="Q147" s="10"/>
      <c r="R147" s="10"/>
      <c r="S147" s="10"/>
      <c r="T147" s="10"/>
      <c r="U147" s="10"/>
      <c r="V147" s="10"/>
      <c r="W147" s="10"/>
      <c r="X147" s="10"/>
      <c r="Y147" s="10"/>
      <c r="Z147" s="10"/>
    </row>
    <row r="148" ht="15.75" customHeight="1">
      <c r="A148" s="6" t="s">
        <v>787</v>
      </c>
      <c r="B148" s="7" t="s">
        <v>788</v>
      </c>
      <c r="C148" s="7"/>
      <c r="D148" s="7"/>
      <c r="E148" s="7">
        <v>-1.0</v>
      </c>
      <c r="F148" s="12" t="s">
        <v>789</v>
      </c>
      <c r="G148" s="7" t="s">
        <v>790</v>
      </c>
      <c r="H148" s="8" t="s">
        <v>160</v>
      </c>
      <c r="I148" s="42" t="s">
        <v>791</v>
      </c>
      <c r="J148" s="13" t="str">
        <f t="shared" si="8"/>
        <v>https://inmapper.com/zorlucenter/img/logo/MAPA.png</v>
      </c>
      <c r="K148" s="7" t="s">
        <v>792</v>
      </c>
      <c r="L148" s="8" t="s">
        <v>163</v>
      </c>
      <c r="M148" s="9"/>
      <c r="N148" s="10"/>
      <c r="O148" s="10"/>
      <c r="P148" s="10"/>
      <c r="Q148" s="10"/>
      <c r="R148" s="10"/>
      <c r="S148" s="10"/>
      <c r="T148" s="10"/>
      <c r="U148" s="10"/>
      <c r="V148" s="10"/>
      <c r="W148" s="10"/>
      <c r="X148" s="10"/>
      <c r="Y148" s="10"/>
      <c r="Z148" s="10"/>
    </row>
    <row r="149" ht="15.75" customHeight="1">
      <c r="A149" s="6" t="s">
        <v>793</v>
      </c>
      <c r="B149" s="7" t="s">
        <v>794</v>
      </c>
      <c r="C149" s="7"/>
      <c r="D149" s="7"/>
      <c r="E149" s="7">
        <v>-1.0</v>
      </c>
      <c r="F149" s="12" t="s">
        <v>795</v>
      </c>
      <c r="G149" s="7" t="s">
        <v>796</v>
      </c>
      <c r="H149" s="8" t="s">
        <v>67</v>
      </c>
      <c r="I149" s="8" t="s">
        <v>797</v>
      </c>
      <c r="J149" s="13" t="str">
        <f t="shared" si="8"/>
        <v>https://inmapper.com/zorlucenter/img/logo/KIEHL'S.png</v>
      </c>
      <c r="K149" s="7" t="s">
        <v>798</v>
      </c>
      <c r="L149" s="8" t="s">
        <v>70</v>
      </c>
      <c r="M149" s="9"/>
      <c r="N149" s="10"/>
      <c r="O149" s="10"/>
      <c r="P149" s="10"/>
      <c r="Q149" s="10"/>
      <c r="R149" s="10"/>
      <c r="S149" s="10"/>
      <c r="T149" s="10"/>
      <c r="U149" s="10"/>
      <c r="V149" s="10"/>
      <c r="W149" s="10"/>
      <c r="X149" s="10"/>
      <c r="Y149" s="10"/>
      <c r="Z149" s="10"/>
    </row>
    <row r="150" ht="15.75" customHeight="1">
      <c r="A150" s="6" t="s">
        <v>799</v>
      </c>
      <c r="B150" s="7" t="s">
        <v>800</v>
      </c>
      <c r="C150" s="7"/>
      <c r="D150" s="7"/>
      <c r="E150" s="7">
        <v>-1.0</v>
      </c>
      <c r="F150" s="12" t="s">
        <v>801</v>
      </c>
      <c r="G150" s="7" t="s">
        <v>802</v>
      </c>
      <c r="H150" s="8" t="s">
        <v>160</v>
      </c>
      <c r="I150" s="8" t="s">
        <v>803</v>
      </c>
      <c r="J150" s="13" t="str">
        <f t="shared" si="8"/>
        <v>https://inmapper.com/zorlucenter/img/logo/VILEBREQUIN.png</v>
      </c>
      <c r="K150" s="7" t="s">
        <v>804</v>
      </c>
      <c r="L150" s="8" t="s">
        <v>163</v>
      </c>
      <c r="M150" s="9"/>
      <c r="N150" s="10"/>
      <c r="O150" s="10"/>
      <c r="P150" s="10"/>
      <c r="Q150" s="10"/>
      <c r="R150" s="10"/>
      <c r="S150" s="10"/>
      <c r="T150" s="10"/>
      <c r="U150" s="10"/>
      <c r="V150" s="10"/>
      <c r="W150" s="10"/>
      <c r="X150" s="10"/>
      <c r="Y150" s="10"/>
      <c r="Z150" s="10"/>
    </row>
    <row r="151" ht="15.75" customHeight="1">
      <c r="A151" s="6" t="s">
        <v>805</v>
      </c>
      <c r="B151" s="7" t="s">
        <v>806</v>
      </c>
      <c r="C151" s="7"/>
      <c r="D151" s="7"/>
      <c r="E151" s="7">
        <v>-1.0</v>
      </c>
      <c r="F151" s="12" t="s">
        <v>807</v>
      </c>
      <c r="G151" s="7" t="s">
        <v>808</v>
      </c>
      <c r="H151" s="8" t="s">
        <v>41</v>
      </c>
      <c r="I151" s="8" t="s">
        <v>809</v>
      </c>
      <c r="J151" s="13" t="str">
        <f t="shared" si="8"/>
        <v>https://inmapper.com/zorlucenter/img/logo/REMZİKİTABEVİ.png</v>
      </c>
      <c r="K151" s="7" t="s">
        <v>810</v>
      </c>
      <c r="L151" s="8" t="s">
        <v>44</v>
      </c>
      <c r="M151" s="9"/>
      <c r="N151" s="10"/>
      <c r="O151" s="10"/>
      <c r="P151" s="10"/>
      <c r="Q151" s="10"/>
      <c r="R151" s="10"/>
      <c r="S151" s="10"/>
      <c r="T151" s="10"/>
      <c r="U151" s="10"/>
      <c r="V151" s="10"/>
      <c r="W151" s="10"/>
      <c r="X151" s="10"/>
      <c r="Y151" s="10"/>
      <c r="Z151" s="10"/>
    </row>
    <row r="152" ht="15.75" customHeight="1">
      <c r="A152" s="6" t="s">
        <v>811</v>
      </c>
      <c r="B152" s="7" t="s">
        <v>812</v>
      </c>
      <c r="C152" s="7"/>
      <c r="D152" s="7"/>
      <c r="E152" s="7">
        <v>-1.0</v>
      </c>
      <c r="F152" s="12" t="s">
        <v>813</v>
      </c>
      <c r="G152" s="7" t="s">
        <v>814</v>
      </c>
      <c r="H152" s="8" t="s">
        <v>152</v>
      </c>
      <c r="I152" s="8" t="s">
        <v>815</v>
      </c>
      <c r="J152" s="13" t="str">
        <f t="shared" si="8"/>
        <v>https://inmapper.com/zorlucenter/img/logo/SWAROVSKI.png</v>
      </c>
      <c r="K152" s="7" t="s">
        <v>816</v>
      </c>
      <c r="L152" s="8" t="s">
        <v>155</v>
      </c>
      <c r="M152" s="9"/>
      <c r="N152" s="10"/>
      <c r="O152" s="10"/>
      <c r="P152" s="10"/>
      <c r="Q152" s="10"/>
      <c r="R152" s="10"/>
      <c r="S152" s="10"/>
      <c r="T152" s="10"/>
      <c r="U152" s="10"/>
      <c r="V152" s="10"/>
      <c r="W152" s="10"/>
      <c r="X152" s="10"/>
      <c r="Y152" s="10"/>
      <c r="Z152" s="10"/>
    </row>
    <row r="153" ht="15.75" customHeight="1">
      <c r="A153" s="6" t="s">
        <v>817</v>
      </c>
      <c r="B153" s="7" t="s">
        <v>818</v>
      </c>
      <c r="C153" s="7"/>
      <c r="D153" s="7"/>
      <c r="E153" s="7">
        <v>-1.0</v>
      </c>
      <c r="F153" s="12" t="s">
        <v>819</v>
      </c>
      <c r="G153" s="7" t="s">
        <v>511</v>
      </c>
      <c r="H153" s="8" t="s">
        <v>160</v>
      </c>
      <c r="I153" s="13" t="s">
        <v>820</v>
      </c>
      <c r="J153" s="13" t="s">
        <v>821</v>
      </c>
      <c r="K153" s="7"/>
      <c r="L153" s="8" t="s">
        <v>163</v>
      </c>
      <c r="M153" s="9"/>
      <c r="N153" s="10"/>
      <c r="O153" s="10"/>
      <c r="P153" s="10"/>
      <c r="Q153" s="10"/>
      <c r="R153" s="10"/>
      <c r="S153" s="10"/>
      <c r="T153" s="10"/>
      <c r="U153" s="10"/>
      <c r="V153" s="10"/>
      <c r="W153" s="10"/>
      <c r="X153" s="10"/>
      <c r="Y153" s="10"/>
      <c r="Z153" s="10"/>
    </row>
    <row r="154" ht="15.75" customHeight="1">
      <c r="A154" s="21" t="s">
        <v>822</v>
      </c>
      <c r="B154" s="7" t="s">
        <v>823</v>
      </c>
      <c r="C154" s="7"/>
      <c r="D154" s="7"/>
      <c r="E154" s="18">
        <v>-1.0</v>
      </c>
      <c r="F154" s="17" t="s">
        <v>824</v>
      </c>
      <c r="G154" s="7" t="s">
        <v>825</v>
      </c>
      <c r="H154" s="8" t="s">
        <v>160</v>
      </c>
      <c r="I154" s="8" t="s">
        <v>826</v>
      </c>
      <c r="J154" s="13" t="str">
        <f t="shared" ref="J154:J163" si="9">CONCATENATE($M$1,$K154)</f>
        <v>https://inmapper.com/zorlucenter/img/logo/YARGICI.png</v>
      </c>
      <c r="K154" s="7" t="s">
        <v>827</v>
      </c>
      <c r="L154" s="8" t="s">
        <v>163</v>
      </c>
      <c r="M154" s="9"/>
      <c r="N154" s="10"/>
      <c r="O154" s="10"/>
      <c r="P154" s="10"/>
      <c r="Q154" s="10"/>
      <c r="R154" s="10"/>
      <c r="S154" s="10"/>
      <c r="T154" s="10"/>
      <c r="U154" s="10"/>
      <c r="V154" s="10"/>
      <c r="W154" s="10"/>
      <c r="X154" s="10"/>
      <c r="Y154" s="10"/>
      <c r="Z154" s="10"/>
    </row>
    <row r="155" ht="15.75" customHeight="1">
      <c r="A155" s="6" t="s">
        <v>828</v>
      </c>
      <c r="B155" s="18" t="s">
        <v>829</v>
      </c>
      <c r="C155" s="7"/>
      <c r="D155" s="7"/>
      <c r="E155" s="7">
        <v>-1.0</v>
      </c>
      <c r="F155" s="12" t="s">
        <v>830</v>
      </c>
      <c r="G155" s="7" t="s">
        <v>388</v>
      </c>
      <c r="H155" s="8" t="s">
        <v>152</v>
      </c>
      <c r="I155" s="8" t="s">
        <v>831</v>
      </c>
      <c r="J155" s="8" t="str">
        <f t="shared" si="9"/>
        <v>https://inmapper.com/zorlucenter/img/logo/GÖZGRUP.png</v>
      </c>
      <c r="K155" s="7" t="s">
        <v>832</v>
      </c>
      <c r="L155" s="8" t="s">
        <v>155</v>
      </c>
      <c r="M155" s="9"/>
      <c r="N155" s="10"/>
      <c r="O155" s="10"/>
      <c r="P155" s="10"/>
      <c r="Q155" s="10"/>
      <c r="R155" s="10"/>
      <c r="S155" s="10"/>
      <c r="T155" s="10"/>
      <c r="U155" s="10"/>
      <c r="V155" s="10"/>
      <c r="W155" s="10"/>
      <c r="X155" s="10"/>
      <c r="Y155" s="10"/>
      <c r="Z155" s="10"/>
    </row>
    <row r="156" ht="15.75" customHeight="1">
      <c r="A156" s="6" t="s">
        <v>833</v>
      </c>
      <c r="B156" s="7" t="s">
        <v>399</v>
      </c>
      <c r="C156" s="7"/>
      <c r="D156" s="7"/>
      <c r="E156" s="7">
        <v>-1.0</v>
      </c>
      <c r="F156" s="12" t="s">
        <v>400</v>
      </c>
      <c r="G156" s="7" t="s">
        <v>401</v>
      </c>
      <c r="H156" s="8" t="s">
        <v>90</v>
      </c>
      <c r="I156" s="13" t="s">
        <v>402</v>
      </c>
      <c r="J156" s="13" t="str">
        <f t="shared" si="9"/>
        <v>https://inmapper.com/zorlucenter/img/logo/APPLESTORE.png</v>
      </c>
      <c r="K156" s="7" t="s">
        <v>403</v>
      </c>
      <c r="L156" s="8" t="s">
        <v>92</v>
      </c>
      <c r="M156" s="9"/>
      <c r="N156" s="10"/>
      <c r="O156" s="10"/>
      <c r="P156" s="10"/>
      <c r="Q156" s="10"/>
      <c r="R156" s="10"/>
      <c r="S156" s="10"/>
      <c r="T156" s="10"/>
      <c r="U156" s="10"/>
      <c r="V156" s="10"/>
      <c r="W156" s="10"/>
      <c r="X156" s="10"/>
      <c r="Y156" s="10"/>
      <c r="Z156" s="10"/>
    </row>
    <row r="157" ht="15.75" customHeight="1">
      <c r="A157" s="6" t="s">
        <v>834</v>
      </c>
      <c r="B157" s="18" t="s">
        <v>835</v>
      </c>
      <c r="C157" s="7"/>
      <c r="D157" s="7"/>
      <c r="E157" s="7">
        <v>-2.0</v>
      </c>
      <c r="F157" s="12" t="s">
        <v>73</v>
      </c>
      <c r="G157" s="7" t="s">
        <v>836</v>
      </c>
      <c r="H157" s="8" t="s">
        <v>90</v>
      </c>
      <c r="I157" s="8"/>
      <c r="J157" s="13" t="str">
        <f t="shared" si="9"/>
        <v>https://inmapper.com/zorlucenter/img/logo/VENNUS.png</v>
      </c>
      <c r="K157" s="9" t="s">
        <v>75</v>
      </c>
      <c r="L157" s="8" t="s">
        <v>92</v>
      </c>
      <c r="M157" s="19"/>
      <c r="N157" s="20"/>
      <c r="O157" s="10"/>
      <c r="P157" s="10"/>
      <c r="Q157" s="10"/>
      <c r="R157" s="10"/>
      <c r="S157" s="10"/>
      <c r="T157" s="10"/>
      <c r="U157" s="10"/>
      <c r="V157" s="10"/>
      <c r="W157" s="10"/>
      <c r="X157" s="10"/>
      <c r="Y157" s="10"/>
      <c r="Z157" s="10"/>
    </row>
    <row r="158" ht="15.75" customHeight="1">
      <c r="A158" s="6" t="s">
        <v>837</v>
      </c>
      <c r="B158" s="7" t="s">
        <v>838</v>
      </c>
      <c r="C158" s="7"/>
      <c r="D158" s="7"/>
      <c r="E158" s="7">
        <v>-1.0</v>
      </c>
      <c r="F158" s="12" t="s">
        <v>839</v>
      </c>
      <c r="G158" s="7" t="s">
        <v>840</v>
      </c>
      <c r="H158" s="42" t="s">
        <v>395</v>
      </c>
      <c r="I158" s="7" t="s">
        <v>841</v>
      </c>
      <c r="J158" s="13" t="str">
        <f t="shared" si="9"/>
        <v>https://inmapper.com/zorlucenter/img/logo/MARIEANTOINETTECHOCOLATIER.png</v>
      </c>
      <c r="K158" s="7" t="s">
        <v>842</v>
      </c>
      <c r="L158" s="42" t="s">
        <v>397</v>
      </c>
      <c r="M158" s="9"/>
      <c r="N158" s="10"/>
      <c r="O158" s="10"/>
      <c r="P158" s="10"/>
      <c r="Q158" s="10"/>
      <c r="R158" s="10"/>
      <c r="S158" s="10"/>
      <c r="T158" s="10"/>
      <c r="U158" s="10"/>
      <c r="V158" s="10"/>
      <c r="W158" s="10"/>
      <c r="X158" s="10"/>
      <c r="Y158" s="10"/>
      <c r="Z158" s="10"/>
    </row>
    <row r="159" ht="15.75" customHeight="1">
      <c r="A159" s="6" t="s">
        <v>843</v>
      </c>
      <c r="B159" s="7" t="s">
        <v>114</v>
      </c>
      <c r="C159" s="34" t="s">
        <v>844</v>
      </c>
      <c r="D159" s="7"/>
      <c r="E159" s="7">
        <v>-1.0</v>
      </c>
      <c r="F159" s="12" t="s">
        <v>116</v>
      </c>
      <c r="G159" s="7" t="s">
        <v>117</v>
      </c>
      <c r="H159" s="8" t="s">
        <v>41</v>
      </c>
      <c r="I159" s="8"/>
      <c r="J159" s="13" t="str">
        <f t="shared" si="9"/>
        <v>https://inmapper.com/zorlucenter/img/logo/</v>
      </c>
      <c r="K159" s="7"/>
      <c r="L159" s="8" t="s">
        <v>44</v>
      </c>
      <c r="M159" s="9"/>
      <c r="N159" s="15"/>
      <c r="O159" s="10"/>
      <c r="P159" s="10"/>
      <c r="Q159" s="10"/>
      <c r="R159" s="16"/>
      <c r="S159" s="10"/>
      <c r="T159" s="10"/>
      <c r="U159" s="10"/>
      <c r="V159" s="10"/>
      <c r="W159" s="10"/>
      <c r="X159" s="10"/>
      <c r="Y159" s="10"/>
      <c r="Z159" s="10"/>
    </row>
    <row r="160" ht="15.75" customHeight="1">
      <c r="A160" s="6" t="s">
        <v>843</v>
      </c>
      <c r="B160" s="7" t="s">
        <v>845</v>
      </c>
      <c r="C160" s="34"/>
      <c r="D160" s="7"/>
      <c r="E160" s="7">
        <v>-1.0</v>
      </c>
      <c r="F160" s="7" t="s">
        <v>15</v>
      </c>
      <c r="G160" s="7" t="s">
        <v>407</v>
      </c>
      <c r="H160" s="8" t="s">
        <v>184</v>
      </c>
      <c r="I160" s="8"/>
      <c r="J160" s="13" t="str">
        <f t="shared" si="9"/>
        <v>https://inmapper.com/zorlucenter/img/logo/</v>
      </c>
      <c r="K160" s="7"/>
      <c r="L160" s="8" t="s">
        <v>187</v>
      </c>
      <c r="M160" s="9"/>
      <c r="N160" s="10"/>
      <c r="O160" s="10"/>
      <c r="P160" s="10"/>
      <c r="Q160" s="10"/>
      <c r="R160" s="10"/>
      <c r="S160" s="10"/>
      <c r="T160" s="10"/>
      <c r="U160" s="10"/>
      <c r="V160" s="10"/>
      <c r="W160" s="10"/>
      <c r="X160" s="10"/>
      <c r="Y160" s="10"/>
      <c r="Z160" s="10"/>
    </row>
    <row r="161" ht="15.75" customHeight="1">
      <c r="A161" s="6" t="s">
        <v>843</v>
      </c>
      <c r="B161" s="18" t="s">
        <v>846</v>
      </c>
      <c r="C161" s="52"/>
      <c r="D161" s="7"/>
      <c r="E161" s="7">
        <v>-1.0</v>
      </c>
      <c r="F161" s="7" t="s">
        <v>15</v>
      </c>
      <c r="G161" s="18" t="s">
        <v>847</v>
      </c>
      <c r="H161" s="8" t="s">
        <v>184</v>
      </c>
      <c r="I161" s="8"/>
      <c r="J161" s="13" t="str">
        <f t="shared" si="9"/>
        <v>https://inmapper.com/zorlucenter/img/logo/BITESANDBEATS.png</v>
      </c>
      <c r="K161" s="18" t="s">
        <v>848</v>
      </c>
      <c r="L161" s="8" t="s">
        <v>187</v>
      </c>
      <c r="M161" s="19"/>
      <c r="N161" s="20"/>
      <c r="O161" s="10"/>
      <c r="P161" s="10"/>
      <c r="Q161" s="10"/>
      <c r="R161" s="10"/>
      <c r="S161" s="10"/>
      <c r="T161" s="10"/>
      <c r="U161" s="10"/>
      <c r="V161" s="10"/>
      <c r="W161" s="10"/>
      <c r="X161" s="10"/>
      <c r="Y161" s="10"/>
      <c r="Z161" s="10"/>
    </row>
    <row r="162" ht="15.75" customHeight="1">
      <c r="A162" s="21" t="s">
        <v>843</v>
      </c>
      <c r="B162" s="18" t="s">
        <v>849</v>
      </c>
      <c r="C162" s="52"/>
      <c r="D162" s="7"/>
      <c r="E162" s="18">
        <v>-1.0</v>
      </c>
      <c r="F162" s="18" t="s">
        <v>15</v>
      </c>
      <c r="G162" s="18" t="s">
        <v>850</v>
      </c>
      <c r="H162" s="8" t="s">
        <v>184</v>
      </c>
      <c r="I162" s="8"/>
      <c r="J162" s="13" t="str">
        <f t="shared" si="9"/>
        <v>https://inmapper.com/zorlucenter/img/logo/THEGRUNGY.png</v>
      </c>
      <c r="K162" s="18" t="s">
        <v>851</v>
      </c>
      <c r="L162" s="8" t="s">
        <v>187</v>
      </c>
      <c r="M162" s="19"/>
      <c r="N162" s="20"/>
      <c r="O162" s="10"/>
      <c r="P162" s="10"/>
      <c r="Q162" s="10"/>
      <c r="R162" s="10"/>
      <c r="S162" s="10"/>
      <c r="T162" s="10"/>
      <c r="U162" s="10"/>
      <c r="V162" s="10"/>
      <c r="W162" s="10"/>
      <c r="X162" s="10"/>
      <c r="Y162" s="10"/>
      <c r="Z162" s="10"/>
    </row>
    <row r="163" ht="15.75" customHeight="1">
      <c r="A163" s="21" t="s">
        <v>843</v>
      </c>
      <c r="B163" s="18" t="s">
        <v>852</v>
      </c>
      <c r="C163" s="52"/>
      <c r="D163" s="7"/>
      <c r="E163" s="18">
        <v>-1.0</v>
      </c>
      <c r="F163" s="18" t="s">
        <v>15</v>
      </c>
      <c r="G163" s="18" t="s">
        <v>853</v>
      </c>
      <c r="H163" s="8" t="s">
        <v>184</v>
      </c>
      <c r="I163" s="41" t="s">
        <v>854</v>
      </c>
      <c r="J163" s="13" t="str">
        <f t="shared" si="9"/>
        <v>https://inmapper.com/zorlucenter/img/logo/RANCHERO.png</v>
      </c>
      <c r="K163" s="18" t="s">
        <v>855</v>
      </c>
      <c r="L163" s="8" t="s">
        <v>187</v>
      </c>
      <c r="M163" s="19"/>
      <c r="N163" s="20"/>
      <c r="O163" s="10"/>
      <c r="P163" s="10"/>
      <c r="Q163" s="10"/>
      <c r="R163" s="10"/>
      <c r="S163" s="10"/>
      <c r="T163" s="10"/>
      <c r="U163" s="10"/>
      <c r="V163" s="10"/>
      <c r="W163" s="10"/>
      <c r="X163" s="10"/>
      <c r="Y163" s="10"/>
      <c r="Z163" s="10"/>
    </row>
    <row r="164" ht="15.75" customHeight="1">
      <c r="A164" s="21" t="s">
        <v>843</v>
      </c>
      <c r="B164" s="18" t="s">
        <v>856</v>
      </c>
      <c r="C164" s="52"/>
      <c r="D164" s="7"/>
      <c r="E164" s="18">
        <v>-1.0</v>
      </c>
      <c r="F164" s="18" t="s">
        <v>15</v>
      </c>
      <c r="G164" s="18" t="s">
        <v>857</v>
      </c>
      <c r="H164" s="8" t="s">
        <v>184</v>
      </c>
      <c r="I164" s="43"/>
      <c r="J164" s="13"/>
      <c r="K164" s="18"/>
      <c r="L164" s="8"/>
      <c r="M164" s="19"/>
      <c r="N164" s="20"/>
      <c r="O164" s="10"/>
      <c r="P164" s="10"/>
      <c r="Q164" s="10"/>
      <c r="R164" s="10"/>
      <c r="S164" s="10"/>
      <c r="T164" s="10"/>
      <c r="U164" s="10"/>
      <c r="V164" s="10"/>
      <c r="W164" s="10"/>
      <c r="X164" s="10"/>
      <c r="Y164" s="10"/>
      <c r="Z164" s="10"/>
    </row>
    <row r="165" ht="15.75" customHeight="1">
      <c r="A165" s="21" t="s">
        <v>843</v>
      </c>
      <c r="B165" s="18" t="s">
        <v>858</v>
      </c>
      <c r="C165" s="52"/>
      <c r="D165" s="7"/>
      <c r="E165" s="18">
        <v>-1.0</v>
      </c>
      <c r="F165" s="18" t="s">
        <v>15</v>
      </c>
      <c r="G165" s="18" t="s">
        <v>859</v>
      </c>
      <c r="H165" s="8" t="s">
        <v>184</v>
      </c>
      <c r="I165" s="8"/>
      <c r="J165" s="13" t="str">
        <f>CONCATENATE($M$1,$K165)</f>
        <v>https://inmapper.com/zorlucenter/img/logo/PPANG.png</v>
      </c>
      <c r="K165" s="18" t="s">
        <v>860</v>
      </c>
      <c r="L165" s="8" t="s">
        <v>187</v>
      </c>
      <c r="M165" s="19"/>
      <c r="N165" s="20"/>
      <c r="O165" s="10"/>
      <c r="P165" s="10"/>
      <c r="Q165" s="10"/>
      <c r="R165" s="10"/>
      <c r="S165" s="10"/>
      <c r="T165" s="10"/>
      <c r="U165" s="10"/>
      <c r="V165" s="10"/>
      <c r="W165" s="10"/>
      <c r="X165" s="10"/>
      <c r="Y165" s="10"/>
      <c r="Z165" s="10"/>
    </row>
    <row r="166" ht="15.75" customHeight="1">
      <c r="A166" s="21" t="s">
        <v>843</v>
      </c>
      <c r="B166" s="18" t="s">
        <v>861</v>
      </c>
      <c r="C166" s="52"/>
      <c r="D166" s="7"/>
      <c r="E166" s="18">
        <v>-1.0</v>
      </c>
      <c r="F166" s="18" t="s">
        <v>15</v>
      </c>
      <c r="G166" s="18" t="s">
        <v>183</v>
      </c>
      <c r="H166" s="8" t="s">
        <v>184</v>
      </c>
      <c r="I166" s="8"/>
      <c r="J166" s="13"/>
      <c r="K166" s="18"/>
      <c r="L166" s="8" t="s">
        <v>187</v>
      </c>
      <c r="M166" s="19"/>
      <c r="N166" s="20"/>
      <c r="O166" s="10"/>
      <c r="P166" s="10"/>
      <c r="Q166" s="10"/>
      <c r="R166" s="10"/>
      <c r="S166" s="10"/>
      <c r="T166" s="10"/>
      <c r="U166" s="10"/>
      <c r="V166" s="10"/>
      <c r="W166" s="10"/>
      <c r="X166" s="10"/>
      <c r="Y166" s="10"/>
      <c r="Z166" s="10"/>
    </row>
    <row r="167" ht="15.75" customHeight="1">
      <c r="A167" s="6" t="s">
        <v>843</v>
      </c>
      <c r="B167" s="7" t="s">
        <v>862</v>
      </c>
      <c r="C167" s="34"/>
      <c r="D167" s="7"/>
      <c r="E167" s="7">
        <v>-1.0</v>
      </c>
      <c r="F167" s="12" t="s">
        <v>863</v>
      </c>
      <c r="G167" s="7" t="s">
        <v>117</v>
      </c>
      <c r="H167" s="8" t="s">
        <v>41</v>
      </c>
      <c r="I167" s="8"/>
      <c r="J167" s="13" t="str">
        <f t="shared" ref="J167:J173" si="10">CONCATENATE($M$1,$K167)</f>
        <v>https://inmapper.com/zorlucenter/img/logo/</v>
      </c>
      <c r="K167" s="9"/>
      <c r="L167" s="8" t="s">
        <v>44</v>
      </c>
      <c r="M167" s="9"/>
      <c r="N167" s="10"/>
      <c r="O167" s="10"/>
      <c r="P167" s="10"/>
      <c r="Q167" s="10"/>
      <c r="R167" s="10"/>
      <c r="S167" s="10"/>
      <c r="T167" s="10"/>
      <c r="U167" s="10"/>
      <c r="V167" s="10"/>
      <c r="W167" s="10"/>
      <c r="X167" s="10"/>
      <c r="Y167" s="10"/>
      <c r="Z167" s="10"/>
    </row>
    <row r="168" ht="15.75" customHeight="1">
      <c r="A168" s="21" t="s">
        <v>864</v>
      </c>
      <c r="B168" s="7" t="s">
        <v>865</v>
      </c>
      <c r="C168" s="7"/>
      <c r="D168" s="7"/>
      <c r="E168" s="18">
        <v>-1.0</v>
      </c>
      <c r="F168" s="12" t="s">
        <v>866</v>
      </c>
      <c r="G168" s="7" t="s">
        <v>867</v>
      </c>
      <c r="H168" s="8" t="s">
        <v>122</v>
      </c>
      <c r="I168" s="13" t="s">
        <v>868</v>
      </c>
      <c r="J168" s="13" t="str">
        <f t="shared" si="10"/>
        <v>https://inmapper.com/zorlucenter/img/logo/ANATOLI.png</v>
      </c>
      <c r="K168" s="7" t="s">
        <v>869</v>
      </c>
      <c r="L168" s="8" t="s">
        <v>125</v>
      </c>
      <c r="M168" s="9"/>
      <c r="N168" s="10"/>
      <c r="O168" s="10"/>
      <c r="P168" s="10"/>
      <c r="Q168" s="10"/>
      <c r="R168" s="10"/>
      <c r="S168" s="10"/>
      <c r="T168" s="10"/>
      <c r="U168" s="10"/>
      <c r="V168" s="10"/>
      <c r="W168" s="10"/>
      <c r="X168" s="10"/>
      <c r="Y168" s="10"/>
      <c r="Z168" s="10"/>
    </row>
    <row r="169" ht="15.75" customHeight="1">
      <c r="A169" s="6" t="s">
        <v>870</v>
      </c>
      <c r="B169" s="18" t="s">
        <v>871</v>
      </c>
      <c r="C169" s="34"/>
      <c r="D169" s="7"/>
      <c r="E169" s="18">
        <v>-1.0</v>
      </c>
      <c r="F169" s="17" t="s">
        <v>872</v>
      </c>
      <c r="G169" s="18" t="s">
        <v>873</v>
      </c>
      <c r="H169" s="8" t="s">
        <v>122</v>
      </c>
      <c r="I169" s="40" t="s">
        <v>874</v>
      </c>
      <c r="J169" s="13" t="str">
        <f t="shared" si="10"/>
        <v>https://inmapper.com/zorlucenter/img/logo/ZARAHOME.png</v>
      </c>
      <c r="K169" s="18" t="s">
        <v>875</v>
      </c>
      <c r="L169" s="8" t="s">
        <v>125</v>
      </c>
      <c r="M169" s="9"/>
      <c r="N169" s="15"/>
      <c r="O169" s="10"/>
      <c r="P169" s="10"/>
      <c r="Q169" s="10"/>
      <c r="R169" s="16"/>
      <c r="S169" s="10"/>
      <c r="T169" s="10"/>
      <c r="U169" s="10"/>
      <c r="V169" s="10"/>
      <c r="W169" s="10"/>
      <c r="X169" s="10"/>
      <c r="Y169" s="10"/>
      <c r="Z169" s="10"/>
    </row>
    <row r="170" ht="15.75" customHeight="1">
      <c r="A170" s="6" t="s">
        <v>876</v>
      </c>
      <c r="B170" s="7" t="s">
        <v>877</v>
      </c>
      <c r="C170" s="7"/>
      <c r="D170" s="7"/>
      <c r="E170" s="7">
        <v>-1.0</v>
      </c>
      <c r="F170" s="7" t="s">
        <v>15</v>
      </c>
      <c r="G170" s="7" t="s">
        <v>878</v>
      </c>
      <c r="H170" s="8" t="s">
        <v>129</v>
      </c>
      <c r="I170" s="8"/>
      <c r="J170" s="13" t="str">
        <f t="shared" si="10"/>
        <v>https://inmapper.com/zorlucenter/img/logo/</v>
      </c>
      <c r="K170" s="9"/>
      <c r="L170" s="8" t="s">
        <v>459</v>
      </c>
      <c r="M170" s="9"/>
      <c r="N170" s="10"/>
      <c r="O170" s="10"/>
      <c r="P170" s="10"/>
      <c r="Q170" s="10"/>
      <c r="R170" s="10"/>
      <c r="S170" s="10"/>
      <c r="T170" s="10"/>
      <c r="U170" s="10"/>
      <c r="V170" s="10"/>
      <c r="W170" s="10"/>
      <c r="X170" s="10"/>
      <c r="Y170" s="10"/>
      <c r="Z170" s="10"/>
    </row>
    <row r="171" ht="15.75" customHeight="1">
      <c r="A171" s="6" t="s">
        <v>879</v>
      </c>
      <c r="B171" s="18" t="s">
        <v>880</v>
      </c>
      <c r="C171" s="7"/>
      <c r="D171" s="7"/>
      <c r="E171" s="18">
        <v>-1.0</v>
      </c>
      <c r="F171" s="17" t="s">
        <v>881</v>
      </c>
      <c r="G171" s="7" t="s">
        <v>660</v>
      </c>
      <c r="H171" s="8" t="s">
        <v>152</v>
      </c>
      <c r="I171" s="40" t="s">
        <v>882</v>
      </c>
      <c r="J171" s="13" t="str">
        <f t="shared" si="10"/>
        <v>https://inmapper.com/zorlucenter/img/logo/ZENPIRLANTA.png</v>
      </c>
      <c r="K171" s="19" t="s">
        <v>883</v>
      </c>
      <c r="L171" s="43" t="s">
        <v>155</v>
      </c>
      <c r="M171" s="9"/>
      <c r="N171" s="10"/>
      <c r="O171" s="10"/>
      <c r="P171" s="10"/>
      <c r="Q171" s="10"/>
      <c r="R171" s="10"/>
      <c r="S171" s="10"/>
      <c r="T171" s="10"/>
      <c r="U171" s="10"/>
      <c r="V171" s="10"/>
      <c r="W171" s="10"/>
      <c r="X171" s="10"/>
      <c r="Y171" s="10"/>
      <c r="Z171" s="10"/>
    </row>
    <row r="172" ht="15.75" customHeight="1">
      <c r="A172" s="6" t="s">
        <v>884</v>
      </c>
      <c r="B172" s="18" t="s">
        <v>885</v>
      </c>
      <c r="C172" s="7"/>
      <c r="D172" s="7"/>
      <c r="E172" s="18">
        <v>-1.0</v>
      </c>
      <c r="F172" s="17" t="s">
        <v>886</v>
      </c>
      <c r="G172" s="18" t="s">
        <v>887</v>
      </c>
      <c r="H172" s="43" t="s">
        <v>184</v>
      </c>
      <c r="I172" s="41" t="s">
        <v>888</v>
      </c>
      <c r="J172" s="13" t="str">
        <f t="shared" si="10"/>
        <v>https://inmapper.com/zorlucenter/img/logo/WALKERSBAR.png</v>
      </c>
      <c r="K172" s="19" t="s">
        <v>889</v>
      </c>
      <c r="L172" s="8" t="s">
        <v>187</v>
      </c>
      <c r="M172" s="9"/>
      <c r="N172" s="10"/>
      <c r="O172" s="10"/>
      <c r="P172" s="10"/>
      <c r="Q172" s="10"/>
      <c r="R172" s="10"/>
      <c r="S172" s="10"/>
      <c r="T172" s="10"/>
      <c r="U172" s="10"/>
      <c r="V172" s="10"/>
      <c r="W172" s="10"/>
      <c r="X172" s="10"/>
      <c r="Y172" s="10"/>
      <c r="Z172" s="10"/>
    </row>
    <row r="173" ht="15.75" customHeight="1">
      <c r="A173" s="6" t="s">
        <v>890</v>
      </c>
      <c r="B173" s="18" t="s">
        <v>891</v>
      </c>
      <c r="C173" s="7"/>
      <c r="D173" s="7"/>
      <c r="E173" s="18">
        <v>-1.0</v>
      </c>
      <c r="F173" s="18" t="s">
        <v>15</v>
      </c>
      <c r="G173" s="18" t="s">
        <v>892</v>
      </c>
      <c r="H173" s="8" t="s">
        <v>176</v>
      </c>
      <c r="I173" s="40" t="s">
        <v>893</v>
      </c>
      <c r="J173" s="13" t="str">
        <f t="shared" si="10"/>
        <v>https://inmapper.com/zorlucenter/img/logo/KIPLING.png</v>
      </c>
      <c r="K173" s="19" t="s">
        <v>894</v>
      </c>
      <c r="L173" s="8" t="s">
        <v>179</v>
      </c>
      <c r="M173" s="9"/>
      <c r="N173" s="10"/>
      <c r="O173" s="10"/>
      <c r="P173" s="10"/>
      <c r="Q173" s="10"/>
      <c r="R173" s="10"/>
      <c r="S173" s="10"/>
      <c r="T173" s="10"/>
      <c r="U173" s="10"/>
      <c r="V173" s="10"/>
      <c r="W173" s="10"/>
      <c r="X173" s="10"/>
      <c r="Y173" s="10"/>
      <c r="Z173" s="10"/>
    </row>
    <row r="174" ht="15.75" customHeight="1">
      <c r="A174" s="21" t="s">
        <v>895</v>
      </c>
      <c r="B174" s="18" t="s">
        <v>127</v>
      </c>
      <c r="C174" s="28"/>
      <c r="D174" s="28"/>
      <c r="E174" s="29">
        <v>-1.0</v>
      </c>
      <c r="F174" s="39" t="s">
        <v>15</v>
      </c>
      <c r="G174" s="39" t="s">
        <v>128</v>
      </c>
      <c r="H174" s="8" t="s">
        <v>129</v>
      </c>
      <c r="I174" s="32"/>
      <c r="J174" s="37"/>
      <c r="K174" s="31"/>
      <c r="L174" s="32" t="s">
        <v>24</v>
      </c>
      <c r="M174" s="38"/>
      <c r="N174" s="28"/>
      <c r="O174" s="28"/>
      <c r="P174" s="28"/>
      <c r="Q174" s="28"/>
      <c r="R174" s="28"/>
      <c r="S174" s="28"/>
      <c r="T174" s="28"/>
      <c r="U174" s="28"/>
      <c r="V174" s="28"/>
      <c r="W174" s="28"/>
      <c r="X174" s="28"/>
      <c r="Y174" s="28"/>
      <c r="Z174" s="28"/>
    </row>
    <row r="175" ht="15.75" customHeight="1">
      <c r="A175" s="6" t="s">
        <v>896</v>
      </c>
      <c r="B175" s="7" t="s">
        <v>462</v>
      </c>
      <c r="C175" s="7"/>
      <c r="D175" s="7"/>
      <c r="E175" s="7">
        <v>-1.0</v>
      </c>
      <c r="F175" s="12" t="s">
        <v>463</v>
      </c>
      <c r="G175" s="7" t="s">
        <v>464</v>
      </c>
      <c r="H175" s="8" t="s">
        <v>129</v>
      </c>
      <c r="I175" s="8"/>
      <c r="J175" s="9"/>
      <c r="K175" s="8"/>
      <c r="L175" s="8" t="s">
        <v>459</v>
      </c>
      <c r="M175" s="9"/>
      <c r="N175" s="10"/>
      <c r="O175" s="10"/>
      <c r="P175" s="10"/>
      <c r="Q175" s="10"/>
      <c r="R175" s="10"/>
      <c r="S175" s="10"/>
      <c r="T175" s="10"/>
      <c r="U175" s="10"/>
      <c r="V175" s="10"/>
      <c r="W175" s="10"/>
      <c r="X175" s="10"/>
      <c r="Y175" s="10"/>
      <c r="Z175" s="10"/>
    </row>
    <row r="176" ht="15.75" hidden="1" customHeight="1">
      <c r="A176" s="6" t="s">
        <v>897</v>
      </c>
      <c r="B176" s="7" t="s">
        <v>898</v>
      </c>
      <c r="C176" s="24"/>
      <c r="D176" s="7"/>
      <c r="E176" s="7">
        <v>-1.0</v>
      </c>
      <c r="F176" s="7" t="s">
        <v>15</v>
      </c>
      <c r="G176" s="7" t="s">
        <v>899</v>
      </c>
      <c r="H176" s="8" t="s">
        <v>900</v>
      </c>
      <c r="I176" s="8"/>
      <c r="J176" s="8"/>
      <c r="K176" s="7"/>
      <c r="L176" s="8" t="s">
        <v>901</v>
      </c>
      <c r="M176" s="9"/>
      <c r="N176" s="10"/>
      <c r="O176" s="10"/>
      <c r="P176" s="10"/>
      <c r="Q176" s="10"/>
      <c r="R176" s="10"/>
      <c r="S176" s="10"/>
      <c r="T176" s="10"/>
      <c r="U176" s="10"/>
      <c r="V176" s="10"/>
      <c r="W176" s="10"/>
      <c r="X176" s="10"/>
      <c r="Y176" s="10"/>
      <c r="Z176" s="10"/>
    </row>
    <row r="177" ht="15.75" hidden="1" customHeight="1">
      <c r="A177" s="6" t="s">
        <v>897</v>
      </c>
      <c r="B177" s="18" t="s">
        <v>902</v>
      </c>
      <c r="C177" s="24"/>
      <c r="D177" s="7"/>
      <c r="E177" s="18">
        <v>-1.0</v>
      </c>
      <c r="F177" s="18" t="s">
        <v>15</v>
      </c>
      <c r="G177" s="7" t="s">
        <v>899</v>
      </c>
      <c r="H177" s="8" t="s">
        <v>900</v>
      </c>
      <c r="I177" s="8"/>
      <c r="J177" s="8"/>
      <c r="K177" s="7"/>
      <c r="L177" s="8" t="s">
        <v>901</v>
      </c>
      <c r="M177" s="9"/>
      <c r="N177" s="10"/>
      <c r="O177" s="10"/>
      <c r="P177" s="10"/>
      <c r="Q177" s="10"/>
      <c r="R177" s="10"/>
      <c r="S177" s="10"/>
      <c r="T177" s="10"/>
      <c r="U177" s="10"/>
      <c r="V177" s="10"/>
      <c r="W177" s="10"/>
      <c r="X177" s="10"/>
      <c r="Y177" s="10"/>
      <c r="Z177" s="10"/>
    </row>
    <row r="178" ht="15.75" hidden="1" customHeight="1">
      <c r="A178" s="6" t="s">
        <v>897</v>
      </c>
      <c r="B178" s="7" t="s">
        <v>903</v>
      </c>
      <c r="C178" s="24"/>
      <c r="D178" s="7"/>
      <c r="E178" s="7">
        <v>-1.0</v>
      </c>
      <c r="F178" s="7" t="s">
        <v>15</v>
      </c>
      <c r="G178" s="7" t="s">
        <v>899</v>
      </c>
      <c r="H178" s="53" t="s">
        <v>900</v>
      </c>
      <c r="I178" s="53"/>
      <c r="J178" s="53"/>
      <c r="K178" s="7"/>
      <c r="L178" s="53" t="s">
        <v>901</v>
      </c>
      <c r="M178" s="9"/>
      <c r="N178" s="10"/>
      <c r="O178" s="10"/>
      <c r="P178" s="10"/>
      <c r="Q178" s="10"/>
      <c r="R178" s="10"/>
      <c r="S178" s="10"/>
      <c r="T178" s="10"/>
      <c r="U178" s="10"/>
      <c r="V178" s="10"/>
      <c r="W178" s="10"/>
      <c r="X178" s="10"/>
      <c r="Y178" s="10"/>
      <c r="Z178" s="10"/>
    </row>
    <row r="179" ht="15.75" hidden="1" customHeight="1">
      <c r="A179" s="6" t="s">
        <v>897</v>
      </c>
      <c r="B179" s="18" t="s">
        <v>904</v>
      </c>
      <c r="C179" s="24"/>
      <c r="D179" s="7"/>
      <c r="E179" s="7">
        <v>-1.0</v>
      </c>
      <c r="F179" s="7" t="s">
        <v>15</v>
      </c>
      <c r="G179" s="7" t="s">
        <v>899</v>
      </c>
      <c r="H179" s="53" t="s">
        <v>900</v>
      </c>
      <c r="I179" s="53"/>
      <c r="J179" s="53"/>
      <c r="K179" s="7"/>
      <c r="L179" s="53" t="s">
        <v>901</v>
      </c>
      <c r="M179" s="9"/>
      <c r="N179" s="10"/>
      <c r="O179" s="10"/>
      <c r="P179" s="10"/>
      <c r="Q179" s="10"/>
      <c r="R179" s="10"/>
      <c r="S179" s="10"/>
      <c r="T179" s="10"/>
      <c r="U179" s="10"/>
      <c r="V179" s="10"/>
      <c r="W179" s="10"/>
      <c r="X179" s="10"/>
      <c r="Y179" s="10"/>
      <c r="Z179" s="10"/>
    </row>
    <row r="180" ht="15.75" hidden="1" customHeight="1">
      <c r="A180" s="21" t="s">
        <v>897</v>
      </c>
      <c r="B180" s="54" t="s">
        <v>905</v>
      </c>
      <c r="C180" s="24"/>
      <c r="D180" s="7"/>
      <c r="E180" s="18">
        <v>-1.0</v>
      </c>
      <c r="F180" s="54" t="s">
        <v>15</v>
      </c>
      <c r="G180" s="7" t="s">
        <v>899</v>
      </c>
      <c r="H180" s="8" t="s">
        <v>900</v>
      </c>
      <c r="I180" s="8"/>
      <c r="J180" s="8"/>
      <c r="K180" s="7"/>
      <c r="L180" s="8" t="s">
        <v>901</v>
      </c>
      <c r="M180" s="9"/>
      <c r="N180" s="10"/>
      <c r="O180" s="10"/>
      <c r="P180" s="10"/>
      <c r="Q180" s="10"/>
      <c r="R180" s="10"/>
      <c r="S180" s="10"/>
      <c r="T180" s="10"/>
      <c r="U180" s="10"/>
      <c r="V180" s="10"/>
      <c r="W180" s="10"/>
      <c r="X180" s="10"/>
      <c r="Y180" s="10"/>
      <c r="Z180" s="10"/>
    </row>
    <row r="181" ht="15.75" hidden="1" customHeight="1">
      <c r="A181" s="6" t="s">
        <v>897</v>
      </c>
      <c r="B181" s="7" t="s">
        <v>906</v>
      </c>
      <c r="C181" s="24"/>
      <c r="D181" s="7"/>
      <c r="E181" s="7">
        <v>-1.0</v>
      </c>
      <c r="F181" s="7" t="s">
        <v>15</v>
      </c>
      <c r="G181" s="7" t="s">
        <v>899</v>
      </c>
      <c r="H181" s="8" t="s">
        <v>900</v>
      </c>
      <c r="I181" s="8"/>
      <c r="J181" s="8"/>
      <c r="K181" s="7"/>
      <c r="L181" s="8" t="s">
        <v>901</v>
      </c>
      <c r="M181" s="9"/>
      <c r="N181" s="10"/>
      <c r="O181" s="10"/>
      <c r="P181" s="10"/>
      <c r="Q181" s="10"/>
      <c r="R181" s="10"/>
      <c r="S181" s="10"/>
      <c r="T181" s="10"/>
      <c r="U181" s="10"/>
      <c r="V181" s="10"/>
      <c r="W181" s="10"/>
      <c r="X181" s="10"/>
      <c r="Y181" s="10"/>
      <c r="Z181" s="10"/>
    </row>
    <row r="182" ht="15.75" hidden="1" customHeight="1">
      <c r="A182" s="6" t="s">
        <v>897</v>
      </c>
      <c r="B182" s="7" t="s">
        <v>907</v>
      </c>
      <c r="C182" s="24"/>
      <c r="D182" s="7"/>
      <c r="E182" s="7">
        <v>-1.0</v>
      </c>
      <c r="F182" s="7" t="s">
        <v>15</v>
      </c>
      <c r="G182" s="7" t="s">
        <v>899</v>
      </c>
      <c r="H182" s="8" t="s">
        <v>900</v>
      </c>
      <c r="I182" s="8"/>
      <c r="J182" s="8"/>
      <c r="K182" s="7"/>
      <c r="L182" s="8" t="s">
        <v>901</v>
      </c>
      <c r="M182" s="9"/>
      <c r="N182" s="10"/>
      <c r="O182" s="10"/>
      <c r="P182" s="10"/>
      <c r="Q182" s="10"/>
      <c r="R182" s="10"/>
      <c r="S182" s="10"/>
      <c r="T182" s="10"/>
      <c r="U182" s="10"/>
      <c r="V182" s="10"/>
      <c r="W182" s="10"/>
      <c r="X182" s="10"/>
      <c r="Y182" s="10"/>
      <c r="Z182" s="10"/>
    </row>
    <row r="183" ht="15.75" hidden="1" customHeight="1">
      <c r="A183" s="6" t="s">
        <v>897</v>
      </c>
      <c r="B183" s="7" t="s">
        <v>908</v>
      </c>
      <c r="C183" s="24"/>
      <c r="D183" s="7"/>
      <c r="E183" s="7">
        <v>-1.0</v>
      </c>
      <c r="F183" s="7" t="s">
        <v>15</v>
      </c>
      <c r="G183" s="7" t="s">
        <v>899</v>
      </c>
      <c r="H183" s="8" t="s">
        <v>900</v>
      </c>
      <c r="I183" s="8"/>
      <c r="J183" s="8"/>
      <c r="K183" s="7"/>
      <c r="L183" s="8" t="s">
        <v>901</v>
      </c>
      <c r="M183" s="9"/>
      <c r="N183" s="10"/>
      <c r="O183" s="10"/>
      <c r="P183" s="10"/>
      <c r="Q183" s="10"/>
      <c r="R183" s="10"/>
      <c r="S183" s="10"/>
      <c r="T183" s="10"/>
      <c r="U183" s="10"/>
      <c r="V183" s="10"/>
      <c r="W183" s="10"/>
      <c r="X183" s="10"/>
      <c r="Y183" s="10"/>
      <c r="Z183" s="10"/>
    </row>
    <row r="184" ht="15.75" hidden="1" customHeight="1">
      <c r="A184" s="6" t="s">
        <v>897</v>
      </c>
      <c r="B184" s="7" t="s">
        <v>909</v>
      </c>
      <c r="C184" s="24"/>
      <c r="D184" s="7"/>
      <c r="E184" s="7">
        <v>-1.0</v>
      </c>
      <c r="F184" s="7" t="s">
        <v>15</v>
      </c>
      <c r="G184" s="7" t="s">
        <v>899</v>
      </c>
      <c r="H184" s="8" t="s">
        <v>900</v>
      </c>
      <c r="I184" s="8"/>
      <c r="J184" s="8"/>
      <c r="K184" s="7"/>
      <c r="L184" s="8" t="s">
        <v>901</v>
      </c>
      <c r="M184" s="9"/>
      <c r="N184" s="10"/>
      <c r="O184" s="10"/>
      <c r="P184" s="10"/>
      <c r="Q184" s="10"/>
      <c r="R184" s="10"/>
      <c r="S184" s="10"/>
      <c r="T184" s="10"/>
      <c r="U184" s="10"/>
      <c r="V184" s="10"/>
      <c r="W184" s="10"/>
      <c r="X184" s="10"/>
      <c r="Y184" s="10"/>
      <c r="Z184" s="10"/>
    </row>
    <row r="185" ht="15.75" hidden="1" customHeight="1">
      <c r="A185" s="6" t="s">
        <v>897</v>
      </c>
      <c r="B185" s="18" t="s">
        <v>910</v>
      </c>
      <c r="C185" s="24"/>
      <c r="D185" s="7"/>
      <c r="E185" s="7">
        <v>-1.0</v>
      </c>
      <c r="F185" s="7" t="s">
        <v>15</v>
      </c>
      <c r="G185" s="7" t="s">
        <v>899</v>
      </c>
      <c r="H185" s="8" t="s">
        <v>900</v>
      </c>
      <c r="I185" s="8"/>
      <c r="J185" s="8"/>
      <c r="K185" s="7"/>
      <c r="L185" s="8" t="s">
        <v>901</v>
      </c>
      <c r="M185" s="9"/>
      <c r="N185" s="10"/>
      <c r="O185" s="10"/>
      <c r="P185" s="10"/>
      <c r="Q185" s="10"/>
      <c r="R185" s="10"/>
      <c r="S185" s="10"/>
      <c r="T185" s="10"/>
      <c r="U185" s="10"/>
      <c r="V185" s="10"/>
      <c r="W185" s="10"/>
      <c r="X185" s="10"/>
      <c r="Y185" s="10"/>
      <c r="Z185" s="10"/>
    </row>
    <row r="186" ht="15.75" hidden="1" customHeight="1">
      <c r="A186" s="6" t="s">
        <v>897</v>
      </c>
      <c r="B186" s="7" t="s">
        <v>911</v>
      </c>
      <c r="C186" s="24"/>
      <c r="D186" s="7"/>
      <c r="E186" s="7">
        <v>-1.0</v>
      </c>
      <c r="F186" s="7" t="s">
        <v>15</v>
      </c>
      <c r="G186" s="7" t="s">
        <v>899</v>
      </c>
      <c r="H186" s="8" t="s">
        <v>900</v>
      </c>
      <c r="I186" s="8"/>
      <c r="J186" s="8"/>
      <c r="K186" s="7"/>
      <c r="L186" s="8" t="s">
        <v>901</v>
      </c>
      <c r="M186" s="9"/>
      <c r="N186" s="10"/>
      <c r="O186" s="10"/>
      <c r="P186" s="10"/>
      <c r="Q186" s="10"/>
      <c r="R186" s="10"/>
      <c r="S186" s="10"/>
      <c r="T186" s="10"/>
      <c r="U186" s="10"/>
      <c r="V186" s="10"/>
      <c r="W186" s="10"/>
      <c r="X186" s="10"/>
      <c r="Y186" s="10"/>
      <c r="Z186" s="10"/>
    </row>
    <row r="187" ht="15.75" hidden="1" customHeight="1">
      <c r="A187" s="6" t="s">
        <v>897</v>
      </c>
      <c r="B187" s="7" t="s">
        <v>912</v>
      </c>
      <c r="C187" s="24"/>
      <c r="D187" s="7"/>
      <c r="E187" s="7">
        <v>-1.0</v>
      </c>
      <c r="F187" s="7" t="s">
        <v>15</v>
      </c>
      <c r="G187" s="7" t="s">
        <v>899</v>
      </c>
      <c r="H187" s="8" t="s">
        <v>900</v>
      </c>
      <c r="I187" s="8"/>
      <c r="J187" s="8"/>
      <c r="K187" s="7"/>
      <c r="L187" s="8" t="s">
        <v>901</v>
      </c>
      <c r="M187" s="9"/>
      <c r="N187" s="10"/>
      <c r="O187" s="10"/>
      <c r="P187" s="10"/>
      <c r="Q187" s="10"/>
      <c r="R187" s="10"/>
      <c r="S187" s="10"/>
      <c r="T187" s="10"/>
      <c r="U187" s="10"/>
      <c r="V187" s="10"/>
      <c r="W187" s="10"/>
      <c r="X187" s="10"/>
      <c r="Y187" s="10"/>
      <c r="Z187" s="10"/>
    </row>
    <row r="188" ht="15.75" hidden="1" customHeight="1">
      <c r="A188" s="6" t="s">
        <v>897</v>
      </c>
      <c r="B188" s="7" t="s">
        <v>913</v>
      </c>
      <c r="C188" s="24"/>
      <c r="D188" s="7"/>
      <c r="E188" s="7">
        <v>-1.0</v>
      </c>
      <c r="F188" s="7" t="s">
        <v>15</v>
      </c>
      <c r="G188" s="7" t="s">
        <v>899</v>
      </c>
      <c r="H188" s="8" t="s">
        <v>900</v>
      </c>
      <c r="I188" s="8"/>
      <c r="J188" s="8"/>
      <c r="K188" s="7"/>
      <c r="L188" s="8" t="s">
        <v>901</v>
      </c>
      <c r="M188" s="9"/>
      <c r="N188" s="15"/>
      <c r="O188" s="10"/>
      <c r="P188" s="10"/>
      <c r="Q188" s="10"/>
      <c r="R188" s="16"/>
      <c r="S188" s="10"/>
      <c r="T188" s="10"/>
      <c r="U188" s="10"/>
      <c r="V188" s="10"/>
      <c r="W188" s="10"/>
      <c r="X188" s="10"/>
      <c r="Y188" s="10"/>
      <c r="Z188" s="10"/>
    </row>
    <row r="189" ht="15.75" hidden="1" customHeight="1">
      <c r="A189" s="6" t="s">
        <v>897</v>
      </c>
      <c r="B189" s="21" t="s">
        <v>914</v>
      </c>
      <c r="C189" s="24"/>
      <c r="D189" s="7"/>
      <c r="E189" s="7">
        <v>-1.0</v>
      </c>
      <c r="F189" s="7" t="s">
        <v>15</v>
      </c>
      <c r="G189" s="7" t="s">
        <v>899</v>
      </c>
      <c r="H189" s="8" t="s">
        <v>900</v>
      </c>
      <c r="I189" s="8"/>
      <c r="J189" s="8"/>
      <c r="K189" s="7"/>
      <c r="L189" s="8" t="s">
        <v>901</v>
      </c>
      <c r="M189" s="9"/>
      <c r="N189" s="15"/>
      <c r="O189" s="10"/>
      <c r="P189" s="10"/>
      <c r="Q189" s="10"/>
      <c r="R189" s="16"/>
      <c r="S189" s="10"/>
      <c r="T189" s="10"/>
      <c r="U189" s="10"/>
      <c r="V189" s="10"/>
      <c r="W189" s="10"/>
      <c r="X189" s="10"/>
      <c r="Y189" s="10"/>
      <c r="Z189" s="10"/>
    </row>
    <row r="190" ht="15.75" hidden="1" customHeight="1">
      <c r="A190" s="6" t="s">
        <v>897</v>
      </c>
      <c r="B190" s="7" t="s">
        <v>915</v>
      </c>
      <c r="C190" s="24"/>
      <c r="D190" s="7"/>
      <c r="E190" s="7">
        <v>-1.0</v>
      </c>
      <c r="F190" s="7" t="s">
        <v>15</v>
      </c>
      <c r="G190" s="7" t="s">
        <v>899</v>
      </c>
      <c r="H190" s="8" t="s">
        <v>900</v>
      </c>
      <c r="I190" s="8"/>
      <c r="J190" s="8"/>
      <c r="K190" s="7"/>
      <c r="L190" s="8" t="s">
        <v>901</v>
      </c>
      <c r="M190" s="9"/>
      <c r="N190" s="10"/>
      <c r="O190" s="10"/>
      <c r="P190" s="10"/>
      <c r="Q190" s="10"/>
      <c r="R190" s="10"/>
      <c r="S190" s="10"/>
      <c r="T190" s="10"/>
      <c r="U190" s="10"/>
      <c r="V190" s="10"/>
      <c r="W190" s="10"/>
      <c r="X190" s="10"/>
      <c r="Y190" s="10"/>
      <c r="Z190" s="10"/>
    </row>
    <row r="191" ht="15.75" hidden="1" customHeight="1">
      <c r="A191" s="6" t="s">
        <v>897</v>
      </c>
      <c r="B191" s="18" t="s">
        <v>916</v>
      </c>
      <c r="C191" s="24"/>
      <c r="D191" s="7"/>
      <c r="E191" s="7">
        <v>-1.0</v>
      </c>
      <c r="F191" s="7" t="s">
        <v>15</v>
      </c>
      <c r="G191" s="7" t="s">
        <v>899</v>
      </c>
      <c r="H191" s="8" t="s">
        <v>900</v>
      </c>
      <c r="I191" s="8"/>
      <c r="J191" s="8"/>
      <c r="K191" s="7"/>
      <c r="L191" s="8" t="s">
        <v>901</v>
      </c>
      <c r="M191" s="9"/>
      <c r="N191" s="10"/>
      <c r="O191" s="10"/>
      <c r="P191" s="10"/>
      <c r="Q191" s="10"/>
      <c r="R191" s="10"/>
      <c r="S191" s="10"/>
      <c r="T191" s="10"/>
      <c r="U191" s="10"/>
      <c r="V191" s="10"/>
      <c r="W191" s="10"/>
      <c r="X191" s="10"/>
      <c r="Y191" s="10"/>
      <c r="Z191" s="10"/>
    </row>
    <row r="192" ht="15.75" hidden="1" customHeight="1">
      <c r="A192" s="6" t="s">
        <v>897</v>
      </c>
      <c r="B192" s="7" t="s">
        <v>917</v>
      </c>
      <c r="C192" s="24"/>
      <c r="D192" s="7"/>
      <c r="E192" s="7">
        <v>-1.0</v>
      </c>
      <c r="F192" s="7" t="s">
        <v>15</v>
      </c>
      <c r="G192" s="7" t="s">
        <v>899</v>
      </c>
      <c r="H192" s="8" t="s">
        <v>900</v>
      </c>
      <c r="I192" s="8"/>
      <c r="J192" s="8"/>
      <c r="K192" s="7"/>
      <c r="L192" s="8" t="s">
        <v>901</v>
      </c>
      <c r="M192" s="9"/>
      <c r="N192" s="10"/>
      <c r="O192" s="10"/>
      <c r="P192" s="10"/>
      <c r="Q192" s="10"/>
      <c r="R192" s="10"/>
      <c r="S192" s="10"/>
      <c r="T192" s="10"/>
      <c r="U192" s="10"/>
      <c r="V192" s="10"/>
      <c r="W192" s="10"/>
      <c r="X192" s="10"/>
      <c r="Y192" s="10"/>
      <c r="Z192" s="10"/>
    </row>
    <row r="193" ht="15.75" hidden="1" customHeight="1">
      <c r="A193" s="6" t="s">
        <v>897</v>
      </c>
      <c r="B193" s="18" t="s">
        <v>918</v>
      </c>
      <c r="C193" s="24"/>
      <c r="D193" s="7"/>
      <c r="E193" s="7">
        <v>-1.0</v>
      </c>
      <c r="F193" s="7" t="s">
        <v>15</v>
      </c>
      <c r="G193" s="7" t="s">
        <v>899</v>
      </c>
      <c r="H193" s="8" t="s">
        <v>900</v>
      </c>
      <c r="I193" s="8"/>
      <c r="J193" s="8"/>
      <c r="K193" s="7"/>
      <c r="L193" s="8" t="s">
        <v>901</v>
      </c>
      <c r="M193" s="9"/>
      <c r="N193" s="10"/>
      <c r="O193" s="10"/>
      <c r="P193" s="10"/>
      <c r="Q193" s="10"/>
      <c r="R193" s="10"/>
      <c r="S193" s="10"/>
      <c r="T193" s="10"/>
      <c r="U193" s="10"/>
      <c r="V193" s="10"/>
      <c r="W193" s="10"/>
      <c r="X193" s="10"/>
      <c r="Y193" s="10"/>
      <c r="Z193" s="10"/>
    </row>
    <row r="194" ht="15.75" hidden="1" customHeight="1">
      <c r="A194" s="6" t="s">
        <v>897</v>
      </c>
      <c r="B194" s="7" t="s">
        <v>919</v>
      </c>
      <c r="C194" s="24"/>
      <c r="D194" s="7"/>
      <c r="E194" s="7">
        <v>-1.0</v>
      </c>
      <c r="F194" s="7" t="s">
        <v>15</v>
      </c>
      <c r="G194" s="7" t="s">
        <v>899</v>
      </c>
      <c r="H194" s="8" t="s">
        <v>900</v>
      </c>
      <c r="I194" s="8"/>
      <c r="J194" s="8"/>
      <c r="K194" s="7"/>
      <c r="L194" s="8" t="s">
        <v>901</v>
      </c>
      <c r="M194" s="9"/>
      <c r="N194" s="10"/>
      <c r="O194" s="10"/>
      <c r="P194" s="10"/>
      <c r="Q194" s="10"/>
      <c r="R194" s="10"/>
      <c r="S194" s="10"/>
      <c r="T194" s="10"/>
      <c r="U194" s="10"/>
      <c r="V194" s="10"/>
      <c r="W194" s="10"/>
      <c r="X194" s="10"/>
      <c r="Y194" s="10"/>
      <c r="Z194" s="10"/>
    </row>
    <row r="195" ht="15.75" hidden="1" customHeight="1">
      <c r="A195" s="6" t="s">
        <v>897</v>
      </c>
      <c r="B195" s="7" t="s">
        <v>920</v>
      </c>
      <c r="C195" s="24"/>
      <c r="D195" s="7"/>
      <c r="E195" s="7">
        <v>-1.0</v>
      </c>
      <c r="F195" s="7" t="s">
        <v>15</v>
      </c>
      <c r="G195" s="7" t="s">
        <v>899</v>
      </c>
      <c r="H195" s="8" t="s">
        <v>900</v>
      </c>
      <c r="I195" s="8"/>
      <c r="J195" s="8"/>
      <c r="K195" s="7"/>
      <c r="L195" s="8" t="s">
        <v>901</v>
      </c>
      <c r="M195" s="9"/>
      <c r="N195" s="10"/>
      <c r="O195" s="10"/>
      <c r="P195" s="10"/>
      <c r="Q195" s="10"/>
      <c r="R195" s="10"/>
      <c r="S195" s="10"/>
      <c r="T195" s="10"/>
      <c r="U195" s="10"/>
      <c r="V195" s="10"/>
      <c r="W195" s="10"/>
      <c r="X195" s="10"/>
      <c r="Y195" s="10"/>
      <c r="Z195" s="10"/>
    </row>
    <row r="196" ht="15.75" hidden="1" customHeight="1">
      <c r="A196" s="6" t="s">
        <v>897</v>
      </c>
      <c r="B196" s="7" t="s">
        <v>921</v>
      </c>
      <c r="C196" s="24"/>
      <c r="D196" s="7"/>
      <c r="E196" s="7">
        <v>-1.0</v>
      </c>
      <c r="F196" s="7" t="s">
        <v>15</v>
      </c>
      <c r="G196" s="7" t="s">
        <v>899</v>
      </c>
      <c r="H196" s="8" t="s">
        <v>900</v>
      </c>
      <c r="I196" s="8"/>
      <c r="J196" s="8"/>
      <c r="K196" s="7"/>
      <c r="L196" s="8" t="s">
        <v>901</v>
      </c>
      <c r="M196" s="9"/>
      <c r="N196" s="10"/>
      <c r="O196" s="10"/>
      <c r="P196" s="10"/>
      <c r="Q196" s="10"/>
      <c r="R196" s="10"/>
      <c r="S196" s="10"/>
      <c r="T196" s="10"/>
      <c r="U196" s="10"/>
      <c r="V196" s="10"/>
      <c r="W196" s="10"/>
      <c r="X196" s="10"/>
      <c r="Y196" s="10"/>
      <c r="Z196" s="10"/>
    </row>
    <row r="197" ht="15.75" hidden="1" customHeight="1">
      <c r="A197" s="6" t="s">
        <v>897</v>
      </c>
      <c r="B197" s="7" t="s">
        <v>922</v>
      </c>
      <c r="C197" s="24"/>
      <c r="D197" s="7"/>
      <c r="E197" s="7">
        <v>-1.0</v>
      </c>
      <c r="F197" s="7" t="s">
        <v>15</v>
      </c>
      <c r="G197" s="7" t="s">
        <v>899</v>
      </c>
      <c r="H197" s="8" t="s">
        <v>900</v>
      </c>
      <c r="I197" s="8"/>
      <c r="J197" s="8"/>
      <c r="K197" s="7"/>
      <c r="L197" s="8" t="s">
        <v>901</v>
      </c>
      <c r="M197" s="9"/>
      <c r="N197" s="10"/>
      <c r="O197" s="10"/>
      <c r="P197" s="10"/>
      <c r="Q197" s="10"/>
      <c r="R197" s="10"/>
      <c r="S197" s="10"/>
      <c r="T197" s="10"/>
      <c r="U197" s="10"/>
      <c r="V197" s="10"/>
      <c r="W197" s="10"/>
      <c r="X197" s="10"/>
      <c r="Y197" s="10"/>
      <c r="Z197" s="10"/>
    </row>
    <row r="198" ht="15.75" hidden="1" customHeight="1">
      <c r="A198" s="6" t="s">
        <v>897</v>
      </c>
      <c r="B198" s="18" t="s">
        <v>923</v>
      </c>
      <c r="C198" s="24"/>
      <c r="D198" s="7"/>
      <c r="E198" s="7">
        <v>-1.0</v>
      </c>
      <c r="F198" s="7" t="s">
        <v>15</v>
      </c>
      <c r="G198" s="7" t="s">
        <v>899</v>
      </c>
      <c r="H198" s="8" t="s">
        <v>900</v>
      </c>
      <c r="I198" s="8"/>
      <c r="J198" s="8"/>
      <c r="K198" s="7"/>
      <c r="L198" s="8" t="s">
        <v>901</v>
      </c>
      <c r="M198" s="9"/>
      <c r="N198" s="10"/>
      <c r="O198" s="10"/>
      <c r="P198" s="10"/>
      <c r="Q198" s="10"/>
      <c r="R198" s="10"/>
      <c r="S198" s="10"/>
      <c r="T198" s="10"/>
      <c r="U198" s="10"/>
      <c r="V198" s="10"/>
      <c r="W198" s="10"/>
      <c r="X198" s="10"/>
      <c r="Y198" s="10"/>
      <c r="Z198" s="10"/>
    </row>
    <row r="199" ht="15.75" hidden="1" customHeight="1">
      <c r="A199" s="6" t="s">
        <v>897</v>
      </c>
      <c r="B199" s="7" t="s">
        <v>924</v>
      </c>
      <c r="C199" s="24"/>
      <c r="D199" s="7"/>
      <c r="E199" s="7">
        <v>-1.0</v>
      </c>
      <c r="F199" s="7" t="s">
        <v>15</v>
      </c>
      <c r="G199" s="7" t="s">
        <v>899</v>
      </c>
      <c r="H199" s="8" t="s">
        <v>900</v>
      </c>
      <c r="I199" s="8"/>
      <c r="J199" s="8"/>
      <c r="K199" s="7"/>
      <c r="L199" s="8" t="s">
        <v>901</v>
      </c>
      <c r="M199" s="9"/>
      <c r="N199" s="10"/>
      <c r="O199" s="10"/>
      <c r="P199" s="10"/>
      <c r="Q199" s="10"/>
      <c r="R199" s="10"/>
      <c r="S199" s="10"/>
      <c r="T199" s="10"/>
      <c r="U199" s="10"/>
      <c r="V199" s="10"/>
      <c r="W199" s="10"/>
      <c r="X199" s="10"/>
      <c r="Y199" s="10"/>
      <c r="Z199" s="10"/>
    </row>
    <row r="200" ht="15.75" hidden="1" customHeight="1">
      <c r="A200" s="6" t="s">
        <v>897</v>
      </c>
      <c r="B200" s="18" t="s">
        <v>925</v>
      </c>
      <c r="C200" s="24"/>
      <c r="D200" s="7"/>
      <c r="E200" s="7">
        <v>-1.0</v>
      </c>
      <c r="F200" s="7" t="s">
        <v>15</v>
      </c>
      <c r="G200" s="7" t="s">
        <v>899</v>
      </c>
      <c r="H200" s="8" t="s">
        <v>900</v>
      </c>
      <c r="I200" s="8"/>
      <c r="J200" s="8"/>
      <c r="K200" s="7"/>
      <c r="L200" s="8" t="s">
        <v>901</v>
      </c>
      <c r="M200" s="9"/>
      <c r="N200" s="10"/>
      <c r="O200" s="10"/>
      <c r="P200" s="10"/>
      <c r="Q200" s="10"/>
      <c r="R200" s="10"/>
      <c r="S200" s="10"/>
      <c r="T200" s="10"/>
      <c r="U200" s="10"/>
      <c r="V200" s="10"/>
      <c r="W200" s="10"/>
      <c r="X200" s="10"/>
      <c r="Y200" s="10"/>
      <c r="Z200" s="10"/>
    </row>
    <row r="201" ht="15.75" hidden="1" customHeight="1">
      <c r="A201" s="6" t="s">
        <v>897</v>
      </c>
      <c r="B201" s="18" t="s">
        <v>926</v>
      </c>
      <c r="C201" s="24"/>
      <c r="D201" s="7"/>
      <c r="E201" s="7">
        <v>-1.0</v>
      </c>
      <c r="F201" s="7" t="s">
        <v>15</v>
      </c>
      <c r="G201" s="7" t="s">
        <v>899</v>
      </c>
      <c r="H201" s="8" t="s">
        <v>900</v>
      </c>
      <c r="I201" s="8"/>
      <c r="J201" s="8"/>
      <c r="K201" s="7"/>
      <c r="L201" s="8" t="s">
        <v>901</v>
      </c>
      <c r="M201" s="9"/>
      <c r="N201" s="10"/>
      <c r="O201" s="10"/>
      <c r="P201" s="10"/>
      <c r="Q201" s="10"/>
      <c r="R201" s="10"/>
      <c r="S201" s="10"/>
      <c r="T201" s="10"/>
      <c r="U201" s="10"/>
      <c r="V201" s="10"/>
      <c r="W201" s="10"/>
      <c r="X201" s="10"/>
      <c r="Y201" s="10"/>
      <c r="Z201" s="10"/>
    </row>
    <row r="202" ht="15.75" hidden="1" customHeight="1">
      <c r="A202" s="6" t="s">
        <v>897</v>
      </c>
      <c r="B202" s="18" t="s">
        <v>927</v>
      </c>
      <c r="C202" s="24"/>
      <c r="D202" s="7"/>
      <c r="E202" s="7">
        <v>-1.0</v>
      </c>
      <c r="F202" s="7" t="s">
        <v>15</v>
      </c>
      <c r="G202" s="7" t="s">
        <v>899</v>
      </c>
      <c r="H202" s="8" t="s">
        <v>900</v>
      </c>
      <c r="I202" s="8"/>
      <c r="J202" s="8"/>
      <c r="K202" s="7"/>
      <c r="L202" s="8" t="s">
        <v>901</v>
      </c>
      <c r="M202" s="9"/>
      <c r="N202" s="10"/>
      <c r="O202" s="10"/>
      <c r="P202" s="10"/>
      <c r="Q202" s="10"/>
      <c r="R202" s="10"/>
      <c r="S202" s="10"/>
      <c r="T202" s="10"/>
      <c r="U202" s="10"/>
      <c r="V202" s="10"/>
      <c r="W202" s="10"/>
      <c r="X202" s="10"/>
      <c r="Y202" s="10"/>
      <c r="Z202" s="10"/>
    </row>
    <row r="203" ht="15.75" hidden="1" customHeight="1">
      <c r="A203" s="6" t="s">
        <v>897</v>
      </c>
      <c r="B203" s="18" t="s">
        <v>928</v>
      </c>
      <c r="C203" s="24"/>
      <c r="D203" s="7"/>
      <c r="E203" s="7">
        <v>-1.0</v>
      </c>
      <c r="F203" s="7" t="s">
        <v>15</v>
      </c>
      <c r="G203" s="7" t="s">
        <v>899</v>
      </c>
      <c r="H203" s="8" t="s">
        <v>900</v>
      </c>
      <c r="I203" s="8"/>
      <c r="J203" s="8"/>
      <c r="K203" s="7"/>
      <c r="L203" s="8" t="s">
        <v>901</v>
      </c>
      <c r="M203" s="9"/>
      <c r="N203" s="10"/>
      <c r="O203" s="10"/>
      <c r="P203" s="10"/>
      <c r="Q203" s="10"/>
      <c r="R203" s="10"/>
      <c r="S203" s="10"/>
      <c r="T203" s="10"/>
      <c r="U203" s="10"/>
      <c r="V203" s="10"/>
      <c r="W203" s="10"/>
      <c r="X203" s="10"/>
      <c r="Y203" s="10"/>
      <c r="Z203" s="10"/>
    </row>
    <row r="204" ht="15.75" hidden="1" customHeight="1">
      <c r="A204" s="6" t="s">
        <v>897</v>
      </c>
      <c r="B204" s="18" t="s">
        <v>929</v>
      </c>
      <c r="C204" s="24"/>
      <c r="D204" s="7"/>
      <c r="E204" s="7">
        <v>-1.0</v>
      </c>
      <c r="F204" s="7" t="s">
        <v>15</v>
      </c>
      <c r="G204" s="7" t="s">
        <v>899</v>
      </c>
      <c r="H204" s="8" t="s">
        <v>900</v>
      </c>
      <c r="I204" s="8"/>
      <c r="J204" s="8"/>
      <c r="K204" s="7"/>
      <c r="L204" s="8" t="s">
        <v>901</v>
      </c>
      <c r="M204" s="9"/>
      <c r="N204" s="10"/>
      <c r="O204" s="10"/>
      <c r="P204" s="10"/>
      <c r="Q204" s="10"/>
      <c r="R204" s="10"/>
      <c r="S204" s="10"/>
      <c r="T204" s="10"/>
      <c r="U204" s="10"/>
      <c r="V204" s="10"/>
      <c r="W204" s="10"/>
      <c r="X204" s="10"/>
      <c r="Y204" s="10"/>
      <c r="Z204" s="10"/>
    </row>
    <row r="205" ht="15.75" hidden="1" customHeight="1">
      <c r="A205" s="6" t="s">
        <v>897</v>
      </c>
      <c r="B205" s="7" t="s">
        <v>930</v>
      </c>
      <c r="C205" s="24"/>
      <c r="D205" s="7"/>
      <c r="E205" s="7">
        <v>-1.0</v>
      </c>
      <c r="F205" s="7" t="s">
        <v>15</v>
      </c>
      <c r="G205" s="7" t="s">
        <v>899</v>
      </c>
      <c r="H205" s="8" t="s">
        <v>900</v>
      </c>
      <c r="I205" s="8"/>
      <c r="J205" s="8"/>
      <c r="K205" s="7"/>
      <c r="L205" s="8" t="s">
        <v>901</v>
      </c>
      <c r="M205" s="9"/>
      <c r="N205" s="10"/>
      <c r="O205" s="10"/>
      <c r="P205" s="10"/>
      <c r="Q205" s="10"/>
      <c r="R205" s="10"/>
      <c r="S205" s="10"/>
      <c r="T205" s="10"/>
      <c r="U205" s="10"/>
      <c r="V205" s="10"/>
      <c r="W205" s="10"/>
      <c r="X205" s="10"/>
      <c r="Y205" s="10"/>
      <c r="Z205" s="10"/>
    </row>
    <row r="206" ht="15.75" hidden="1" customHeight="1">
      <c r="A206" s="6" t="s">
        <v>897</v>
      </c>
      <c r="B206" s="7" t="s">
        <v>931</v>
      </c>
      <c r="C206" s="24"/>
      <c r="D206" s="7"/>
      <c r="E206" s="7">
        <v>-1.0</v>
      </c>
      <c r="F206" s="7" t="s">
        <v>15</v>
      </c>
      <c r="G206" s="7" t="s">
        <v>899</v>
      </c>
      <c r="H206" s="8" t="s">
        <v>900</v>
      </c>
      <c r="I206" s="8"/>
      <c r="J206" s="8"/>
      <c r="K206" s="7"/>
      <c r="L206" s="8" t="s">
        <v>901</v>
      </c>
      <c r="M206" s="9"/>
      <c r="N206" s="10"/>
      <c r="O206" s="10"/>
      <c r="P206" s="10"/>
      <c r="Q206" s="10"/>
      <c r="R206" s="10"/>
      <c r="S206" s="10"/>
      <c r="T206" s="10"/>
      <c r="U206" s="10"/>
      <c r="V206" s="10"/>
      <c r="W206" s="10"/>
      <c r="X206" s="10"/>
      <c r="Y206" s="10"/>
      <c r="Z206" s="10"/>
    </row>
    <row r="207" ht="15.75" hidden="1" customHeight="1">
      <c r="A207" s="6" t="s">
        <v>897</v>
      </c>
      <c r="B207" s="7" t="s">
        <v>932</v>
      </c>
      <c r="C207" s="24"/>
      <c r="D207" s="7"/>
      <c r="E207" s="7">
        <v>-1.0</v>
      </c>
      <c r="F207" s="7" t="s">
        <v>15</v>
      </c>
      <c r="G207" s="7" t="s">
        <v>899</v>
      </c>
      <c r="H207" s="8" t="s">
        <v>900</v>
      </c>
      <c r="I207" s="8"/>
      <c r="J207" s="8"/>
      <c r="K207" s="7"/>
      <c r="L207" s="8" t="s">
        <v>901</v>
      </c>
      <c r="M207" s="9"/>
      <c r="N207" s="10"/>
      <c r="O207" s="10"/>
      <c r="P207" s="10"/>
      <c r="Q207" s="10"/>
      <c r="R207" s="10"/>
      <c r="S207" s="10"/>
      <c r="T207" s="10"/>
      <c r="U207" s="10"/>
      <c r="V207" s="10"/>
      <c r="W207" s="10"/>
      <c r="X207" s="10"/>
      <c r="Y207" s="10"/>
      <c r="Z207" s="10"/>
    </row>
    <row r="208" ht="15.75" hidden="1" customHeight="1">
      <c r="A208" s="6" t="s">
        <v>897</v>
      </c>
      <c r="B208" s="7" t="s">
        <v>933</v>
      </c>
      <c r="C208" s="24"/>
      <c r="D208" s="7"/>
      <c r="E208" s="7">
        <v>-1.0</v>
      </c>
      <c r="F208" s="7" t="s">
        <v>15</v>
      </c>
      <c r="G208" s="7" t="s">
        <v>899</v>
      </c>
      <c r="H208" s="8" t="s">
        <v>900</v>
      </c>
      <c r="I208" s="8"/>
      <c r="J208" s="8"/>
      <c r="K208" s="9"/>
      <c r="L208" s="8" t="s">
        <v>901</v>
      </c>
      <c r="M208" s="9"/>
      <c r="N208" s="10"/>
      <c r="O208" s="10"/>
      <c r="P208" s="10"/>
      <c r="Q208" s="10"/>
      <c r="R208" s="10"/>
      <c r="S208" s="10"/>
      <c r="T208" s="10"/>
      <c r="U208" s="10"/>
      <c r="V208" s="10"/>
      <c r="W208" s="10"/>
      <c r="X208" s="10"/>
      <c r="Y208" s="10"/>
      <c r="Z208" s="10"/>
    </row>
    <row r="209" ht="15.75" hidden="1" customHeight="1">
      <c r="A209" s="6" t="s">
        <v>897</v>
      </c>
      <c r="B209" s="7" t="s">
        <v>934</v>
      </c>
      <c r="C209" s="24"/>
      <c r="D209" s="7"/>
      <c r="E209" s="7">
        <v>-1.0</v>
      </c>
      <c r="F209" s="7" t="s">
        <v>15</v>
      </c>
      <c r="G209" s="7" t="s">
        <v>899</v>
      </c>
      <c r="H209" s="8" t="s">
        <v>900</v>
      </c>
      <c r="I209" s="8"/>
      <c r="J209" s="9"/>
      <c r="K209" s="9"/>
      <c r="L209" s="8" t="s">
        <v>901</v>
      </c>
      <c r="M209" s="9"/>
      <c r="N209" s="10"/>
      <c r="O209" s="10"/>
      <c r="P209" s="10"/>
      <c r="Q209" s="10"/>
      <c r="R209" s="10"/>
      <c r="S209" s="10"/>
      <c r="T209" s="10"/>
      <c r="U209" s="10"/>
      <c r="V209" s="10"/>
      <c r="W209" s="10"/>
      <c r="X209" s="10"/>
      <c r="Y209" s="10"/>
      <c r="Z209" s="10"/>
    </row>
    <row r="210" ht="15.75" hidden="1" customHeight="1">
      <c r="A210" s="6" t="s">
        <v>897</v>
      </c>
      <c r="B210" s="18" t="s">
        <v>935</v>
      </c>
      <c r="C210" s="24"/>
      <c r="D210" s="7"/>
      <c r="E210" s="7">
        <v>-1.0</v>
      </c>
      <c r="F210" s="7" t="s">
        <v>15</v>
      </c>
      <c r="G210" s="7" t="s">
        <v>899</v>
      </c>
      <c r="H210" s="8" t="s">
        <v>900</v>
      </c>
      <c r="I210" s="8"/>
      <c r="J210" s="8"/>
      <c r="K210" s="7"/>
      <c r="L210" s="8" t="s">
        <v>901</v>
      </c>
      <c r="M210" s="9"/>
      <c r="N210" s="10"/>
      <c r="O210" s="10"/>
      <c r="P210" s="10"/>
      <c r="Q210" s="10"/>
      <c r="R210" s="10"/>
      <c r="S210" s="10"/>
      <c r="T210" s="10"/>
      <c r="U210" s="10"/>
      <c r="V210" s="10"/>
      <c r="W210" s="10"/>
      <c r="X210" s="10"/>
      <c r="Y210" s="10"/>
      <c r="Z210" s="10"/>
    </row>
    <row r="211" ht="15.75" hidden="1" customHeight="1">
      <c r="A211" s="6" t="s">
        <v>897</v>
      </c>
      <c r="B211" s="7" t="s">
        <v>936</v>
      </c>
      <c r="C211" s="24"/>
      <c r="D211" s="7"/>
      <c r="E211" s="7">
        <v>-1.0</v>
      </c>
      <c r="F211" s="7" t="s">
        <v>15</v>
      </c>
      <c r="G211" s="7" t="s">
        <v>899</v>
      </c>
      <c r="H211" s="8" t="s">
        <v>900</v>
      </c>
      <c r="I211" s="8"/>
      <c r="J211" s="8"/>
      <c r="K211" s="7"/>
      <c r="L211" s="8" t="s">
        <v>901</v>
      </c>
      <c r="M211" s="9"/>
      <c r="N211" s="10"/>
      <c r="O211" s="10"/>
      <c r="P211" s="10"/>
      <c r="Q211" s="10"/>
      <c r="R211" s="10"/>
      <c r="S211" s="10"/>
      <c r="T211" s="10"/>
      <c r="U211" s="10"/>
      <c r="V211" s="10"/>
      <c r="W211" s="10"/>
      <c r="X211" s="10"/>
      <c r="Y211" s="10"/>
      <c r="Z211" s="10"/>
    </row>
    <row r="212" ht="15.75" hidden="1" customHeight="1">
      <c r="A212" s="6" t="s">
        <v>897</v>
      </c>
      <c r="B212" s="7" t="s">
        <v>937</v>
      </c>
      <c r="C212" s="24"/>
      <c r="D212" s="7"/>
      <c r="E212" s="7">
        <v>-1.0</v>
      </c>
      <c r="F212" s="7" t="s">
        <v>15</v>
      </c>
      <c r="G212" s="7" t="s">
        <v>899</v>
      </c>
      <c r="H212" s="8" t="s">
        <v>900</v>
      </c>
      <c r="I212" s="8"/>
      <c r="J212" s="8"/>
      <c r="K212" s="7"/>
      <c r="L212" s="8" t="s">
        <v>901</v>
      </c>
      <c r="M212" s="9"/>
      <c r="N212" s="10"/>
      <c r="O212" s="10"/>
      <c r="P212" s="10"/>
      <c r="Q212" s="10"/>
      <c r="R212" s="10"/>
      <c r="S212" s="10"/>
      <c r="T212" s="10"/>
      <c r="U212" s="10"/>
      <c r="V212" s="10"/>
      <c r="W212" s="10"/>
      <c r="X212" s="10"/>
      <c r="Y212" s="10"/>
      <c r="Z212" s="10"/>
    </row>
    <row r="213" ht="15.75" hidden="1" customHeight="1">
      <c r="A213" s="6" t="s">
        <v>897</v>
      </c>
      <c r="B213" s="7" t="s">
        <v>938</v>
      </c>
      <c r="C213" s="24"/>
      <c r="D213" s="7"/>
      <c r="E213" s="7">
        <v>-1.0</v>
      </c>
      <c r="F213" s="7" t="s">
        <v>15</v>
      </c>
      <c r="G213" s="7" t="s">
        <v>899</v>
      </c>
      <c r="H213" s="8" t="s">
        <v>900</v>
      </c>
      <c r="I213" s="8"/>
      <c r="J213" s="8"/>
      <c r="K213" s="7"/>
      <c r="L213" s="8" t="s">
        <v>901</v>
      </c>
      <c r="M213" s="9"/>
      <c r="N213" s="10"/>
      <c r="O213" s="10"/>
      <c r="P213" s="10"/>
      <c r="Q213" s="10"/>
      <c r="R213" s="10"/>
      <c r="S213" s="10"/>
      <c r="T213" s="10"/>
      <c r="U213" s="10"/>
      <c r="V213" s="10"/>
      <c r="W213" s="10"/>
      <c r="X213" s="10"/>
      <c r="Y213" s="10"/>
      <c r="Z213" s="10"/>
    </row>
    <row r="214" ht="15.75" hidden="1" customHeight="1">
      <c r="A214" s="6" t="s">
        <v>897</v>
      </c>
      <c r="B214" s="7" t="s">
        <v>939</v>
      </c>
      <c r="C214" s="24"/>
      <c r="D214" s="7"/>
      <c r="E214" s="7">
        <v>-1.0</v>
      </c>
      <c r="F214" s="7" t="s">
        <v>15</v>
      </c>
      <c r="G214" s="7" t="s">
        <v>899</v>
      </c>
      <c r="H214" s="8" t="s">
        <v>900</v>
      </c>
      <c r="I214" s="8"/>
      <c r="J214" s="8"/>
      <c r="K214" s="7"/>
      <c r="L214" s="8" t="s">
        <v>901</v>
      </c>
      <c r="M214" s="9"/>
      <c r="N214" s="10"/>
      <c r="O214" s="10"/>
      <c r="P214" s="10"/>
      <c r="Q214" s="10"/>
      <c r="R214" s="10"/>
      <c r="S214" s="10"/>
      <c r="T214" s="10"/>
      <c r="U214" s="10"/>
      <c r="V214" s="10"/>
      <c r="W214" s="10"/>
      <c r="X214" s="10"/>
      <c r="Y214" s="10"/>
      <c r="Z214" s="10"/>
    </row>
    <row r="215" ht="15.75" hidden="1" customHeight="1">
      <c r="A215" s="6" t="s">
        <v>897</v>
      </c>
      <c r="B215" s="18" t="s">
        <v>940</v>
      </c>
      <c r="C215" s="24"/>
      <c r="D215" s="7"/>
      <c r="E215" s="7">
        <v>-1.0</v>
      </c>
      <c r="F215" s="7" t="s">
        <v>15</v>
      </c>
      <c r="G215" s="7" t="s">
        <v>899</v>
      </c>
      <c r="H215" s="8" t="s">
        <v>900</v>
      </c>
      <c r="I215" s="8"/>
      <c r="J215" s="8"/>
      <c r="K215" s="7"/>
      <c r="L215" s="8" t="s">
        <v>901</v>
      </c>
      <c r="M215" s="9"/>
      <c r="N215" s="10"/>
      <c r="O215" s="10"/>
      <c r="P215" s="10"/>
      <c r="Q215" s="10"/>
      <c r="R215" s="10"/>
      <c r="S215" s="10"/>
      <c r="T215" s="10"/>
      <c r="U215" s="10"/>
      <c r="V215" s="10"/>
      <c r="W215" s="10"/>
      <c r="X215" s="10"/>
      <c r="Y215" s="10"/>
      <c r="Z215" s="10"/>
    </row>
    <row r="216" ht="15.75" hidden="1" customHeight="1">
      <c r="A216" s="6" t="s">
        <v>897</v>
      </c>
      <c r="B216" s="7" t="s">
        <v>941</v>
      </c>
      <c r="C216" s="24"/>
      <c r="D216" s="7"/>
      <c r="E216" s="7">
        <v>-1.0</v>
      </c>
      <c r="F216" s="7" t="s">
        <v>15</v>
      </c>
      <c r="G216" s="7" t="s">
        <v>899</v>
      </c>
      <c r="H216" s="8" t="s">
        <v>900</v>
      </c>
      <c r="I216" s="8"/>
      <c r="J216" s="8"/>
      <c r="K216" s="7"/>
      <c r="L216" s="8" t="s">
        <v>901</v>
      </c>
      <c r="M216" s="9"/>
      <c r="N216" s="10"/>
      <c r="O216" s="10"/>
      <c r="P216" s="10"/>
      <c r="Q216" s="10"/>
      <c r="R216" s="10"/>
      <c r="S216" s="10"/>
      <c r="T216" s="10"/>
      <c r="U216" s="10"/>
      <c r="V216" s="10"/>
      <c r="W216" s="10"/>
      <c r="X216" s="10"/>
      <c r="Y216" s="10"/>
      <c r="Z216" s="10"/>
    </row>
    <row r="217" ht="15.75" hidden="1" customHeight="1">
      <c r="A217" s="6" t="s">
        <v>897</v>
      </c>
      <c r="B217" s="7" t="s">
        <v>942</v>
      </c>
      <c r="C217" s="24"/>
      <c r="D217" s="7"/>
      <c r="E217" s="7">
        <v>-1.0</v>
      </c>
      <c r="F217" s="7" t="s">
        <v>15</v>
      </c>
      <c r="G217" s="7" t="s">
        <v>899</v>
      </c>
      <c r="H217" s="8" t="s">
        <v>900</v>
      </c>
      <c r="I217" s="8"/>
      <c r="J217" s="8"/>
      <c r="K217" s="7"/>
      <c r="L217" s="8" t="s">
        <v>901</v>
      </c>
      <c r="M217" s="9"/>
      <c r="N217" s="10"/>
      <c r="O217" s="10"/>
      <c r="P217" s="10"/>
      <c r="Q217" s="10"/>
      <c r="R217" s="10"/>
      <c r="S217" s="10"/>
      <c r="T217" s="10"/>
      <c r="U217" s="10"/>
      <c r="V217" s="10"/>
      <c r="W217" s="10"/>
      <c r="X217" s="10"/>
      <c r="Y217" s="10"/>
      <c r="Z217" s="10"/>
    </row>
    <row r="218" ht="15.75" hidden="1" customHeight="1">
      <c r="A218" s="6" t="s">
        <v>897</v>
      </c>
      <c r="B218" s="7" t="s">
        <v>943</v>
      </c>
      <c r="C218" s="24"/>
      <c r="D218" s="7"/>
      <c r="E218" s="7">
        <v>-1.0</v>
      </c>
      <c r="F218" s="7" t="s">
        <v>15</v>
      </c>
      <c r="G218" s="7" t="s">
        <v>899</v>
      </c>
      <c r="H218" s="8" t="s">
        <v>900</v>
      </c>
      <c r="I218" s="8"/>
      <c r="J218" s="8"/>
      <c r="K218" s="7"/>
      <c r="L218" s="8" t="s">
        <v>901</v>
      </c>
      <c r="M218" s="9"/>
      <c r="N218" s="10"/>
      <c r="O218" s="10"/>
      <c r="P218" s="10"/>
      <c r="Q218" s="10"/>
      <c r="R218" s="10"/>
      <c r="S218" s="10"/>
      <c r="T218" s="10"/>
      <c r="U218" s="10"/>
      <c r="V218" s="10"/>
      <c r="W218" s="10"/>
      <c r="X218" s="10"/>
      <c r="Y218" s="10"/>
      <c r="Z218" s="10"/>
    </row>
    <row r="219" ht="15.75" customHeight="1">
      <c r="A219" s="55" t="s">
        <v>944</v>
      </c>
      <c r="B219" s="7" t="s">
        <v>945</v>
      </c>
      <c r="C219" s="7"/>
      <c r="D219" s="7"/>
      <c r="E219" s="7">
        <v>-1.0</v>
      </c>
      <c r="F219" s="12" t="s">
        <v>946</v>
      </c>
      <c r="G219" s="7" t="s">
        <v>947</v>
      </c>
      <c r="H219" s="8" t="s">
        <v>67</v>
      </c>
      <c r="I219" s="9"/>
      <c r="J219" s="13" t="str">
        <f t="shared" ref="J219:J220" si="11">CONCATENATE($M$1,$K219)</f>
        <v>https://inmapper.com/zorlucenter/img/logo/ZORLUCENTERECZANESİ.png</v>
      </c>
      <c r="K219" s="7" t="s">
        <v>948</v>
      </c>
      <c r="L219" s="8" t="s">
        <v>70</v>
      </c>
      <c r="M219" s="9"/>
      <c r="N219" s="15"/>
      <c r="O219" s="10"/>
      <c r="P219" s="10"/>
      <c r="Q219" s="10"/>
      <c r="R219" s="16"/>
      <c r="S219" s="10"/>
      <c r="T219" s="10"/>
      <c r="U219" s="10"/>
      <c r="V219" s="10"/>
      <c r="W219" s="10"/>
      <c r="X219" s="10"/>
      <c r="Y219" s="10"/>
      <c r="Z219" s="10"/>
    </row>
    <row r="220" ht="15.75" customHeight="1">
      <c r="A220" s="55" t="s">
        <v>949</v>
      </c>
      <c r="B220" s="7" t="s">
        <v>945</v>
      </c>
      <c r="C220" s="7"/>
      <c r="D220" s="7"/>
      <c r="E220" s="7">
        <v>-1.0</v>
      </c>
      <c r="F220" s="12" t="s">
        <v>946</v>
      </c>
      <c r="G220" s="7" t="s">
        <v>947</v>
      </c>
      <c r="H220" s="8" t="s">
        <v>67</v>
      </c>
      <c r="I220" s="8"/>
      <c r="J220" s="13" t="str">
        <f t="shared" si="11"/>
        <v>https://inmapper.com/zorlucenter/img/logo/ZORLUCENTERECZANESİ.png</v>
      </c>
      <c r="K220" s="7" t="s">
        <v>948</v>
      </c>
      <c r="L220" s="8" t="s">
        <v>70</v>
      </c>
      <c r="M220" s="9"/>
      <c r="N220" s="10"/>
      <c r="O220" s="10"/>
      <c r="P220" s="10"/>
      <c r="Q220" s="10"/>
      <c r="R220" s="10"/>
      <c r="S220" s="10"/>
      <c r="T220" s="10"/>
      <c r="U220" s="10"/>
      <c r="V220" s="10"/>
      <c r="W220" s="10"/>
      <c r="X220" s="10"/>
      <c r="Y220" s="10"/>
      <c r="Z220" s="10"/>
    </row>
    <row r="221" ht="15.75" customHeight="1">
      <c r="A221" s="6" t="s">
        <v>950</v>
      </c>
      <c r="B221" s="18" t="s">
        <v>951</v>
      </c>
      <c r="C221" s="7"/>
      <c r="D221" s="7"/>
      <c r="E221" s="7">
        <v>-1.0</v>
      </c>
      <c r="F221" s="12" t="s">
        <v>952</v>
      </c>
      <c r="G221" s="7" t="s">
        <v>953</v>
      </c>
      <c r="H221" s="8" t="s">
        <v>129</v>
      </c>
      <c r="I221" s="8"/>
      <c r="J221" s="8"/>
      <c r="K221" s="9"/>
      <c r="L221" s="8" t="s">
        <v>459</v>
      </c>
      <c r="M221" s="9"/>
      <c r="N221" s="10"/>
      <c r="O221" s="10"/>
      <c r="P221" s="10"/>
      <c r="Q221" s="10"/>
      <c r="R221" s="10"/>
      <c r="S221" s="10"/>
      <c r="T221" s="10"/>
      <c r="U221" s="10"/>
      <c r="V221" s="10"/>
      <c r="W221" s="10"/>
      <c r="X221" s="10"/>
      <c r="Y221" s="10"/>
      <c r="Z221" s="10"/>
    </row>
    <row r="222" ht="15.75" customHeight="1">
      <c r="A222" s="6" t="s">
        <v>954</v>
      </c>
      <c r="B222" s="7" t="s">
        <v>955</v>
      </c>
      <c r="C222" s="7"/>
      <c r="D222" s="7"/>
      <c r="E222" s="7">
        <v>-1.0</v>
      </c>
      <c r="F222" s="12" t="s">
        <v>952</v>
      </c>
      <c r="G222" s="7" t="s">
        <v>953</v>
      </c>
      <c r="H222" s="8" t="s">
        <v>129</v>
      </c>
      <c r="I222" s="8"/>
      <c r="J222" s="8"/>
      <c r="K222" s="9"/>
      <c r="L222" s="8" t="s">
        <v>459</v>
      </c>
      <c r="M222" s="9"/>
      <c r="N222" s="10"/>
      <c r="O222" s="10"/>
      <c r="P222" s="10"/>
      <c r="Q222" s="10"/>
      <c r="R222" s="10"/>
      <c r="S222" s="10"/>
      <c r="T222" s="10"/>
      <c r="U222" s="10"/>
      <c r="V222" s="10"/>
      <c r="W222" s="10"/>
      <c r="X222" s="10"/>
      <c r="Y222" s="10"/>
      <c r="Z222" s="10"/>
    </row>
    <row r="223" ht="15.75" customHeight="1">
      <c r="A223" s="6" t="s">
        <v>956</v>
      </c>
      <c r="B223" s="7" t="s">
        <v>957</v>
      </c>
      <c r="C223" s="7"/>
      <c r="D223" s="7"/>
      <c r="E223" s="7">
        <v>-1.0</v>
      </c>
      <c r="F223" s="12" t="s">
        <v>958</v>
      </c>
      <c r="G223" s="7" t="s">
        <v>959</v>
      </c>
      <c r="H223" s="8" t="s">
        <v>129</v>
      </c>
      <c r="I223" s="8"/>
      <c r="J223" s="8"/>
      <c r="K223" s="7"/>
      <c r="L223" s="8" t="s">
        <v>459</v>
      </c>
      <c r="M223" s="9"/>
      <c r="N223" s="10"/>
      <c r="O223" s="10"/>
      <c r="P223" s="10"/>
      <c r="Q223" s="10"/>
      <c r="R223" s="10"/>
      <c r="S223" s="10"/>
      <c r="T223" s="10"/>
      <c r="U223" s="10"/>
      <c r="V223" s="10"/>
      <c r="W223" s="10"/>
      <c r="X223" s="10"/>
      <c r="Y223" s="10"/>
      <c r="Z223" s="10"/>
    </row>
    <row r="224" ht="15.75" customHeight="1">
      <c r="A224" s="6" t="s">
        <v>960</v>
      </c>
      <c r="B224" s="7" t="s">
        <v>961</v>
      </c>
      <c r="C224" s="7"/>
      <c r="D224" s="7"/>
      <c r="E224" s="7">
        <v>-1.0</v>
      </c>
      <c r="F224" s="12" t="s">
        <v>962</v>
      </c>
      <c r="G224" s="7" t="s">
        <v>963</v>
      </c>
      <c r="H224" s="8" t="s">
        <v>129</v>
      </c>
      <c r="I224" s="8"/>
      <c r="J224" s="8"/>
      <c r="K224" s="7"/>
      <c r="L224" s="8" t="s">
        <v>459</v>
      </c>
      <c r="M224" s="9"/>
      <c r="N224" s="10"/>
      <c r="O224" s="10"/>
      <c r="P224" s="10"/>
      <c r="Q224" s="10"/>
      <c r="R224" s="10"/>
      <c r="S224" s="10"/>
      <c r="T224" s="10"/>
      <c r="U224" s="10"/>
      <c r="V224" s="10"/>
      <c r="W224" s="10"/>
      <c r="X224" s="10"/>
      <c r="Y224" s="10"/>
      <c r="Z224" s="10"/>
    </row>
    <row r="225" ht="15.75" customHeight="1">
      <c r="A225" s="6" t="s">
        <v>964</v>
      </c>
      <c r="B225" s="7" t="s">
        <v>466</v>
      </c>
      <c r="C225" s="7"/>
      <c r="D225" s="7"/>
      <c r="E225" s="7">
        <v>-1.0</v>
      </c>
      <c r="F225" s="7" t="s">
        <v>15</v>
      </c>
      <c r="G225" s="7" t="s">
        <v>467</v>
      </c>
      <c r="H225" s="8"/>
      <c r="I225" s="8"/>
      <c r="J225" s="8"/>
      <c r="K225" s="7"/>
      <c r="L225" s="8"/>
      <c r="M225" s="9"/>
      <c r="N225" s="10"/>
      <c r="O225" s="10"/>
      <c r="P225" s="10"/>
      <c r="Q225" s="10"/>
      <c r="R225" s="10"/>
      <c r="S225" s="10"/>
      <c r="T225" s="10"/>
      <c r="U225" s="10"/>
      <c r="V225" s="10"/>
      <c r="W225" s="10"/>
      <c r="X225" s="10"/>
      <c r="Y225" s="10"/>
      <c r="Z225" s="10"/>
    </row>
    <row r="226" ht="15.75" customHeight="1">
      <c r="A226" s="6" t="s">
        <v>965</v>
      </c>
      <c r="B226" s="7" t="s">
        <v>466</v>
      </c>
      <c r="C226" s="7"/>
      <c r="D226" s="7"/>
      <c r="E226" s="7">
        <v>-1.0</v>
      </c>
      <c r="F226" s="7" t="s">
        <v>15</v>
      </c>
      <c r="G226" s="7" t="s">
        <v>467</v>
      </c>
      <c r="H226" s="8"/>
      <c r="I226" s="8"/>
      <c r="J226" s="8"/>
      <c r="K226" s="7"/>
      <c r="L226" s="8"/>
      <c r="M226" s="9"/>
      <c r="N226" s="10"/>
      <c r="O226" s="10"/>
      <c r="P226" s="10"/>
      <c r="Q226" s="10"/>
      <c r="R226" s="10"/>
      <c r="S226" s="10"/>
      <c r="T226" s="10"/>
      <c r="U226" s="10"/>
      <c r="V226" s="10"/>
      <c r="W226" s="10"/>
      <c r="X226" s="10"/>
      <c r="Y226" s="10"/>
      <c r="Z226" s="10"/>
    </row>
    <row r="227" ht="15.75" customHeight="1">
      <c r="A227" s="6" t="s">
        <v>966</v>
      </c>
      <c r="B227" s="7" t="s">
        <v>466</v>
      </c>
      <c r="C227" s="7"/>
      <c r="D227" s="7"/>
      <c r="E227" s="7">
        <v>-1.0</v>
      </c>
      <c r="F227" s="7" t="s">
        <v>15</v>
      </c>
      <c r="G227" s="7" t="s">
        <v>467</v>
      </c>
      <c r="H227" s="8"/>
      <c r="I227" s="8"/>
      <c r="J227" s="8"/>
      <c r="K227" s="7"/>
      <c r="L227" s="8"/>
      <c r="M227" s="9"/>
      <c r="N227" s="10"/>
      <c r="O227" s="10"/>
      <c r="P227" s="10"/>
      <c r="Q227" s="10"/>
      <c r="R227" s="10"/>
      <c r="S227" s="10"/>
      <c r="T227" s="10"/>
      <c r="U227" s="10"/>
      <c r="V227" s="10"/>
      <c r="W227" s="10"/>
      <c r="X227" s="10"/>
      <c r="Y227" s="10"/>
      <c r="Z227" s="10"/>
    </row>
    <row r="228" ht="15.75" customHeight="1">
      <c r="A228" s="21" t="s">
        <v>967</v>
      </c>
      <c r="B228" s="18" t="s">
        <v>968</v>
      </c>
      <c r="C228" s="7"/>
      <c r="D228" s="7"/>
      <c r="E228" s="7">
        <v>-1.0</v>
      </c>
      <c r="F228" s="7" t="s">
        <v>15</v>
      </c>
      <c r="G228" s="18" t="s">
        <v>969</v>
      </c>
      <c r="H228" s="8"/>
      <c r="I228" s="8"/>
      <c r="J228" s="8"/>
      <c r="K228" s="7"/>
      <c r="L228" s="8"/>
      <c r="M228" s="9"/>
      <c r="N228" s="10"/>
      <c r="O228" s="10"/>
      <c r="P228" s="10"/>
      <c r="Q228" s="10"/>
      <c r="R228" s="10"/>
      <c r="S228" s="10"/>
      <c r="T228" s="10"/>
      <c r="U228" s="10"/>
      <c r="V228" s="10"/>
      <c r="W228" s="10"/>
      <c r="X228" s="10"/>
      <c r="Y228" s="10"/>
      <c r="Z228" s="10"/>
    </row>
    <row r="229" ht="15.75" customHeight="1">
      <c r="A229" s="6" t="s">
        <v>970</v>
      </c>
      <c r="B229" s="7" t="s">
        <v>971</v>
      </c>
      <c r="C229" s="7"/>
      <c r="D229" s="7"/>
      <c r="E229" s="7">
        <v>0.0</v>
      </c>
      <c r="F229" s="7" t="s">
        <v>15</v>
      </c>
      <c r="G229" s="7" t="s">
        <v>972</v>
      </c>
      <c r="H229" s="8" t="s">
        <v>129</v>
      </c>
      <c r="I229" s="8"/>
      <c r="J229" s="8"/>
      <c r="K229" s="7"/>
      <c r="L229" s="8" t="s">
        <v>459</v>
      </c>
      <c r="M229" s="9"/>
      <c r="N229" s="10"/>
      <c r="O229" s="10"/>
      <c r="P229" s="10"/>
      <c r="Q229" s="10"/>
      <c r="R229" s="10"/>
      <c r="S229" s="10"/>
      <c r="T229" s="10"/>
      <c r="U229" s="10"/>
      <c r="V229" s="10"/>
      <c r="W229" s="10"/>
      <c r="X229" s="10"/>
      <c r="Y229" s="10"/>
      <c r="Z229" s="10"/>
    </row>
    <row r="230" ht="15.75" customHeight="1">
      <c r="A230" s="6" t="s">
        <v>970</v>
      </c>
      <c r="B230" s="7" t="s">
        <v>973</v>
      </c>
      <c r="C230" s="34" t="s">
        <v>974</v>
      </c>
      <c r="D230" s="7"/>
      <c r="E230" s="7">
        <v>0.0</v>
      </c>
      <c r="F230" s="7" t="s">
        <v>15</v>
      </c>
      <c r="G230" s="7" t="s">
        <v>972</v>
      </c>
      <c r="H230" s="8" t="s">
        <v>129</v>
      </c>
      <c r="I230" s="8"/>
      <c r="J230" s="8"/>
      <c r="K230" s="7"/>
      <c r="L230" s="8" t="s">
        <v>459</v>
      </c>
      <c r="M230" s="9"/>
      <c r="N230" s="10"/>
      <c r="O230" s="10"/>
      <c r="P230" s="10"/>
      <c r="Q230" s="10"/>
      <c r="R230" s="10"/>
      <c r="S230" s="10"/>
      <c r="T230" s="10"/>
      <c r="U230" s="10"/>
      <c r="V230" s="10"/>
      <c r="W230" s="10"/>
      <c r="X230" s="10"/>
      <c r="Y230" s="10"/>
      <c r="Z230" s="10"/>
    </row>
    <row r="231" ht="15.75" customHeight="1">
      <c r="A231" s="6" t="s">
        <v>970</v>
      </c>
      <c r="B231" s="7" t="s">
        <v>975</v>
      </c>
      <c r="C231" s="34" t="s">
        <v>974</v>
      </c>
      <c r="D231" s="7"/>
      <c r="E231" s="7">
        <v>0.0</v>
      </c>
      <c r="F231" s="7" t="s">
        <v>15</v>
      </c>
      <c r="G231" s="7" t="s">
        <v>972</v>
      </c>
      <c r="H231" s="8" t="s">
        <v>129</v>
      </c>
      <c r="I231" s="8"/>
      <c r="J231" s="8"/>
      <c r="K231" s="9"/>
      <c r="L231" s="8" t="s">
        <v>459</v>
      </c>
      <c r="M231" s="9"/>
      <c r="N231" s="10"/>
      <c r="O231" s="10"/>
      <c r="P231" s="10"/>
      <c r="Q231" s="10"/>
      <c r="R231" s="10"/>
      <c r="S231" s="10"/>
      <c r="T231" s="10"/>
      <c r="U231" s="10"/>
      <c r="V231" s="10"/>
      <c r="W231" s="10"/>
      <c r="X231" s="10"/>
      <c r="Y231" s="10"/>
      <c r="Z231" s="10"/>
    </row>
    <row r="232" ht="15.75" customHeight="1">
      <c r="A232" s="6" t="s">
        <v>970</v>
      </c>
      <c r="B232" s="7" t="s">
        <v>976</v>
      </c>
      <c r="C232" s="34" t="s">
        <v>974</v>
      </c>
      <c r="D232" s="7"/>
      <c r="E232" s="7">
        <v>0.0</v>
      </c>
      <c r="F232" s="7" t="s">
        <v>15</v>
      </c>
      <c r="G232" s="7" t="s">
        <v>972</v>
      </c>
      <c r="H232" s="8" t="s">
        <v>129</v>
      </c>
      <c r="I232" s="8"/>
      <c r="J232" s="8"/>
      <c r="K232" s="7"/>
      <c r="L232" s="8" t="s">
        <v>459</v>
      </c>
      <c r="M232" s="9"/>
      <c r="N232" s="10"/>
      <c r="O232" s="10"/>
      <c r="P232" s="10"/>
      <c r="Q232" s="10"/>
      <c r="R232" s="10"/>
      <c r="S232" s="10"/>
      <c r="T232" s="10"/>
      <c r="U232" s="10"/>
      <c r="V232" s="10"/>
      <c r="W232" s="10"/>
      <c r="X232" s="10"/>
      <c r="Y232" s="10"/>
      <c r="Z232" s="10"/>
    </row>
    <row r="233" ht="15.75" customHeight="1">
      <c r="A233" s="6" t="s">
        <v>970</v>
      </c>
      <c r="B233" s="7" t="s">
        <v>977</v>
      </c>
      <c r="C233" s="34" t="s">
        <v>974</v>
      </c>
      <c r="D233" s="7"/>
      <c r="E233" s="7">
        <v>0.0</v>
      </c>
      <c r="F233" s="7" t="s">
        <v>15</v>
      </c>
      <c r="G233" s="7" t="s">
        <v>972</v>
      </c>
      <c r="H233" s="8" t="s">
        <v>129</v>
      </c>
      <c r="I233" s="8"/>
      <c r="J233" s="8"/>
      <c r="K233" s="7"/>
      <c r="L233" s="8" t="s">
        <v>459</v>
      </c>
      <c r="M233" s="9"/>
      <c r="N233" s="10"/>
      <c r="O233" s="10"/>
      <c r="P233" s="10"/>
      <c r="Q233" s="10"/>
      <c r="R233" s="10"/>
      <c r="S233" s="10"/>
      <c r="T233" s="10"/>
      <c r="U233" s="10"/>
      <c r="V233" s="10"/>
      <c r="W233" s="10"/>
      <c r="X233" s="10"/>
      <c r="Y233" s="10"/>
      <c r="Z233" s="10"/>
    </row>
    <row r="234" ht="15.75" customHeight="1">
      <c r="A234" s="21" t="s">
        <v>970</v>
      </c>
      <c r="B234" s="7" t="s">
        <v>975</v>
      </c>
      <c r="C234" s="34" t="s">
        <v>974</v>
      </c>
      <c r="D234" s="7"/>
      <c r="E234" s="7">
        <v>0.0</v>
      </c>
      <c r="F234" s="7" t="s">
        <v>15</v>
      </c>
      <c r="G234" s="7" t="s">
        <v>972</v>
      </c>
      <c r="H234" s="8" t="s">
        <v>129</v>
      </c>
      <c r="I234" s="8"/>
      <c r="J234" s="8"/>
      <c r="K234" s="9"/>
      <c r="L234" s="8" t="s">
        <v>459</v>
      </c>
      <c r="M234" s="9"/>
      <c r="N234" s="10"/>
      <c r="O234" s="10"/>
      <c r="P234" s="10"/>
      <c r="Q234" s="10"/>
      <c r="R234" s="10"/>
      <c r="S234" s="10"/>
      <c r="T234" s="10"/>
      <c r="U234" s="10"/>
      <c r="V234" s="10"/>
      <c r="W234" s="10"/>
      <c r="X234" s="10"/>
      <c r="Y234" s="10"/>
      <c r="Z234" s="10"/>
    </row>
    <row r="235" ht="15.75" customHeight="1">
      <c r="A235" s="21" t="s">
        <v>970</v>
      </c>
      <c r="B235" s="7" t="s">
        <v>978</v>
      </c>
      <c r="C235" s="34" t="s">
        <v>974</v>
      </c>
      <c r="D235" s="7"/>
      <c r="E235" s="7">
        <v>0.0</v>
      </c>
      <c r="F235" s="7" t="s">
        <v>15</v>
      </c>
      <c r="G235" s="7" t="s">
        <v>972</v>
      </c>
      <c r="H235" s="8" t="s">
        <v>129</v>
      </c>
      <c r="I235" s="8"/>
      <c r="J235" s="8"/>
      <c r="K235" s="7"/>
      <c r="L235" s="8" t="s">
        <v>459</v>
      </c>
      <c r="M235" s="9"/>
      <c r="N235" s="10"/>
      <c r="O235" s="10"/>
      <c r="P235" s="10"/>
      <c r="Q235" s="10"/>
      <c r="R235" s="10"/>
      <c r="S235" s="10"/>
      <c r="T235" s="10"/>
      <c r="U235" s="10"/>
      <c r="V235" s="10"/>
      <c r="W235" s="10"/>
      <c r="X235" s="10"/>
      <c r="Y235" s="10"/>
      <c r="Z235" s="10"/>
    </row>
    <row r="236" ht="15.75" customHeight="1">
      <c r="A236" s="21" t="s">
        <v>970</v>
      </c>
      <c r="B236" s="7" t="s">
        <v>979</v>
      </c>
      <c r="C236" s="34" t="s">
        <v>974</v>
      </c>
      <c r="D236" s="7"/>
      <c r="E236" s="7">
        <v>0.0</v>
      </c>
      <c r="F236" s="7" t="s">
        <v>15</v>
      </c>
      <c r="G236" s="7" t="s">
        <v>972</v>
      </c>
      <c r="H236" s="8" t="s">
        <v>129</v>
      </c>
      <c r="I236" s="8"/>
      <c r="J236" s="8"/>
      <c r="K236" s="7"/>
      <c r="L236" s="8" t="s">
        <v>459</v>
      </c>
      <c r="M236" s="9"/>
      <c r="N236" s="10"/>
      <c r="O236" s="10"/>
      <c r="P236" s="10"/>
      <c r="Q236" s="10"/>
      <c r="R236" s="10"/>
      <c r="S236" s="10"/>
      <c r="T236" s="10"/>
      <c r="U236" s="10"/>
      <c r="V236" s="10"/>
      <c r="W236" s="10"/>
      <c r="X236" s="10"/>
      <c r="Y236" s="10"/>
      <c r="Z236" s="10"/>
    </row>
    <row r="237" ht="15.75" customHeight="1">
      <c r="A237" s="6" t="s">
        <v>980</v>
      </c>
      <c r="B237" s="7" t="s">
        <v>134</v>
      </c>
      <c r="C237" s="7"/>
      <c r="D237" s="7"/>
      <c r="E237" s="7">
        <v>0.0</v>
      </c>
      <c r="F237" s="7" t="s">
        <v>15</v>
      </c>
      <c r="G237" s="7" t="s">
        <v>135</v>
      </c>
      <c r="H237" s="8"/>
      <c r="I237" s="8"/>
      <c r="J237" s="8"/>
      <c r="K237" s="7"/>
      <c r="L237" s="8"/>
      <c r="M237" s="9"/>
      <c r="N237" s="10"/>
      <c r="O237" s="10"/>
      <c r="P237" s="10"/>
      <c r="Q237" s="10"/>
      <c r="R237" s="10"/>
      <c r="S237" s="10"/>
      <c r="T237" s="10"/>
      <c r="U237" s="10"/>
      <c r="V237" s="10"/>
      <c r="W237" s="10"/>
      <c r="X237" s="10"/>
      <c r="Y237" s="10"/>
      <c r="Z237" s="10"/>
    </row>
    <row r="238" ht="15.75" customHeight="1">
      <c r="A238" s="6" t="s">
        <v>981</v>
      </c>
      <c r="B238" s="7" t="s">
        <v>982</v>
      </c>
      <c r="C238" s="7"/>
      <c r="D238" s="7"/>
      <c r="E238" s="7">
        <v>0.0</v>
      </c>
      <c r="F238" s="7" t="s">
        <v>15</v>
      </c>
      <c r="G238" s="7" t="s">
        <v>27</v>
      </c>
      <c r="H238" s="8"/>
      <c r="I238" s="8"/>
      <c r="J238" s="8"/>
      <c r="K238" s="7"/>
      <c r="L238" s="8"/>
      <c r="M238" s="9"/>
      <c r="N238" s="10"/>
      <c r="O238" s="10"/>
      <c r="P238" s="10"/>
      <c r="Q238" s="10"/>
      <c r="R238" s="10"/>
      <c r="S238" s="10"/>
      <c r="T238" s="10"/>
      <c r="U238" s="10"/>
      <c r="V238" s="10"/>
      <c r="W238" s="10"/>
      <c r="X238" s="10"/>
      <c r="Y238" s="10"/>
      <c r="Z238" s="10"/>
    </row>
    <row r="239" ht="15.75" customHeight="1">
      <c r="A239" s="6" t="s">
        <v>983</v>
      </c>
      <c r="B239" s="7" t="s">
        <v>472</v>
      </c>
      <c r="C239" s="7"/>
      <c r="D239" s="7"/>
      <c r="E239" s="7">
        <v>0.0</v>
      </c>
      <c r="F239" s="7" t="s">
        <v>15</v>
      </c>
      <c r="G239" s="7" t="s">
        <v>27</v>
      </c>
      <c r="H239" s="8"/>
      <c r="I239" s="8"/>
      <c r="J239" s="8"/>
      <c r="K239" s="7"/>
      <c r="L239" s="8"/>
      <c r="M239" s="9"/>
      <c r="N239" s="10"/>
      <c r="O239" s="10"/>
      <c r="P239" s="10"/>
      <c r="Q239" s="10"/>
      <c r="R239" s="10"/>
      <c r="S239" s="10"/>
      <c r="T239" s="10"/>
      <c r="U239" s="10"/>
      <c r="V239" s="10"/>
      <c r="W239" s="10"/>
      <c r="X239" s="10"/>
      <c r="Y239" s="10"/>
      <c r="Z239" s="10"/>
    </row>
    <row r="240" ht="15.75" customHeight="1">
      <c r="A240" s="6" t="s">
        <v>984</v>
      </c>
      <c r="B240" s="7" t="s">
        <v>985</v>
      </c>
      <c r="C240" s="7"/>
      <c r="D240" s="7"/>
      <c r="E240" s="7">
        <v>0.0</v>
      </c>
      <c r="F240" s="7" t="s">
        <v>15</v>
      </c>
      <c r="G240" s="7" t="s">
        <v>27</v>
      </c>
      <c r="H240" s="8"/>
      <c r="I240" s="8"/>
      <c r="J240" s="8"/>
      <c r="K240" s="7"/>
      <c r="L240" s="8"/>
      <c r="M240" s="9"/>
      <c r="N240" s="10"/>
      <c r="O240" s="10"/>
      <c r="P240" s="10"/>
      <c r="Q240" s="10"/>
      <c r="R240" s="10"/>
      <c r="S240" s="10"/>
      <c r="T240" s="10"/>
      <c r="U240" s="10"/>
      <c r="V240" s="10"/>
      <c r="W240" s="10"/>
      <c r="X240" s="10"/>
      <c r="Y240" s="10"/>
      <c r="Z240" s="10"/>
    </row>
    <row r="241" ht="15.75" customHeight="1">
      <c r="A241" s="6" t="s">
        <v>986</v>
      </c>
      <c r="B241" s="18" t="s">
        <v>987</v>
      </c>
      <c r="C241" s="7"/>
      <c r="D241" s="7"/>
      <c r="E241" s="7">
        <v>0.0</v>
      </c>
      <c r="F241" s="12" t="s">
        <v>988</v>
      </c>
      <c r="G241" s="7" t="s">
        <v>989</v>
      </c>
      <c r="H241" s="8" t="s">
        <v>184</v>
      </c>
      <c r="I241" s="8" t="s">
        <v>990</v>
      </c>
      <c r="J241" s="13" t="str">
        <f t="shared" ref="J241:J279" si="12">CONCATENATE($M$1,$K241)</f>
        <v>https://inmapper.com/zorlucenter/img/logo/VAKKORAMACAFE.png</v>
      </c>
      <c r="K241" s="9" t="s">
        <v>991</v>
      </c>
      <c r="L241" s="8" t="s">
        <v>187</v>
      </c>
      <c r="M241" s="9"/>
      <c r="N241" s="10"/>
      <c r="O241" s="10"/>
      <c r="P241" s="10"/>
      <c r="Q241" s="10"/>
      <c r="R241" s="10"/>
      <c r="S241" s="10"/>
      <c r="T241" s="10"/>
      <c r="U241" s="10"/>
      <c r="V241" s="10"/>
      <c r="W241" s="10"/>
      <c r="X241" s="10"/>
      <c r="Y241" s="10"/>
      <c r="Z241" s="10"/>
    </row>
    <row r="242" ht="15.75" customHeight="1">
      <c r="A242" s="6" t="s">
        <v>992</v>
      </c>
      <c r="B242" s="7" t="s">
        <v>993</v>
      </c>
      <c r="C242" s="7"/>
      <c r="D242" s="7"/>
      <c r="E242" s="7">
        <v>0.0</v>
      </c>
      <c r="F242" s="12" t="s">
        <v>994</v>
      </c>
      <c r="G242" s="7" t="s">
        <v>995</v>
      </c>
      <c r="H242" s="8" t="s">
        <v>160</v>
      </c>
      <c r="I242" s="8" t="s">
        <v>990</v>
      </c>
      <c r="J242" s="13" t="str">
        <f t="shared" si="12"/>
        <v>https://inmapper.com/zorlucenter/img/logo/VAKKORAMA.png</v>
      </c>
      <c r="K242" s="9" t="s">
        <v>996</v>
      </c>
      <c r="L242" s="8" t="s">
        <v>163</v>
      </c>
      <c r="M242" s="9"/>
      <c r="N242" s="10"/>
      <c r="O242" s="10"/>
      <c r="P242" s="10"/>
      <c r="Q242" s="10"/>
      <c r="R242" s="10"/>
      <c r="S242" s="10"/>
      <c r="T242" s="10"/>
      <c r="U242" s="10"/>
      <c r="V242" s="10"/>
      <c r="W242" s="10"/>
      <c r="X242" s="10"/>
      <c r="Y242" s="10"/>
      <c r="Z242" s="10"/>
    </row>
    <row r="243" ht="15.75" customHeight="1">
      <c r="A243" s="6" t="s">
        <v>997</v>
      </c>
      <c r="B243" s="18" t="s">
        <v>998</v>
      </c>
      <c r="C243" s="50"/>
      <c r="D243" s="7"/>
      <c r="E243" s="7">
        <v>0.0</v>
      </c>
      <c r="F243" s="18" t="s">
        <v>15</v>
      </c>
      <c r="G243" s="18" t="s">
        <v>999</v>
      </c>
      <c r="H243" s="8" t="s">
        <v>160</v>
      </c>
      <c r="I243" s="40" t="s">
        <v>1000</v>
      </c>
      <c r="J243" s="13" t="str">
        <f t="shared" si="12"/>
        <v>https://inmapper.com/zorlucenter/img/logo/ELIESAAB.png</v>
      </c>
      <c r="K243" s="19" t="s">
        <v>1001</v>
      </c>
      <c r="L243" s="8" t="s">
        <v>163</v>
      </c>
      <c r="M243" s="9"/>
      <c r="N243" s="10"/>
      <c r="O243" s="10"/>
      <c r="P243" s="10"/>
      <c r="Q243" s="10"/>
      <c r="R243" s="10"/>
      <c r="S243" s="10"/>
      <c r="T243" s="10"/>
      <c r="U243" s="10"/>
      <c r="V243" s="10"/>
      <c r="W243" s="10"/>
      <c r="X243" s="10"/>
      <c r="Y243" s="10"/>
      <c r="Z243" s="10"/>
    </row>
    <row r="244" ht="15.75" customHeight="1">
      <c r="A244" s="6" t="s">
        <v>1002</v>
      </c>
      <c r="B244" s="7" t="s">
        <v>1003</v>
      </c>
      <c r="C244" s="7"/>
      <c r="D244" s="7"/>
      <c r="E244" s="7">
        <v>0.0</v>
      </c>
      <c r="F244" s="12" t="s">
        <v>1004</v>
      </c>
      <c r="G244" s="7" t="s">
        <v>1005</v>
      </c>
      <c r="H244" s="8" t="s">
        <v>160</v>
      </c>
      <c r="I244" s="13" t="s">
        <v>1006</v>
      </c>
      <c r="J244" s="13" t="str">
        <f t="shared" si="12"/>
        <v>https://inmapper.com/zorlucenter/img/logo/GOLDENGOOSE.png</v>
      </c>
      <c r="K244" s="24" t="s">
        <v>1007</v>
      </c>
      <c r="L244" s="8" t="s">
        <v>163</v>
      </c>
      <c r="M244" s="9"/>
      <c r="N244" s="10"/>
      <c r="O244" s="10"/>
      <c r="P244" s="10"/>
      <c r="Q244" s="10"/>
      <c r="R244" s="10"/>
      <c r="S244" s="10"/>
      <c r="T244" s="10"/>
      <c r="U244" s="10"/>
      <c r="V244" s="10"/>
      <c r="W244" s="10"/>
      <c r="X244" s="10"/>
      <c r="Y244" s="10"/>
      <c r="Z244" s="10"/>
    </row>
    <row r="245" ht="15.75" customHeight="1">
      <c r="A245" s="6" t="s">
        <v>1008</v>
      </c>
      <c r="B245" s="7" t="s">
        <v>1009</v>
      </c>
      <c r="C245" s="7"/>
      <c r="D245" s="7"/>
      <c r="E245" s="7">
        <v>0.0</v>
      </c>
      <c r="F245" s="12" t="s">
        <v>1010</v>
      </c>
      <c r="G245" s="7" t="s">
        <v>1011</v>
      </c>
      <c r="H245" s="8" t="s">
        <v>184</v>
      </c>
      <c r="I245" s="8" t="s">
        <v>1012</v>
      </c>
      <c r="J245" s="13" t="str">
        <f t="shared" si="12"/>
        <v>https://inmapper.com/zorlucenter/img/logo/WELLDONE.png</v>
      </c>
      <c r="K245" s="7" t="s">
        <v>1013</v>
      </c>
      <c r="L245" s="8" t="s">
        <v>187</v>
      </c>
      <c r="M245" s="9"/>
      <c r="N245" s="10"/>
      <c r="O245" s="10"/>
      <c r="P245" s="10"/>
      <c r="Q245" s="10"/>
      <c r="R245" s="10"/>
      <c r="S245" s="10"/>
      <c r="T245" s="10"/>
      <c r="U245" s="10"/>
      <c r="V245" s="10"/>
      <c r="W245" s="10"/>
      <c r="X245" s="10"/>
      <c r="Y245" s="10"/>
      <c r="Z245" s="10"/>
    </row>
    <row r="246" ht="15.75" customHeight="1">
      <c r="A246" s="6" t="s">
        <v>1014</v>
      </c>
      <c r="B246" s="7" t="s">
        <v>1015</v>
      </c>
      <c r="C246" s="7"/>
      <c r="D246" s="7"/>
      <c r="E246" s="7">
        <v>0.0</v>
      </c>
      <c r="F246" s="12" t="s">
        <v>1016</v>
      </c>
      <c r="G246" s="7" t="s">
        <v>1017</v>
      </c>
      <c r="H246" s="8" t="s">
        <v>184</v>
      </c>
      <c r="I246" s="9"/>
      <c r="J246" s="13" t="str">
        <f t="shared" si="12"/>
        <v>https://inmapper.com/zorlucenter/img/logo/CROSSING.png</v>
      </c>
      <c r="K246" s="7" t="s">
        <v>1018</v>
      </c>
      <c r="L246" s="8" t="s">
        <v>187</v>
      </c>
      <c r="M246" s="9"/>
      <c r="N246" s="10"/>
      <c r="O246" s="10"/>
      <c r="P246" s="10"/>
      <c r="Q246" s="10"/>
      <c r="R246" s="10"/>
      <c r="S246" s="10"/>
      <c r="T246" s="10"/>
      <c r="U246" s="10"/>
      <c r="V246" s="10"/>
      <c r="W246" s="10"/>
      <c r="X246" s="10"/>
      <c r="Y246" s="10"/>
      <c r="Z246" s="10"/>
    </row>
    <row r="247" ht="15.75" customHeight="1">
      <c r="A247" s="6" t="s">
        <v>1019</v>
      </c>
      <c r="B247" s="7" t="s">
        <v>1020</v>
      </c>
      <c r="C247" s="7"/>
      <c r="D247" s="7"/>
      <c r="E247" s="7">
        <v>0.0</v>
      </c>
      <c r="F247" s="12" t="s">
        <v>1021</v>
      </c>
      <c r="G247" s="7" t="s">
        <v>1022</v>
      </c>
      <c r="H247" s="8" t="s">
        <v>160</v>
      </c>
      <c r="I247" s="8" t="s">
        <v>1023</v>
      </c>
      <c r="J247" s="13" t="str">
        <f t="shared" si="12"/>
        <v>https://inmapper.com/zorlucenter/img/logo/VAKKO.png</v>
      </c>
      <c r="K247" s="9" t="s">
        <v>1024</v>
      </c>
      <c r="L247" s="8" t="s">
        <v>163</v>
      </c>
      <c r="M247" s="9"/>
      <c r="N247" s="10"/>
      <c r="O247" s="10"/>
      <c r="P247" s="10"/>
      <c r="Q247" s="10"/>
      <c r="R247" s="10"/>
      <c r="S247" s="10"/>
      <c r="T247" s="10"/>
      <c r="U247" s="10"/>
      <c r="V247" s="10"/>
      <c r="W247" s="10"/>
      <c r="X247" s="10"/>
      <c r="Y247" s="10"/>
      <c r="Z247" s="10"/>
    </row>
    <row r="248" ht="15.75" customHeight="1">
      <c r="A248" s="6" t="s">
        <v>1025</v>
      </c>
      <c r="B248" s="7" t="s">
        <v>1026</v>
      </c>
      <c r="C248" s="34"/>
      <c r="D248" s="7"/>
      <c r="E248" s="7">
        <v>0.0</v>
      </c>
      <c r="F248" s="12" t="s">
        <v>1027</v>
      </c>
      <c r="G248" s="7"/>
      <c r="H248" s="8" t="s">
        <v>160</v>
      </c>
      <c r="I248" s="8" t="s">
        <v>1028</v>
      </c>
      <c r="J248" s="13" t="str">
        <f t="shared" si="12"/>
        <v>https://inmapper.com/zorlucenter/img/logo/TOD'S.png</v>
      </c>
      <c r="K248" s="9" t="s">
        <v>1029</v>
      </c>
      <c r="L248" s="8" t="s">
        <v>163</v>
      </c>
      <c r="M248" s="9"/>
      <c r="N248" s="10"/>
      <c r="O248" s="10"/>
      <c r="P248" s="10"/>
      <c r="Q248" s="10"/>
      <c r="R248" s="10"/>
      <c r="S248" s="10"/>
      <c r="T248" s="10"/>
      <c r="U248" s="10"/>
      <c r="V248" s="10"/>
      <c r="W248" s="10"/>
      <c r="X248" s="10"/>
      <c r="Y248" s="10"/>
      <c r="Z248" s="10"/>
    </row>
    <row r="249" ht="15.75" customHeight="1">
      <c r="A249" s="6" t="s">
        <v>1030</v>
      </c>
      <c r="B249" s="7" t="s">
        <v>1031</v>
      </c>
      <c r="C249" s="7"/>
      <c r="D249" s="7"/>
      <c r="E249" s="7">
        <v>0.0</v>
      </c>
      <c r="F249" s="12" t="s">
        <v>1032</v>
      </c>
      <c r="G249" s="7" t="s">
        <v>1033</v>
      </c>
      <c r="H249" s="8" t="s">
        <v>184</v>
      </c>
      <c r="I249" s="8" t="s">
        <v>1034</v>
      </c>
      <c r="J249" s="13" t="str">
        <f t="shared" si="12"/>
        <v>https://inmapper.com/zorlucenter/img/logo/HAPPYMOON'S.png</v>
      </c>
      <c r="K249" s="7" t="s">
        <v>1035</v>
      </c>
      <c r="L249" s="8" t="s">
        <v>187</v>
      </c>
      <c r="M249" s="9"/>
      <c r="N249" s="10"/>
      <c r="O249" s="10"/>
      <c r="P249" s="10"/>
      <c r="Q249" s="10"/>
      <c r="R249" s="10"/>
      <c r="S249" s="10"/>
      <c r="T249" s="10"/>
      <c r="U249" s="10"/>
      <c r="V249" s="10"/>
      <c r="W249" s="10"/>
      <c r="X249" s="10"/>
      <c r="Y249" s="10"/>
      <c r="Z249" s="10"/>
    </row>
    <row r="250" ht="15.75" customHeight="1">
      <c r="A250" s="6" t="s">
        <v>1036</v>
      </c>
      <c r="B250" s="18" t="s">
        <v>1037</v>
      </c>
      <c r="C250" s="18"/>
      <c r="D250" s="7"/>
      <c r="E250" s="7">
        <v>0.0</v>
      </c>
      <c r="F250" s="12" t="s">
        <v>1038</v>
      </c>
      <c r="G250" s="18" t="s">
        <v>1005</v>
      </c>
      <c r="H250" s="8" t="s">
        <v>160</v>
      </c>
      <c r="I250" s="41" t="s">
        <v>1039</v>
      </c>
      <c r="J250" s="13" t="str">
        <f t="shared" si="12"/>
        <v>https://inmapper.com/zorlucenter/img/logo/CELINE.png</v>
      </c>
      <c r="K250" s="18" t="s">
        <v>1040</v>
      </c>
      <c r="L250" s="8" t="s">
        <v>163</v>
      </c>
      <c r="M250" s="9"/>
      <c r="N250" s="10"/>
      <c r="O250" s="10"/>
      <c r="P250" s="10"/>
      <c r="Q250" s="10"/>
      <c r="R250" s="10"/>
      <c r="S250" s="10"/>
      <c r="T250" s="10"/>
      <c r="U250" s="10"/>
      <c r="V250" s="10"/>
      <c r="W250" s="10"/>
      <c r="X250" s="10"/>
      <c r="Y250" s="10"/>
      <c r="Z250" s="10"/>
    </row>
    <row r="251" ht="15.75" customHeight="1">
      <c r="A251" s="6" t="s">
        <v>1041</v>
      </c>
      <c r="B251" s="7" t="s">
        <v>1042</v>
      </c>
      <c r="C251" s="7"/>
      <c r="D251" s="7"/>
      <c r="E251" s="7">
        <v>0.0</v>
      </c>
      <c r="F251" s="12" t="s">
        <v>1043</v>
      </c>
      <c r="G251" s="18" t="s">
        <v>1005</v>
      </c>
      <c r="H251" s="8" t="s">
        <v>160</v>
      </c>
      <c r="I251" s="13" t="s">
        <v>1044</v>
      </c>
      <c r="J251" s="13" t="str">
        <f t="shared" si="12"/>
        <v>https://inmapper.com/zorlucenter/img/logo/ALEXANDERMCQUEEN.png</v>
      </c>
      <c r="K251" s="7" t="s">
        <v>1045</v>
      </c>
      <c r="L251" s="8" t="s">
        <v>163</v>
      </c>
      <c r="M251" s="9"/>
      <c r="N251" s="10"/>
      <c r="O251" s="10"/>
      <c r="P251" s="10"/>
      <c r="Q251" s="10"/>
      <c r="R251" s="10"/>
      <c r="S251" s="10"/>
      <c r="T251" s="10"/>
      <c r="U251" s="10"/>
      <c r="V251" s="10"/>
      <c r="W251" s="10"/>
      <c r="X251" s="10"/>
      <c r="Y251" s="10"/>
      <c r="Z251" s="10"/>
    </row>
    <row r="252" ht="15.75" customHeight="1">
      <c r="A252" s="6" t="s">
        <v>1046</v>
      </c>
      <c r="B252" s="7" t="s">
        <v>1047</v>
      </c>
      <c r="C252" s="7"/>
      <c r="D252" s="7"/>
      <c r="E252" s="7">
        <v>0.0</v>
      </c>
      <c r="F252" s="12" t="s">
        <v>1048</v>
      </c>
      <c r="G252" s="7" t="s">
        <v>1049</v>
      </c>
      <c r="H252" s="8" t="s">
        <v>152</v>
      </c>
      <c r="I252" s="14" t="s">
        <v>1050</v>
      </c>
      <c r="J252" s="13" t="str">
        <f t="shared" si="12"/>
        <v>https://inmapper.com/zorlucenter/img/logo/ROLEX.png</v>
      </c>
      <c r="K252" s="24" t="s">
        <v>1051</v>
      </c>
      <c r="L252" s="8" t="s">
        <v>155</v>
      </c>
      <c r="M252" s="9"/>
      <c r="N252" s="10"/>
      <c r="O252" s="10"/>
      <c r="P252" s="10"/>
      <c r="Q252" s="10"/>
      <c r="R252" s="10"/>
      <c r="S252" s="10"/>
      <c r="T252" s="10"/>
      <c r="U252" s="10"/>
      <c r="V252" s="10"/>
      <c r="W252" s="10"/>
      <c r="X252" s="10"/>
      <c r="Y252" s="10"/>
      <c r="Z252" s="10"/>
    </row>
    <row r="253" ht="15.75" customHeight="1">
      <c r="A253" s="6" t="s">
        <v>1052</v>
      </c>
      <c r="B253" s="7" t="s">
        <v>1053</v>
      </c>
      <c r="C253" s="7"/>
      <c r="D253" s="7"/>
      <c r="E253" s="7">
        <v>0.0</v>
      </c>
      <c r="F253" s="12" t="s">
        <v>1054</v>
      </c>
      <c r="G253" s="7" t="s">
        <v>1055</v>
      </c>
      <c r="H253" s="8" t="s">
        <v>160</v>
      </c>
      <c r="I253" s="8" t="s">
        <v>1056</v>
      </c>
      <c r="J253" s="13" t="str">
        <f t="shared" si="12"/>
        <v>https://inmapper.com/zorlucenter/img/logo/VALENTINO.png</v>
      </c>
      <c r="K253" s="9" t="s">
        <v>1057</v>
      </c>
      <c r="L253" s="8" t="s">
        <v>163</v>
      </c>
      <c r="M253" s="9"/>
      <c r="N253" s="10"/>
      <c r="O253" s="10"/>
      <c r="P253" s="10"/>
      <c r="Q253" s="10"/>
      <c r="R253" s="10"/>
      <c r="S253" s="10"/>
      <c r="T253" s="10"/>
      <c r="U253" s="10"/>
      <c r="V253" s="10"/>
      <c r="W253" s="10"/>
      <c r="X253" s="10"/>
      <c r="Y253" s="10"/>
      <c r="Z253" s="10"/>
    </row>
    <row r="254" ht="15.75" customHeight="1">
      <c r="A254" s="6" t="s">
        <v>1058</v>
      </c>
      <c r="B254" s="7" t="s">
        <v>1059</v>
      </c>
      <c r="C254" s="7"/>
      <c r="D254" s="7"/>
      <c r="E254" s="7">
        <v>0.0</v>
      </c>
      <c r="F254" s="12" t="s">
        <v>1060</v>
      </c>
      <c r="G254" s="18" t="s">
        <v>1061</v>
      </c>
      <c r="H254" s="7" t="s">
        <v>184</v>
      </c>
      <c r="I254" s="46" t="s">
        <v>1062</v>
      </c>
      <c r="J254" s="13" t="str">
        <f t="shared" si="12"/>
        <v>https://inmapper.com/zorlucenter/img/logo/BIGCHEFS.png</v>
      </c>
      <c r="K254" s="24" t="s">
        <v>1063</v>
      </c>
      <c r="L254" s="7" t="s">
        <v>187</v>
      </c>
      <c r="M254" s="9"/>
      <c r="N254" s="10"/>
      <c r="O254" s="10"/>
      <c r="P254" s="10"/>
      <c r="Q254" s="10"/>
      <c r="R254" s="10"/>
      <c r="S254" s="10"/>
      <c r="T254" s="10"/>
      <c r="U254" s="10"/>
      <c r="V254" s="10"/>
      <c r="W254" s="10"/>
      <c r="X254" s="10"/>
      <c r="Y254" s="10"/>
      <c r="Z254" s="10"/>
    </row>
    <row r="255" ht="15.75" customHeight="1">
      <c r="A255" s="6" t="s">
        <v>1064</v>
      </c>
      <c r="B255" s="19" t="s">
        <v>1065</v>
      </c>
      <c r="C255" s="18"/>
      <c r="D255" s="7"/>
      <c r="E255" s="7">
        <v>0.0</v>
      </c>
      <c r="F255" s="12" t="s">
        <v>1066</v>
      </c>
      <c r="G255" s="7" t="s">
        <v>1067</v>
      </c>
      <c r="H255" s="8" t="s">
        <v>184</v>
      </c>
      <c r="I255" s="8" t="s">
        <v>559</v>
      </c>
      <c r="J255" s="8" t="str">
        <f t="shared" si="12"/>
        <v>https://inmapper.com/zorlucenter/img/logo/GÜNAYDINSTEAKHOUSE.png</v>
      </c>
      <c r="K255" s="7" t="s">
        <v>1068</v>
      </c>
      <c r="L255" s="8" t="s">
        <v>187</v>
      </c>
      <c r="M255" s="9"/>
      <c r="N255" s="10"/>
      <c r="O255" s="10"/>
      <c r="P255" s="10"/>
      <c r="Q255" s="10"/>
      <c r="R255" s="10"/>
      <c r="S255" s="10"/>
      <c r="T255" s="10"/>
      <c r="U255" s="10"/>
      <c r="V255" s="10"/>
      <c r="W255" s="10"/>
      <c r="X255" s="10"/>
      <c r="Y255" s="10"/>
      <c r="Z255" s="10"/>
    </row>
    <row r="256" ht="15.75" customHeight="1">
      <c r="A256" s="6" t="s">
        <v>1069</v>
      </c>
      <c r="B256" s="19" t="s">
        <v>1070</v>
      </c>
      <c r="C256" s="7"/>
      <c r="D256" s="7"/>
      <c r="E256" s="7">
        <v>0.0</v>
      </c>
      <c r="F256" s="12" t="s">
        <v>1071</v>
      </c>
      <c r="G256" s="18" t="s">
        <v>1072</v>
      </c>
      <c r="H256" s="8" t="s">
        <v>184</v>
      </c>
      <c r="I256" s="13" t="s">
        <v>1073</v>
      </c>
      <c r="J256" s="13" t="str">
        <f t="shared" si="12"/>
        <v>https://inmapper.com/zorlucenter/img/logo/NEVLOKANTAMEZE.png</v>
      </c>
      <c r="K256" s="7" t="s">
        <v>1074</v>
      </c>
      <c r="L256" s="8" t="s">
        <v>187</v>
      </c>
      <c r="M256" s="9"/>
      <c r="N256" s="10"/>
      <c r="O256" s="10"/>
      <c r="P256" s="10"/>
      <c r="Q256" s="10"/>
      <c r="R256" s="10"/>
      <c r="S256" s="10"/>
      <c r="T256" s="10"/>
      <c r="U256" s="10"/>
      <c r="V256" s="10"/>
      <c r="W256" s="10"/>
      <c r="X256" s="10"/>
      <c r="Y256" s="10"/>
      <c r="Z256" s="10"/>
    </row>
    <row r="257" ht="15.75" customHeight="1">
      <c r="A257" s="6" t="s">
        <v>1075</v>
      </c>
      <c r="B257" s="24" t="s">
        <v>1076</v>
      </c>
      <c r="C257" s="18"/>
      <c r="D257" s="7"/>
      <c r="E257" s="7">
        <v>0.0</v>
      </c>
      <c r="F257" s="12" t="s">
        <v>1077</v>
      </c>
      <c r="G257" s="7" t="s">
        <v>1078</v>
      </c>
      <c r="H257" s="8" t="s">
        <v>184</v>
      </c>
      <c r="I257" s="8" t="s">
        <v>1079</v>
      </c>
      <c r="J257" s="13" t="str">
        <f t="shared" si="12"/>
        <v>https://inmapper.com/zorlucenter/img/logo/SUSHICO.png</v>
      </c>
      <c r="K257" s="7" t="s">
        <v>1080</v>
      </c>
      <c r="L257" s="8" t="s">
        <v>187</v>
      </c>
      <c r="M257" s="9"/>
      <c r="N257" s="15"/>
      <c r="O257" s="10"/>
      <c r="P257" s="10"/>
      <c r="Q257" s="10"/>
      <c r="R257" s="16"/>
      <c r="S257" s="10"/>
      <c r="T257" s="10"/>
      <c r="U257" s="10"/>
      <c r="V257" s="10"/>
      <c r="W257" s="10"/>
      <c r="X257" s="10"/>
      <c r="Y257" s="10"/>
      <c r="Z257" s="10"/>
    </row>
    <row r="258" ht="15.75" customHeight="1">
      <c r="A258" s="6" t="s">
        <v>1081</v>
      </c>
      <c r="B258" s="7" t="s">
        <v>1082</v>
      </c>
      <c r="C258" s="7"/>
      <c r="D258" s="7"/>
      <c r="E258" s="7">
        <v>0.0</v>
      </c>
      <c r="F258" s="12" t="s">
        <v>1083</v>
      </c>
      <c r="G258" s="7" t="s">
        <v>1084</v>
      </c>
      <c r="H258" s="8" t="s">
        <v>184</v>
      </c>
      <c r="I258" s="8" t="s">
        <v>1085</v>
      </c>
      <c r="J258" s="13" t="str">
        <f t="shared" si="12"/>
        <v>https://inmapper.com/zorlucenter/img/logo/SARAYMUHALLEBİCİSİ.png</v>
      </c>
      <c r="K258" s="7" t="s">
        <v>1086</v>
      </c>
      <c r="L258" s="8" t="s">
        <v>187</v>
      </c>
      <c r="M258" s="9"/>
      <c r="N258" s="10"/>
      <c r="O258" s="10"/>
      <c r="P258" s="10"/>
      <c r="Q258" s="10"/>
      <c r="R258" s="10"/>
      <c r="S258" s="10"/>
      <c r="T258" s="10"/>
      <c r="U258" s="10"/>
      <c r="V258" s="10"/>
      <c r="W258" s="10"/>
      <c r="X258" s="10"/>
      <c r="Y258" s="10"/>
      <c r="Z258" s="10"/>
    </row>
    <row r="259" ht="15.75" customHeight="1">
      <c r="A259" s="6" t="s">
        <v>1087</v>
      </c>
      <c r="B259" s="7" t="s">
        <v>1088</v>
      </c>
      <c r="C259" s="7"/>
      <c r="D259" s="7"/>
      <c r="E259" s="7">
        <v>0.0</v>
      </c>
      <c r="F259" s="12" t="s">
        <v>1089</v>
      </c>
      <c r="G259" s="7" t="s">
        <v>1090</v>
      </c>
      <c r="H259" s="8" t="s">
        <v>160</v>
      </c>
      <c r="I259" s="8" t="s">
        <v>1091</v>
      </c>
      <c r="J259" s="13" t="str">
        <f t="shared" si="12"/>
        <v>https://inmapper.com/zorlucenter/img/logo/BALENCIAGA.png</v>
      </c>
      <c r="K259" s="7" t="s">
        <v>1092</v>
      </c>
      <c r="L259" s="8" t="s">
        <v>163</v>
      </c>
      <c r="M259" s="9"/>
      <c r="N259" s="10"/>
      <c r="O259" s="10"/>
      <c r="P259" s="10"/>
      <c r="Q259" s="10"/>
      <c r="R259" s="10"/>
      <c r="S259" s="10"/>
      <c r="T259" s="10"/>
      <c r="U259" s="10"/>
      <c r="V259" s="10"/>
      <c r="W259" s="10"/>
      <c r="X259" s="10"/>
      <c r="Y259" s="10"/>
      <c r="Z259" s="10"/>
    </row>
    <row r="260" ht="15.75" customHeight="1">
      <c r="A260" s="6" t="s">
        <v>1093</v>
      </c>
      <c r="B260" s="7" t="s">
        <v>1094</v>
      </c>
      <c r="C260" s="7"/>
      <c r="D260" s="7"/>
      <c r="E260" s="7">
        <v>0.0</v>
      </c>
      <c r="F260" s="12" t="s">
        <v>1095</v>
      </c>
      <c r="G260" s="7" t="s">
        <v>1096</v>
      </c>
      <c r="H260" s="8" t="s">
        <v>160</v>
      </c>
      <c r="I260" s="8" t="s">
        <v>1097</v>
      </c>
      <c r="J260" s="13" t="str">
        <f t="shared" si="12"/>
        <v>https://inmapper.com/zorlucenter/img/logo/DOLCE&amp;GABBANA.png</v>
      </c>
      <c r="K260" s="7" t="s">
        <v>1098</v>
      </c>
      <c r="L260" s="8" t="s">
        <v>163</v>
      </c>
      <c r="M260" s="9"/>
      <c r="N260" s="10"/>
      <c r="O260" s="10"/>
      <c r="P260" s="10"/>
      <c r="Q260" s="10"/>
      <c r="R260" s="10"/>
      <c r="S260" s="10"/>
      <c r="T260" s="10"/>
      <c r="U260" s="10"/>
      <c r="V260" s="10"/>
      <c r="W260" s="10"/>
      <c r="X260" s="10"/>
      <c r="Y260" s="10"/>
      <c r="Z260" s="10"/>
    </row>
    <row r="261" ht="15.75" customHeight="1">
      <c r="A261" s="6" t="s">
        <v>1099</v>
      </c>
      <c r="B261" s="7" t="s">
        <v>1100</v>
      </c>
      <c r="C261" s="7"/>
      <c r="D261" s="7"/>
      <c r="E261" s="7">
        <v>0.0</v>
      </c>
      <c r="F261" s="12" t="s">
        <v>1101</v>
      </c>
      <c r="G261" s="7" t="s">
        <v>1102</v>
      </c>
      <c r="H261" s="8" t="s">
        <v>160</v>
      </c>
      <c r="I261" s="8" t="s">
        <v>1103</v>
      </c>
      <c r="J261" s="13" t="str">
        <f t="shared" si="12"/>
        <v>https://inmapper.com/zorlucenter/img/logo/BURBERRY.png</v>
      </c>
      <c r="K261" s="7" t="s">
        <v>1104</v>
      </c>
      <c r="L261" s="8" t="s">
        <v>163</v>
      </c>
      <c r="M261" s="9"/>
      <c r="N261" s="10"/>
      <c r="O261" s="10"/>
      <c r="P261" s="10"/>
      <c r="Q261" s="10"/>
      <c r="R261" s="10"/>
      <c r="S261" s="10"/>
      <c r="T261" s="10"/>
      <c r="U261" s="10"/>
      <c r="V261" s="10"/>
      <c r="W261" s="10"/>
      <c r="X261" s="10"/>
      <c r="Y261" s="10"/>
      <c r="Z261" s="10"/>
    </row>
    <row r="262" ht="15.75" customHeight="1">
      <c r="A262" s="6" t="s">
        <v>1105</v>
      </c>
      <c r="B262" s="7" t="s">
        <v>1106</v>
      </c>
      <c r="C262" s="7"/>
      <c r="D262" s="7"/>
      <c r="E262" s="7">
        <v>0.0</v>
      </c>
      <c r="F262" s="12" t="s">
        <v>1107</v>
      </c>
      <c r="G262" s="7" t="s">
        <v>1108</v>
      </c>
      <c r="H262" s="8" t="s">
        <v>184</v>
      </c>
      <c r="I262" s="8" t="s">
        <v>1109</v>
      </c>
      <c r="J262" s="13" t="str">
        <f t="shared" si="12"/>
        <v>https://inmapper.com/zorlucenter/img/logo/CANTINERY.png</v>
      </c>
      <c r="K262" s="9" t="s">
        <v>1110</v>
      </c>
      <c r="L262" s="8" t="s">
        <v>187</v>
      </c>
      <c r="M262" s="9"/>
      <c r="N262" s="10"/>
      <c r="O262" s="10"/>
      <c r="P262" s="10"/>
      <c r="Q262" s="10"/>
      <c r="R262" s="10"/>
      <c r="S262" s="10"/>
      <c r="T262" s="10"/>
      <c r="U262" s="10"/>
      <c r="V262" s="10"/>
      <c r="W262" s="10"/>
      <c r="X262" s="10"/>
      <c r="Y262" s="10"/>
      <c r="Z262" s="10"/>
    </row>
    <row r="263" ht="15.75" customHeight="1">
      <c r="A263" s="6" t="s">
        <v>1111</v>
      </c>
      <c r="B263" s="7" t="s">
        <v>1112</v>
      </c>
      <c r="C263" s="7"/>
      <c r="D263" s="7"/>
      <c r="E263" s="7">
        <v>0.0</v>
      </c>
      <c r="F263" s="12" t="s">
        <v>1113</v>
      </c>
      <c r="G263" s="7" t="s">
        <v>1114</v>
      </c>
      <c r="H263" s="8" t="s">
        <v>160</v>
      </c>
      <c r="I263" s="8" t="s">
        <v>1115</v>
      </c>
      <c r="J263" s="13" t="str">
        <f t="shared" si="12"/>
        <v>https://inmapper.com/zorlucenter/img/logo/PRADA.png</v>
      </c>
      <c r="K263" s="7" t="s">
        <v>1116</v>
      </c>
      <c r="L263" s="8" t="s">
        <v>163</v>
      </c>
      <c r="M263" s="9"/>
      <c r="N263" s="10"/>
      <c r="O263" s="10"/>
      <c r="P263" s="10"/>
      <c r="Q263" s="10"/>
      <c r="R263" s="10"/>
      <c r="S263" s="10"/>
      <c r="T263" s="10"/>
      <c r="U263" s="10"/>
      <c r="V263" s="10"/>
      <c r="W263" s="10"/>
      <c r="X263" s="10"/>
      <c r="Y263" s="10"/>
      <c r="Z263" s="10"/>
    </row>
    <row r="264" ht="15.75" customHeight="1">
      <c r="A264" s="6" t="s">
        <v>1117</v>
      </c>
      <c r="B264" s="7" t="s">
        <v>1118</v>
      </c>
      <c r="C264" s="7"/>
      <c r="D264" s="7"/>
      <c r="E264" s="7">
        <v>0.0</v>
      </c>
      <c r="F264" s="12" t="s">
        <v>1119</v>
      </c>
      <c r="G264" s="7" t="s">
        <v>1120</v>
      </c>
      <c r="H264" s="43" t="s">
        <v>1121</v>
      </c>
      <c r="I264" s="8" t="s">
        <v>1122</v>
      </c>
      <c r="J264" s="8" t="str">
        <f t="shared" si="12"/>
        <v>https://inmapper.com/zorlucenter/img/logo/ŞÜKRÜDUDUBARBER'SCLUB.png</v>
      </c>
      <c r="K264" s="7" t="s">
        <v>1123</v>
      </c>
      <c r="L264" s="8" t="s">
        <v>70</v>
      </c>
      <c r="M264" s="9"/>
      <c r="N264" s="10"/>
      <c r="O264" s="10"/>
      <c r="P264" s="10"/>
      <c r="Q264" s="10"/>
      <c r="R264" s="10"/>
      <c r="S264" s="10"/>
      <c r="T264" s="10"/>
      <c r="U264" s="10"/>
      <c r="V264" s="10"/>
      <c r="W264" s="10"/>
      <c r="X264" s="10"/>
      <c r="Y264" s="10"/>
      <c r="Z264" s="10"/>
    </row>
    <row r="265" ht="15.75" customHeight="1">
      <c r="A265" s="6" t="s">
        <v>1124</v>
      </c>
      <c r="B265" s="18" t="s">
        <v>1125</v>
      </c>
      <c r="C265" s="18"/>
      <c r="D265" s="7"/>
      <c r="E265" s="7">
        <v>0.0</v>
      </c>
      <c r="F265" s="12" t="s">
        <v>1126</v>
      </c>
      <c r="G265" s="7" t="s">
        <v>1127</v>
      </c>
      <c r="H265" s="8" t="s">
        <v>1128</v>
      </c>
      <c r="I265" s="8" t="s">
        <v>1129</v>
      </c>
      <c r="J265" s="13" t="str">
        <f t="shared" si="12"/>
        <v>https://inmapper.com/zorlucenter/img/logo/MACMARSATHLETICCLUB.png</v>
      </c>
      <c r="K265" s="7" t="s">
        <v>1130</v>
      </c>
      <c r="L265" s="43" t="s">
        <v>1131</v>
      </c>
      <c r="M265" s="9"/>
      <c r="N265" s="10"/>
      <c r="O265" s="10"/>
      <c r="P265" s="10"/>
      <c r="Q265" s="10"/>
      <c r="R265" s="10"/>
      <c r="S265" s="10"/>
      <c r="T265" s="10"/>
      <c r="U265" s="10"/>
      <c r="V265" s="10"/>
      <c r="W265" s="10"/>
      <c r="X265" s="10"/>
      <c r="Y265" s="10"/>
      <c r="Z265" s="10"/>
    </row>
    <row r="266" ht="15.75" customHeight="1">
      <c r="A266" s="21" t="s">
        <v>1132</v>
      </c>
      <c r="B266" s="18" t="s">
        <v>1133</v>
      </c>
      <c r="C266" s="7"/>
      <c r="D266" s="7"/>
      <c r="E266" s="18">
        <v>0.0</v>
      </c>
      <c r="F266" s="17" t="s">
        <v>1134</v>
      </c>
      <c r="G266" s="7"/>
      <c r="H266" s="8" t="s">
        <v>184</v>
      </c>
      <c r="I266" s="40" t="s">
        <v>1135</v>
      </c>
      <c r="J266" s="13" t="str">
        <f t="shared" si="12"/>
        <v>https://inmapper.com/zorlucenter/img/logo/REYORGANIC.png</v>
      </c>
      <c r="K266" s="18" t="s">
        <v>1136</v>
      </c>
      <c r="L266" s="8" t="s">
        <v>187</v>
      </c>
      <c r="M266" s="9"/>
      <c r="N266" s="10"/>
      <c r="O266" s="10"/>
      <c r="P266" s="10"/>
      <c r="Q266" s="10"/>
      <c r="R266" s="10"/>
      <c r="S266" s="10"/>
      <c r="T266" s="10"/>
      <c r="U266" s="10"/>
      <c r="V266" s="10"/>
      <c r="W266" s="10"/>
      <c r="X266" s="10"/>
      <c r="Y266" s="10"/>
      <c r="Z266" s="10"/>
    </row>
    <row r="267" ht="15.75" customHeight="1">
      <c r="A267" s="6" t="s">
        <v>1137</v>
      </c>
      <c r="B267" s="7" t="s">
        <v>682</v>
      </c>
      <c r="C267" s="7"/>
      <c r="D267" s="7" t="s">
        <v>1138</v>
      </c>
      <c r="E267" s="7">
        <v>0.0</v>
      </c>
      <c r="F267" s="12" t="s">
        <v>684</v>
      </c>
      <c r="G267" s="7" t="s">
        <v>1139</v>
      </c>
      <c r="H267" s="8" t="s">
        <v>160</v>
      </c>
      <c r="I267" s="8" t="s">
        <v>685</v>
      </c>
      <c r="J267" s="13" t="str">
        <f t="shared" si="12"/>
        <v>https://inmapper.com/zorlucenter/img/logo/BEYMEN.png</v>
      </c>
      <c r="K267" s="7" t="s">
        <v>686</v>
      </c>
      <c r="L267" s="8" t="s">
        <v>163</v>
      </c>
      <c r="M267" s="9"/>
      <c r="N267" s="10"/>
      <c r="O267" s="10"/>
      <c r="P267" s="10"/>
      <c r="Q267" s="10"/>
      <c r="R267" s="10"/>
      <c r="S267" s="10"/>
      <c r="T267" s="10"/>
      <c r="U267" s="10"/>
      <c r="V267" s="10"/>
      <c r="W267" s="10"/>
      <c r="X267" s="10"/>
      <c r="Y267" s="10"/>
      <c r="Z267" s="10"/>
    </row>
    <row r="268" ht="15.75" customHeight="1">
      <c r="A268" s="6" t="s">
        <v>1140</v>
      </c>
      <c r="B268" s="7" t="s">
        <v>1141</v>
      </c>
      <c r="C268" s="7"/>
      <c r="D268" s="7"/>
      <c r="E268" s="7">
        <v>0.0</v>
      </c>
      <c r="F268" s="12" t="s">
        <v>1142</v>
      </c>
      <c r="G268" s="7" t="s">
        <v>1143</v>
      </c>
      <c r="H268" s="8" t="s">
        <v>184</v>
      </c>
      <c r="I268" s="8" t="s">
        <v>1144</v>
      </c>
      <c r="J268" s="13" t="str">
        <f t="shared" si="12"/>
        <v>https://inmapper.com/zorlucenter/img/logo/MORINI.png</v>
      </c>
      <c r="K268" s="7" t="s">
        <v>1145</v>
      </c>
      <c r="L268" s="8" t="s">
        <v>187</v>
      </c>
      <c r="M268" s="9"/>
      <c r="N268" s="10"/>
      <c r="O268" s="10"/>
      <c r="P268" s="10"/>
      <c r="Q268" s="10"/>
      <c r="R268" s="10"/>
      <c r="S268" s="10"/>
      <c r="T268" s="10"/>
      <c r="U268" s="10"/>
      <c r="V268" s="10"/>
      <c r="W268" s="10"/>
      <c r="X268" s="10"/>
      <c r="Y268" s="10"/>
      <c r="Z268" s="10"/>
    </row>
    <row r="269" ht="15.75" customHeight="1">
      <c r="A269" s="6" t="s">
        <v>1146</v>
      </c>
      <c r="B269" s="7" t="s">
        <v>1147</v>
      </c>
      <c r="C269" s="7"/>
      <c r="D269" s="7"/>
      <c r="E269" s="7">
        <v>0.0</v>
      </c>
      <c r="F269" s="12" t="s">
        <v>1148</v>
      </c>
      <c r="G269" s="7" t="s">
        <v>1149</v>
      </c>
      <c r="H269" s="8" t="s">
        <v>184</v>
      </c>
      <c r="I269" s="13" t="s">
        <v>1150</v>
      </c>
      <c r="J269" s="13" t="str">
        <f t="shared" si="12"/>
        <v>https://inmapper.com/zorlucenter/img/logo/FAUCHON.png</v>
      </c>
      <c r="K269" s="7" t="s">
        <v>1151</v>
      </c>
      <c r="L269" s="8" t="s">
        <v>187</v>
      </c>
      <c r="M269" s="9"/>
      <c r="N269" s="10"/>
      <c r="O269" s="10"/>
      <c r="P269" s="10"/>
      <c r="Q269" s="10"/>
      <c r="R269" s="10"/>
      <c r="S269" s="10"/>
      <c r="T269" s="10"/>
      <c r="U269" s="10"/>
      <c r="V269" s="10"/>
      <c r="W269" s="10"/>
      <c r="X269" s="10"/>
      <c r="Y269" s="10"/>
      <c r="Z269" s="10"/>
    </row>
    <row r="270" ht="15.75" customHeight="1">
      <c r="A270" s="6" t="s">
        <v>1152</v>
      </c>
      <c r="B270" s="7" t="s">
        <v>1153</v>
      </c>
      <c r="C270" s="7"/>
      <c r="D270" s="7"/>
      <c r="E270" s="7">
        <v>0.0</v>
      </c>
      <c r="F270" s="12" t="s">
        <v>1154</v>
      </c>
      <c r="G270" s="7" t="s">
        <v>1155</v>
      </c>
      <c r="H270" s="8" t="s">
        <v>152</v>
      </c>
      <c r="I270" s="8" t="s">
        <v>1156</v>
      </c>
      <c r="J270" s="13" t="str">
        <f t="shared" si="12"/>
        <v>https://inmapper.com/zorlucenter/img/logo/POMELLATO.png</v>
      </c>
      <c r="K270" s="7" t="s">
        <v>1157</v>
      </c>
      <c r="L270" s="8" t="s">
        <v>155</v>
      </c>
      <c r="M270" s="9"/>
      <c r="N270" s="10"/>
      <c r="O270" s="10"/>
      <c r="P270" s="10"/>
      <c r="Q270" s="10"/>
      <c r="R270" s="10"/>
      <c r="S270" s="10"/>
      <c r="T270" s="10"/>
      <c r="U270" s="10"/>
      <c r="V270" s="10"/>
      <c r="W270" s="10"/>
      <c r="X270" s="10"/>
      <c r="Y270" s="10"/>
      <c r="Z270" s="10"/>
    </row>
    <row r="271" ht="15.75" customHeight="1">
      <c r="A271" s="6" t="s">
        <v>1158</v>
      </c>
      <c r="B271" s="7" t="s">
        <v>1159</v>
      </c>
      <c r="C271" s="7"/>
      <c r="D271" s="7"/>
      <c r="E271" s="7">
        <v>0.0</v>
      </c>
      <c r="F271" s="12" t="s">
        <v>1160</v>
      </c>
      <c r="G271" s="7" t="s">
        <v>1161</v>
      </c>
      <c r="H271" s="8" t="s">
        <v>160</v>
      </c>
      <c r="I271" s="8" t="s">
        <v>1162</v>
      </c>
      <c r="J271" s="13" t="str">
        <f t="shared" si="12"/>
        <v>https://inmapper.com/zorlucenter/img/logo/MONCLER.png</v>
      </c>
      <c r="K271" s="7" t="s">
        <v>1163</v>
      </c>
      <c r="L271" s="8" t="s">
        <v>163</v>
      </c>
      <c r="M271" s="9"/>
      <c r="N271" s="10"/>
      <c r="O271" s="10"/>
      <c r="P271" s="10"/>
      <c r="Q271" s="10"/>
      <c r="R271" s="10"/>
      <c r="S271" s="10"/>
      <c r="T271" s="10"/>
      <c r="U271" s="10"/>
      <c r="V271" s="10"/>
      <c r="W271" s="10"/>
      <c r="X271" s="10"/>
      <c r="Y271" s="10"/>
      <c r="Z271" s="10"/>
    </row>
    <row r="272" ht="15.75" customHeight="1">
      <c r="A272" s="6" t="s">
        <v>1164</v>
      </c>
      <c r="B272" s="7" t="s">
        <v>1165</v>
      </c>
      <c r="C272" s="18"/>
      <c r="D272" s="7"/>
      <c r="E272" s="7">
        <v>0.0</v>
      </c>
      <c r="F272" s="12" t="s">
        <v>1166</v>
      </c>
      <c r="G272" s="7" t="s">
        <v>1167</v>
      </c>
      <c r="H272" s="8" t="s">
        <v>152</v>
      </c>
      <c r="I272" s="8" t="s">
        <v>1168</v>
      </c>
      <c r="J272" s="13" t="str">
        <f t="shared" si="12"/>
        <v>https://inmapper.com/zorlucenter/img/logo/TIFFANY&amp;CO.png</v>
      </c>
      <c r="K272" s="7" t="s">
        <v>1169</v>
      </c>
      <c r="L272" s="8" t="s">
        <v>155</v>
      </c>
      <c r="M272" s="9"/>
      <c r="N272" s="10"/>
      <c r="O272" s="10"/>
      <c r="P272" s="10"/>
      <c r="Q272" s="10"/>
      <c r="R272" s="10"/>
      <c r="S272" s="10"/>
      <c r="T272" s="10"/>
      <c r="U272" s="10"/>
      <c r="V272" s="10"/>
      <c r="W272" s="10"/>
      <c r="X272" s="10"/>
      <c r="Y272" s="10"/>
      <c r="Z272" s="10"/>
    </row>
    <row r="273" ht="15.75" customHeight="1">
      <c r="A273" s="6" t="s">
        <v>1170</v>
      </c>
      <c r="B273" s="7" t="s">
        <v>1171</v>
      </c>
      <c r="C273" s="7"/>
      <c r="D273" s="7"/>
      <c r="E273" s="7">
        <v>0.0</v>
      </c>
      <c r="F273" s="12" t="s">
        <v>1172</v>
      </c>
      <c r="G273" s="7" t="s">
        <v>1173</v>
      </c>
      <c r="H273" s="8" t="s">
        <v>122</v>
      </c>
      <c r="I273" s="8" t="s">
        <v>1174</v>
      </c>
      <c r="J273" s="13" t="str">
        <f t="shared" si="12"/>
        <v>https://inmapper.com/zorlucenter/img/logo/HAREMLIQUEISTANBUL.png</v>
      </c>
      <c r="K273" s="7" t="s">
        <v>1175</v>
      </c>
      <c r="L273" s="8" t="s">
        <v>125</v>
      </c>
      <c r="M273" s="9"/>
      <c r="N273" s="10"/>
      <c r="O273" s="10"/>
      <c r="P273" s="10"/>
      <c r="Q273" s="10"/>
      <c r="R273" s="10"/>
      <c r="S273" s="10"/>
      <c r="T273" s="10"/>
      <c r="U273" s="10"/>
      <c r="V273" s="10"/>
      <c r="W273" s="10"/>
      <c r="X273" s="10"/>
      <c r="Y273" s="10"/>
      <c r="Z273" s="10"/>
    </row>
    <row r="274" ht="15.75" customHeight="1">
      <c r="A274" s="6" t="s">
        <v>1176</v>
      </c>
      <c r="B274" s="7" t="s">
        <v>1177</v>
      </c>
      <c r="C274" s="7"/>
      <c r="D274" s="7"/>
      <c r="E274" s="7">
        <v>0.0</v>
      </c>
      <c r="F274" s="12" t="s">
        <v>1178</v>
      </c>
      <c r="G274" s="7" t="s">
        <v>1179</v>
      </c>
      <c r="H274" s="8" t="s">
        <v>152</v>
      </c>
      <c r="I274" s="8" t="s">
        <v>1180</v>
      </c>
      <c r="J274" s="8" t="str">
        <f t="shared" si="12"/>
        <v>https://inmapper.com/zorlucenter/img/logo/SEVANBIÇAKÇI.png</v>
      </c>
      <c r="K274" s="7" t="s">
        <v>1181</v>
      </c>
      <c r="L274" s="8" t="s">
        <v>155</v>
      </c>
      <c r="M274" s="9"/>
      <c r="N274" s="10"/>
      <c r="O274" s="10"/>
      <c r="P274" s="10"/>
      <c r="Q274" s="10"/>
      <c r="R274" s="10"/>
      <c r="S274" s="10"/>
      <c r="T274" s="10"/>
      <c r="U274" s="10"/>
      <c r="V274" s="10"/>
      <c r="W274" s="10"/>
      <c r="X274" s="10"/>
      <c r="Y274" s="10"/>
      <c r="Z274" s="10"/>
    </row>
    <row r="275" ht="15.75" customHeight="1">
      <c r="A275" s="6" t="s">
        <v>1182</v>
      </c>
      <c r="B275" s="7" t="s">
        <v>1183</v>
      </c>
      <c r="C275" s="7"/>
      <c r="D275" s="7"/>
      <c r="E275" s="7">
        <v>0.0</v>
      </c>
      <c r="F275" s="12" t="s">
        <v>1184</v>
      </c>
      <c r="G275" s="7" t="s">
        <v>1185</v>
      </c>
      <c r="H275" s="8" t="s">
        <v>122</v>
      </c>
      <c r="I275" s="8" t="s">
        <v>1186</v>
      </c>
      <c r="J275" s="13" t="str">
        <f t="shared" si="12"/>
        <v>https://inmapper.com/zorlucenter/img/logo/VALERON.png</v>
      </c>
      <c r="K275" s="9" t="s">
        <v>1187</v>
      </c>
      <c r="L275" s="8" t="s">
        <v>125</v>
      </c>
      <c r="M275" s="9"/>
      <c r="N275" s="10"/>
      <c r="O275" s="10"/>
      <c r="P275" s="10"/>
      <c r="Q275" s="10"/>
      <c r="R275" s="10"/>
      <c r="S275" s="10"/>
      <c r="T275" s="10"/>
      <c r="U275" s="10"/>
      <c r="V275" s="10"/>
      <c r="W275" s="10"/>
      <c r="X275" s="10"/>
      <c r="Y275" s="10"/>
      <c r="Z275" s="10"/>
    </row>
    <row r="276" ht="15.75" customHeight="1">
      <c r="A276" s="6" t="s">
        <v>1188</v>
      </c>
      <c r="B276" s="7" t="s">
        <v>1189</v>
      </c>
      <c r="C276" s="7"/>
      <c r="D276" s="7"/>
      <c r="E276" s="7">
        <v>0.0</v>
      </c>
      <c r="F276" s="12" t="s">
        <v>1190</v>
      </c>
      <c r="G276" s="7" t="s">
        <v>1191</v>
      </c>
      <c r="H276" s="8" t="s">
        <v>152</v>
      </c>
      <c r="I276" s="8" t="s">
        <v>1192</v>
      </c>
      <c r="J276" s="13" t="str">
        <f t="shared" si="12"/>
        <v>https://inmapper.com/zorlucenter/img/logo/ROTAP.png</v>
      </c>
      <c r="K276" s="7" t="s">
        <v>1193</v>
      </c>
      <c r="L276" s="8" t="s">
        <v>155</v>
      </c>
      <c r="M276" s="9"/>
      <c r="N276" s="10"/>
      <c r="O276" s="10"/>
      <c r="P276" s="10"/>
      <c r="Q276" s="10"/>
      <c r="R276" s="10"/>
      <c r="S276" s="10"/>
      <c r="T276" s="10"/>
      <c r="U276" s="10"/>
      <c r="V276" s="10"/>
      <c r="W276" s="10"/>
      <c r="X276" s="10"/>
      <c r="Y276" s="10"/>
      <c r="Z276" s="10"/>
    </row>
    <row r="277" ht="15.75" customHeight="1">
      <c r="A277" s="6" t="s">
        <v>1194</v>
      </c>
      <c r="B277" s="7" t="s">
        <v>1195</v>
      </c>
      <c r="C277" s="7"/>
      <c r="D277" s="7"/>
      <c r="E277" s="7">
        <v>0.0</v>
      </c>
      <c r="F277" s="17" t="s">
        <v>1196</v>
      </c>
      <c r="G277" s="7" t="s">
        <v>1197</v>
      </c>
      <c r="H277" s="8" t="s">
        <v>122</v>
      </c>
      <c r="I277" s="8" t="s">
        <v>1198</v>
      </c>
      <c r="J277" s="13" t="str">
        <f t="shared" si="12"/>
        <v>https://inmapper.com/zorlucenter/img/logo/SIRMAISON.png</v>
      </c>
      <c r="K277" s="7" t="s">
        <v>1199</v>
      </c>
      <c r="L277" s="8" t="s">
        <v>125</v>
      </c>
      <c r="M277" s="9"/>
      <c r="N277" s="10"/>
      <c r="O277" s="10"/>
      <c r="P277" s="10"/>
      <c r="Q277" s="10"/>
      <c r="R277" s="10"/>
      <c r="S277" s="10"/>
      <c r="T277" s="10"/>
      <c r="U277" s="10"/>
      <c r="V277" s="10"/>
      <c r="W277" s="10"/>
      <c r="X277" s="10"/>
      <c r="Y277" s="10"/>
      <c r="Z277" s="10"/>
    </row>
    <row r="278" ht="15.75" customHeight="1">
      <c r="A278" s="6" t="s">
        <v>1200</v>
      </c>
      <c r="B278" s="7" t="s">
        <v>1201</v>
      </c>
      <c r="C278" s="7"/>
      <c r="D278" s="7"/>
      <c r="E278" s="7">
        <v>0.0</v>
      </c>
      <c r="F278" s="12" t="s">
        <v>1202</v>
      </c>
      <c r="G278" s="7" t="s">
        <v>1203</v>
      </c>
      <c r="H278" s="8" t="s">
        <v>152</v>
      </c>
      <c r="I278" s="8" t="s">
        <v>1204</v>
      </c>
      <c r="J278" s="13" t="str">
        <f t="shared" si="12"/>
        <v>https://inmapper.com/zorlucenter/img/logo/KAFKAS.png</v>
      </c>
      <c r="K278" s="7" t="s">
        <v>1205</v>
      </c>
      <c r="L278" s="8" t="s">
        <v>155</v>
      </c>
      <c r="M278" s="9"/>
      <c r="N278" s="10"/>
      <c r="O278" s="10"/>
      <c r="P278" s="10"/>
      <c r="Q278" s="10"/>
      <c r="R278" s="10"/>
      <c r="S278" s="10"/>
      <c r="T278" s="10"/>
      <c r="U278" s="10"/>
      <c r="V278" s="10"/>
      <c r="W278" s="10"/>
      <c r="X278" s="10"/>
      <c r="Y278" s="10"/>
      <c r="Z278" s="10"/>
    </row>
    <row r="279" ht="15.75" customHeight="1">
      <c r="A279" s="6" t="s">
        <v>1206</v>
      </c>
      <c r="B279" s="7" t="s">
        <v>1207</v>
      </c>
      <c r="C279" s="7"/>
      <c r="D279" s="7"/>
      <c r="E279" s="7">
        <v>0.0</v>
      </c>
      <c r="F279" s="12" t="s">
        <v>1208</v>
      </c>
      <c r="G279" s="18" t="s">
        <v>1209</v>
      </c>
      <c r="H279" s="8" t="s">
        <v>152</v>
      </c>
      <c r="I279" s="8" t="s">
        <v>1210</v>
      </c>
      <c r="J279" s="13" t="str">
        <f t="shared" si="12"/>
        <v>https://inmapper.com/zorlucenter/img/logo/GREENWICH.png</v>
      </c>
      <c r="K279" s="7" t="s">
        <v>1211</v>
      </c>
      <c r="L279" s="8" t="s">
        <v>155</v>
      </c>
      <c r="M279" s="9"/>
      <c r="N279" s="10"/>
      <c r="O279" s="10"/>
      <c r="P279" s="10"/>
      <c r="Q279" s="10"/>
      <c r="R279" s="10"/>
      <c r="S279" s="10"/>
      <c r="T279" s="10"/>
      <c r="U279" s="10"/>
      <c r="V279" s="10"/>
      <c r="W279" s="10"/>
      <c r="X279" s="10"/>
      <c r="Y279" s="10"/>
      <c r="Z279" s="10"/>
    </row>
    <row r="280" ht="15.75" customHeight="1">
      <c r="A280" s="6" t="s">
        <v>1212</v>
      </c>
      <c r="B280" s="7" t="s">
        <v>1213</v>
      </c>
      <c r="C280" s="7"/>
      <c r="D280" s="7"/>
      <c r="E280" s="7">
        <v>0.0</v>
      </c>
      <c r="F280" s="7" t="s">
        <v>15</v>
      </c>
      <c r="G280" s="18" t="s">
        <v>1209</v>
      </c>
      <c r="H280" s="8" t="s">
        <v>152</v>
      </c>
      <c r="I280" s="8"/>
      <c r="J280" s="14" t="s">
        <v>1214</v>
      </c>
      <c r="K280" s="7"/>
      <c r="L280" s="8" t="s">
        <v>155</v>
      </c>
      <c r="M280" s="9"/>
      <c r="N280" s="10"/>
      <c r="O280" s="10"/>
      <c r="P280" s="10"/>
      <c r="Q280" s="10"/>
      <c r="R280" s="10"/>
      <c r="S280" s="10"/>
      <c r="T280" s="10"/>
      <c r="U280" s="10"/>
      <c r="V280" s="10"/>
      <c r="W280" s="10"/>
      <c r="X280" s="10"/>
      <c r="Y280" s="10"/>
      <c r="Z280" s="10"/>
    </row>
    <row r="281" ht="15.75" customHeight="1">
      <c r="A281" s="6" t="s">
        <v>1212</v>
      </c>
      <c r="B281" s="7" t="s">
        <v>1215</v>
      </c>
      <c r="C281" s="7"/>
      <c r="D281" s="7"/>
      <c r="E281" s="7">
        <v>0.0</v>
      </c>
      <c r="F281" s="7" t="s">
        <v>15</v>
      </c>
      <c r="G281" s="18" t="s">
        <v>1209</v>
      </c>
      <c r="H281" s="8" t="s">
        <v>152</v>
      </c>
      <c r="I281" s="8"/>
      <c r="J281" s="14" t="s">
        <v>1216</v>
      </c>
      <c r="K281" s="7"/>
      <c r="L281" s="8" t="s">
        <v>155</v>
      </c>
      <c r="M281" s="9"/>
      <c r="N281" s="10"/>
      <c r="O281" s="10"/>
      <c r="P281" s="10"/>
      <c r="Q281" s="10"/>
      <c r="R281" s="10"/>
      <c r="S281" s="10"/>
      <c r="T281" s="10"/>
      <c r="U281" s="10"/>
      <c r="V281" s="10"/>
      <c r="W281" s="10"/>
      <c r="X281" s="10"/>
      <c r="Y281" s="10"/>
      <c r="Z281" s="10"/>
    </row>
    <row r="282" ht="15.75" customHeight="1">
      <c r="A282" s="6" t="s">
        <v>1217</v>
      </c>
      <c r="B282" s="7" t="s">
        <v>1218</v>
      </c>
      <c r="C282" s="7"/>
      <c r="D282" s="7"/>
      <c r="E282" s="7">
        <v>0.0</v>
      </c>
      <c r="F282" s="12" t="s">
        <v>1208</v>
      </c>
      <c r="G282" s="18" t="s">
        <v>1219</v>
      </c>
      <c r="H282" s="8" t="s">
        <v>152</v>
      </c>
      <c r="I282" s="8" t="s">
        <v>1220</v>
      </c>
      <c r="J282" s="13" t="str">
        <f t="shared" ref="J282:J286" si="13">CONCATENATE($M$1,$K282)</f>
        <v>https://inmapper.com/zorlucenter/img/logo/FRANCKMULLER.png</v>
      </c>
      <c r="K282" s="7" t="s">
        <v>1221</v>
      </c>
      <c r="L282" s="8" t="s">
        <v>155</v>
      </c>
      <c r="M282" s="9"/>
      <c r="N282" s="10"/>
      <c r="O282" s="10"/>
      <c r="P282" s="10"/>
      <c r="Q282" s="10"/>
      <c r="R282" s="10"/>
      <c r="S282" s="10"/>
      <c r="T282" s="10"/>
      <c r="U282" s="10"/>
      <c r="V282" s="10"/>
      <c r="W282" s="10"/>
      <c r="X282" s="10"/>
      <c r="Y282" s="10"/>
      <c r="Z282" s="10"/>
    </row>
    <row r="283" ht="15.75" customHeight="1">
      <c r="A283" s="6" t="s">
        <v>1222</v>
      </c>
      <c r="B283" s="7" t="s">
        <v>1223</v>
      </c>
      <c r="C283" s="7"/>
      <c r="D283" s="7"/>
      <c r="E283" s="7">
        <v>0.0</v>
      </c>
      <c r="F283" s="12" t="s">
        <v>1224</v>
      </c>
      <c r="G283" s="18" t="s">
        <v>1225</v>
      </c>
      <c r="H283" s="8" t="s">
        <v>184</v>
      </c>
      <c r="I283" s="8"/>
      <c r="J283" s="13" t="str">
        <f t="shared" si="13"/>
        <v>https://inmapper.com/zorlucenter/img/logo/LEBARON.png</v>
      </c>
      <c r="K283" s="7" t="s">
        <v>1226</v>
      </c>
      <c r="L283" s="8" t="s">
        <v>187</v>
      </c>
      <c r="M283" s="9"/>
      <c r="N283" s="10"/>
      <c r="O283" s="10"/>
      <c r="P283" s="10"/>
      <c r="Q283" s="10"/>
      <c r="R283" s="10"/>
      <c r="S283" s="10"/>
      <c r="T283" s="10"/>
      <c r="U283" s="10"/>
      <c r="V283" s="10"/>
      <c r="W283" s="10"/>
      <c r="X283" s="10"/>
      <c r="Y283" s="10"/>
      <c r="Z283" s="10"/>
    </row>
    <row r="284" ht="15.75" customHeight="1">
      <c r="A284" s="6" t="s">
        <v>1227</v>
      </c>
      <c r="B284" s="7" t="s">
        <v>1228</v>
      </c>
      <c r="C284" s="7"/>
      <c r="D284" s="7"/>
      <c r="E284" s="7">
        <v>0.0</v>
      </c>
      <c r="F284" s="12" t="s">
        <v>1229</v>
      </c>
      <c r="G284" s="7" t="s">
        <v>1230</v>
      </c>
      <c r="H284" s="8" t="s">
        <v>152</v>
      </c>
      <c r="I284" s="8" t="s">
        <v>1231</v>
      </c>
      <c r="J284" s="13" t="str">
        <f t="shared" si="13"/>
        <v>https://inmapper.com/zorlucenter/img/logo/MER'S.png</v>
      </c>
      <c r="K284" s="7" t="s">
        <v>1232</v>
      </c>
      <c r="L284" s="8" t="s">
        <v>155</v>
      </c>
      <c r="M284" s="9"/>
      <c r="N284" s="10"/>
      <c r="O284" s="10"/>
      <c r="P284" s="10"/>
      <c r="Q284" s="10"/>
      <c r="R284" s="10"/>
      <c r="S284" s="10"/>
      <c r="T284" s="10"/>
      <c r="U284" s="10"/>
      <c r="V284" s="10"/>
      <c r="W284" s="10"/>
      <c r="X284" s="10"/>
      <c r="Y284" s="10"/>
      <c r="Z284" s="10"/>
    </row>
    <row r="285" ht="15.75" customHeight="1">
      <c r="A285" s="6" t="s">
        <v>1233</v>
      </c>
      <c r="B285" s="7" t="s">
        <v>1234</v>
      </c>
      <c r="C285" s="7"/>
      <c r="D285" s="7"/>
      <c r="E285" s="7">
        <v>0.0</v>
      </c>
      <c r="F285" s="12" t="s">
        <v>1235</v>
      </c>
      <c r="G285" s="7" t="s">
        <v>1155</v>
      </c>
      <c r="H285" s="8" t="s">
        <v>152</v>
      </c>
      <c r="I285" s="8" t="s">
        <v>1236</v>
      </c>
      <c r="J285" s="13" t="str">
        <f t="shared" si="13"/>
        <v>https://inmapper.com/zorlucenter/img/logo/URART.png</v>
      </c>
      <c r="K285" s="7" t="s">
        <v>1237</v>
      </c>
      <c r="L285" s="8" t="s">
        <v>155</v>
      </c>
      <c r="M285" s="9"/>
      <c r="N285" s="10"/>
      <c r="O285" s="10"/>
      <c r="P285" s="10"/>
      <c r="Q285" s="10"/>
      <c r="R285" s="10"/>
      <c r="S285" s="10"/>
      <c r="T285" s="10"/>
      <c r="U285" s="10"/>
      <c r="V285" s="10"/>
      <c r="W285" s="10"/>
      <c r="X285" s="10"/>
      <c r="Y285" s="10"/>
      <c r="Z285" s="10"/>
    </row>
    <row r="286" ht="15.75" customHeight="1">
      <c r="A286" s="6" t="s">
        <v>1238</v>
      </c>
      <c r="B286" s="7" t="s">
        <v>1239</v>
      </c>
      <c r="C286" s="7"/>
      <c r="D286" s="7"/>
      <c r="E286" s="7">
        <v>0.0</v>
      </c>
      <c r="F286" s="17" t="s">
        <v>1240</v>
      </c>
      <c r="G286" s="7" t="s">
        <v>1241</v>
      </c>
      <c r="H286" s="8" t="s">
        <v>152</v>
      </c>
      <c r="I286" s="13" t="s">
        <v>1242</v>
      </c>
      <c r="J286" s="13" t="str">
        <f t="shared" si="13"/>
        <v>https://inmapper.com/zorlucenter/img/logo/ANLIJEWELRY.png</v>
      </c>
      <c r="K286" s="9" t="s">
        <v>1243</v>
      </c>
      <c r="L286" s="8" t="s">
        <v>155</v>
      </c>
      <c r="M286" s="9"/>
      <c r="N286" s="10"/>
      <c r="O286" s="10"/>
      <c r="P286" s="10"/>
      <c r="Q286" s="10"/>
      <c r="R286" s="10"/>
      <c r="S286" s="10"/>
      <c r="T286" s="10"/>
      <c r="U286" s="10"/>
      <c r="V286" s="10"/>
      <c r="W286" s="10"/>
      <c r="X286" s="10"/>
      <c r="Y286" s="10"/>
      <c r="Z286" s="10"/>
    </row>
    <row r="287" ht="15.75" customHeight="1">
      <c r="A287" s="6" t="s">
        <v>1244</v>
      </c>
      <c r="B287" s="7" t="s">
        <v>1245</v>
      </c>
      <c r="C287" s="7"/>
      <c r="D287" s="7"/>
      <c r="E287" s="7">
        <v>0.0</v>
      </c>
      <c r="F287" s="12" t="s">
        <v>1246</v>
      </c>
      <c r="G287" s="7" t="s">
        <v>1155</v>
      </c>
      <c r="H287" s="8" t="s">
        <v>152</v>
      </c>
      <c r="I287" s="14" t="s">
        <v>1247</v>
      </c>
      <c r="J287" s="13" t="s">
        <v>1248</v>
      </c>
      <c r="K287" s="9"/>
      <c r="L287" s="8" t="s">
        <v>155</v>
      </c>
      <c r="M287" s="9"/>
      <c r="N287" s="10"/>
      <c r="O287" s="10"/>
      <c r="P287" s="10"/>
      <c r="Q287" s="10"/>
      <c r="R287" s="10"/>
      <c r="S287" s="10"/>
      <c r="T287" s="10"/>
      <c r="U287" s="10"/>
      <c r="V287" s="10"/>
      <c r="W287" s="10"/>
      <c r="X287" s="10"/>
      <c r="Y287" s="10"/>
      <c r="Z287" s="10"/>
    </row>
    <row r="288" ht="15.75" customHeight="1">
      <c r="A288" s="6" t="s">
        <v>1249</v>
      </c>
      <c r="B288" s="7" t="s">
        <v>1250</v>
      </c>
      <c r="C288" s="7"/>
      <c r="D288" s="7"/>
      <c r="E288" s="7">
        <v>0.0</v>
      </c>
      <c r="F288" s="12" t="s">
        <v>1251</v>
      </c>
      <c r="G288" s="18" t="s">
        <v>1252</v>
      </c>
      <c r="H288" s="8" t="s">
        <v>152</v>
      </c>
      <c r="I288" s="8" t="s">
        <v>1253</v>
      </c>
      <c r="J288" s="13" t="str">
        <f t="shared" ref="J288:J298" si="14">CONCATENATE($M$1,$K288)</f>
        <v>https://inmapper.com/zorlucenter/img/logo/MONTBLANC.png</v>
      </c>
      <c r="K288" s="7" t="s">
        <v>1254</v>
      </c>
      <c r="L288" s="8" t="s">
        <v>155</v>
      </c>
      <c r="M288" s="9"/>
      <c r="N288" s="10"/>
      <c r="O288" s="10"/>
      <c r="P288" s="10"/>
      <c r="Q288" s="10"/>
      <c r="R288" s="10"/>
      <c r="S288" s="10"/>
      <c r="T288" s="10"/>
      <c r="U288" s="10"/>
      <c r="V288" s="10"/>
      <c r="W288" s="10"/>
      <c r="X288" s="10"/>
      <c r="Y288" s="10"/>
      <c r="Z288" s="10"/>
    </row>
    <row r="289" ht="15.75" customHeight="1">
      <c r="A289" s="6" t="s">
        <v>1255</v>
      </c>
      <c r="B289" s="7" t="s">
        <v>1256</v>
      </c>
      <c r="C289" s="7"/>
      <c r="D289" s="7"/>
      <c r="E289" s="7">
        <v>0.0</v>
      </c>
      <c r="F289" s="12" t="s">
        <v>1257</v>
      </c>
      <c r="G289" s="7" t="s">
        <v>1258</v>
      </c>
      <c r="H289" s="8" t="s">
        <v>176</v>
      </c>
      <c r="I289" s="8" t="s">
        <v>1259</v>
      </c>
      <c r="J289" s="13" t="str">
        <f t="shared" si="14"/>
        <v>https://inmapper.com/zorlucenter/img/logo/KWANPEN.png</v>
      </c>
      <c r="K289" s="7" t="s">
        <v>1260</v>
      </c>
      <c r="L289" s="8" t="s">
        <v>179</v>
      </c>
      <c r="M289" s="9"/>
      <c r="N289" s="10"/>
      <c r="O289" s="10"/>
      <c r="P289" s="10"/>
      <c r="Q289" s="10"/>
      <c r="R289" s="10"/>
      <c r="S289" s="10"/>
      <c r="T289" s="10"/>
      <c r="U289" s="10"/>
      <c r="V289" s="10"/>
      <c r="W289" s="10"/>
      <c r="X289" s="10"/>
      <c r="Y289" s="10"/>
      <c r="Z289" s="10"/>
    </row>
    <row r="290" ht="15.75" customHeight="1">
      <c r="A290" s="6" t="s">
        <v>1261</v>
      </c>
      <c r="B290" s="7" t="s">
        <v>1262</v>
      </c>
      <c r="C290" s="7"/>
      <c r="D290" s="7"/>
      <c r="E290" s="7">
        <v>0.0</v>
      </c>
      <c r="F290" s="12" t="s">
        <v>1263</v>
      </c>
      <c r="G290" s="7" t="s">
        <v>1155</v>
      </c>
      <c r="H290" s="8" t="s">
        <v>152</v>
      </c>
      <c r="I290" s="8" t="s">
        <v>1242</v>
      </c>
      <c r="J290" s="13" t="str">
        <f t="shared" si="14"/>
        <v>https://inmapper.com/zorlucenter/img/logo/ATİLLAKARAT.png</v>
      </c>
      <c r="K290" s="7" t="s">
        <v>1264</v>
      </c>
      <c r="L290" s="8" t="s">
        <v>155</v>
      </c>
      <c r="M290" s="9"/>
      <c r="N290" s="10"/>
      <c r="O290" s="10"/>
      <c r="P290" s="10"/>
      <c r="Q290" s="10"/>
      <c r="R290" s="10"/>
      <c r="S290" s="10"/>
      <c r="T290" s="10"/>
      <c r="U290" s="10"/>
      <c r="V290" s="10"/>
      <c r="W290" s="10"/>
      <c r="X290" s="10"/>
      <c r="Y290" s="10"/>
      <c r="Z290" s="10"/>
    </row>
    <row r="291" ht="15.75" customHeight="1">
      <c r="A291" s="6" t="s">
        <v>1265</v>
      </c>
      <c r="B291" s="7" t="s">
        <v>1266</v>
      </c>
      <c r="C291" s="7"/>
      <c r="D291" s="7"/>
      <c r="E291" s="7">
        <v>0.0</v>
      </c>
      <c r="F291" s="12" t="s">
        <v>1267</v>
      </c>
      <c r="G291" s="7" t="s">
        <v>1268</v>
      </c>
      <c r="H291" s="8" t="s">
        <v>152</v>
      </c>
      <c r="I291" s="8" t="s">
        <v>1269</v>
      </c>
      <c r="J291" s="13" t="str">
        <f t="shared" si="14"/>
        <v>https://inmapper.com/zorlucenter/img/logo/SPONZA.png</v>
      </c>
      <c r="K291" s="7" t="s">
        <v>1270</v>
      </c>
      <c r="L291" s="8" t="s">
        <v>155</v>
      </c>
      <c r="M291" s="9"/>
      <c r="N291" s="10"/>
      <c r="O291" s="10"/>
      <c r="P291" s="10"/>
      <c r="Q291" s="10"/>
      <c r="R291" s="10"/>
      <c r="S291" s="10"/>
      <c r="T291" s="10"/>
      <c r="U291" s="10"/>
      <c r="V291" s="10"/>
      <c r="W291" s="10"/>
      <c r="X291" s="10"/>
      <c r="Y291" s="10"/>
      <c r="Z291" s="10"/>
    </row>
    <row r="292" ht="15.75" customHeight="1">
      <c r="A292" s="6" t="s">
        <v>1271</v>
      </c>
      <c r="B292" s="7" t="s">
        <v>1272</v>
      </c>
      <c r="C292" s="7"/>
      <c r="D292" s="7"/>
      <c r="E292" s="7">
        <v>0.0</v>
      </c>
      <c r="F292" s="12" t="s">
        <v>1273</v>
      </c>
      <c r="G292" s="18" t="s">
        <v>1274</v>
      </c>
      <c r="H292" s="8" t="s">
        <v>152</v>
      </c>
      <c r="I292" s="8" t="s">
        <v>1275</v>
      </c>
      <c r="J292" s="13" t="str">
        <f t="shared" si="14"/>
        <v>https://inmapper.com/zorlucenter/img/logo/BVLGARI.png</v>
      </c>
      <c r="K292" s="7" t="s">
        <v>1276</v>
      </c>
      <c r="L292" s="8" t="s">
        <v>155</v>
      </c>
      <c r="M292" s="9"/>
      <c r="N292" s="10"/>
      <c r="O292" s="10"/>
      <c r="P292" s="10"/>
      <c r="Q292" s="10"/>
      <c r="R292" s="10"/>
      <c r="S292" s="10"/>
      <c r="T292" s="10"/>
      <c r="U292" s="10"/>
      <c r="V292" s="10"/>
      <c r="W292" s="10"/>
      <c r="X292" s="10"/>
      <c r="Y292" s="10"/>
      <c r="Z292" s="10"/>
    </row>
    <row r="293" ht="15.75" customHeight="1">
      <c r="A293" s="6" t="s">
        <v>1277</v>
      </c>
      <c r="B293" s="7" t="s">
        <v>1278</v>
      </c>
      <c r="C293" s="7"/>
      <c r="D293" s="7"/>
      <c r="E293" s="7">
        <v>0.0</v>
      </c>
      <c r="F293" s="12" t="s">
        <v>1279</v>
      </c>
      <c r="G293" s="7" t="s">
        <v>1280</v>
      </c>
      <c r="H293" s="8" t="s">
        <v>160</v>
      </c>
      <c r="I293" s="7" t="s">
        <v>1281</v>
      </c>
      <c r="J293" s="13" t="str">
        <f t="shared" si="14"/>
        <v>https://inmapper.com/zorlucenter/img/logo/LOUISVUITTON.png</v>
      </c>
      <c r="K293" s="7" t="s">
        <v>1282</v>
      </c>
      <c r="L293" s="8" t="s">
        <v>163</v>
      </c>
      <c r="M293" s="9"/>
      <c r="N293" s="10"/>
      <c r="O293" s="10"/>
      <c r="P293" s="10"/>
      <c r="Q293" s="10"/>
      <c r="R293" s="10"/>
      <c r="S293" s="10"/>
      <c r="T293" s="10"/>
      <c r="U293" s="10"/>
      <c r="V293" s="10"/>
      <c r="W293" s="10"/>
      <c r="X293" s="10"/>
      <c r="Y293" s="10"/>
      <c r="Z293" s="10"/>
    </row>
    <row r="294" ht="15.75" customHeight="1">
      <c r="A294" s="6" t="s">
        <v>1283</v>
      </c>
      <c r="B294" s="7" t="s">
        <v>1284</v>
      </c>
      <c r="C294" s="7"/>
      <c r="D294" s="7"/>
      <c r="E294" s="7">
        <v>0.0</v>
      </c>
      <c r="F294" s="12" t="s">
        <v>1285</v>
      </c>
      <c r="G294" s="7" t="s">
        <v>1286</v>
      </c>
      <c r="H294" s="8" t="s">
        <v>160</v>
      </c>
      <c r="I294" s="8" t="s">
        <v>1287</v>
      </c>
      <c r="J294" s="13" t="str">
        <f t="shared" si="14"/>
        <v>https://inmapper.com/zorlucenter/img/logo/FENDI.png</v>
      </c>
      <c r="K294" s="7" t="s">
        <v>1288</v>
      </c>
      <c r="L294" s="8" t="s">
        <v>163</v>
      </c>
      <c r="M294" s="9"/>
      <c r="N294" s="10"/>
      <c r="O294" s="10"/>
      <c r="P294" s="10"/>
      <c r="Q294" s="10"/>
      <c r="R294" s="10"/>
      <c r="S294" s="10"/>
      <c r="T294" s="10"/>
      <c r="U294" s="10"/>
      <c r="V294" s="10"/>
      <c r="W294" s="10"/>
      <c r="X294" s="10"/>
      <c r="Y294" s="10"/>
      <c r="Z294" s="10"/>
    </row>
    <row r="295" ht="15.75" customHeight="1">
      <c r="A295" s="6" t="s">
        <v>1289</v>
      </c>
      <c r="B295" s="7" t="s">
        <v>1290</v>
      </c>
      <c r="C295" s="7"/>
      <c r="D295" s="7"/>
      <c r="E295" s="7">
        <v>0.0</v>
      </c>
      <c r="F295" s="12" t="s">
        <v>1291</v>
      </c>
      <c r="G295" s="7" t="s">
        <v>1292</v>
      </c>
      <c r="H295" s="8" t="s">
        <v>160</v>
      </c>
      <c r="I295" s="8" t="s">
        <v>1293</v>
      </c>
      <c r="J295" s="13" t="str">
        <f t="shared" si="14"/>
        <v>https://inmapper.com/zorlucenter/img/logo/DIOR.png</v>
      </c>
      <c r="K295" s="7" t="s">
        <v>1294</v>
      </c>
      <c r="L295" s="8" t="s">
        <v>163</v>
      </c>
      <c r="M295" s="9"/>
      <c r="N295" s="10"/>
      <c r="O295" s="10"/>
      <c r="P295" s="10"/>
      <c r="Q295" s="10"/>
      <c r="R295" s="10"/>
      <c r="S295" s="10"/>
      <c r="T295" s="10"/>
      <c r="U295" s="10"/>
      <c r="V295" s="10"/>
      <c r="W295" s="10"/>
      <c r="X295" s="10"/>
      <c r="Y295" s="10"/>
      <c r="Z295" s="10"/>
    </row>
    <row r="296" ht="15.75" customHeight="1">
      <c r="A296" s="6" t="s">
        <v>1295</v>
      </c>
      <c r="B296" s="7" t="s">
        <v>1296</v>
      </c>
      <c r="C296" s="7"/>
      <c r="D296" s="7"/>
      <c r="E296" s="7">
        <v>0.0</v>
      </c>
      <c r="F296" s="12" t="s">
        <v>1297</v>
      </c>
      <c r="G296" s="7" t="s">
        <v>1298</v>
      </c>
      <c r="H296" s="8" t="s">
        <v>184</v>
      </c>
      <c r="I296" s="8" t="s">
        <v>1299</v>
      </c>
      <c r="J296" s="13" t="str">
        <f t="shared" si="14"/>
        <v>https://inmapper.com/zorlucenter/img/logo/PARLE.png</v>
      </c>
      <c r="K296" s="7" t="s">
        <v>1300</v>
      </c>
      <c r="L296" s="8" t="s">
        <v>187</v>
      </c>
      <c r="M296" s="9"/>
      <c r="N296" s="10"/>
      <c r="O296" s="10"/>
      <c r="P296" s="10"/>
      <c r="Q296" s="10"/>
      <c r="R296" s="10"/>
      <c r="S296" s="10"/>
      <c r="T296" s="10"/>
      <c r="U296" s="10"/>
      <c r="V296" s="10"/>
      <c r="W296" s="10"/>
      <c r="X296" s="10"/>
      <c r="Y296" s="10"/>
      <c r="Z296" s="10"/>
    </row>
    <row r="297" ht="15.75" customHeight="1">
      <c r="A297" s="6" t="s">
        <v>1301</v>
      </c>
      <c r="B297" s="7" t="s">
        <v>1302</v>
      </c>
      <c r="C297" s="7"/>
      <c r="D297" s="7"/>
      <c r="E297" s="7">
        <v>0.0</v>
      </c>
      <c r="F297" s="12" t="s">
        <v>1303</v>
      </c>
      <c r="G297" s="7" t="s">
        <v>1304</v>
      </c>
      <c r="H297" s="8" t="s">
        <v>122</v>
      </c>
      <c r="I297" s="8" t="s">
        <v>1305</v>
      </c>
      <c r="J297" s="13" t="str">
        <f t="shared" si="14"/>
        <v>https://inmapper.com/zorlucenter/img/logo/INSIDEFLOWERS.png</v>
      </c>
      <c r="K297" s="7" t="s">
        <v>1306</v>
      </c>
      <c r="L297" s="8" t="s">
        <v>125</v>
      </c>
      <c r="M297" s="9"/>
      <c r="N297" s="10"/>
      <c r="O297" s="10"/>
      <c r="P297" s="10"/>
      <c r="Q297" s="10"/>
      <c r="R297" s="10"/>
      <c r="S297" s="10"/>
      <c r="T297" s="10"/>
      <c r="U297" s="10"/>
      <c r="V297" s="10"/>
      <c r="W297" s="10"/>
      <c r="X297" s="10"/>
      <c r="Y297" s="10"/>
      <c r="Z297" s="10"/>
    </row>
    <row r="298" ht="15.75" customHeight="1">
      <c r="A298" s="6" t="s">
        <v>1307</v>
      </c>
      <c r="B298" s="7" t="s">
        <v>1308</v>
      </c>
      <c r="C298" s="7"/>
      <c r="D298" s="7"/>
      <c r="E298" s="7">
        <v>0.0</v>
      </c>
      <c r="F298" s="12" t="s">
        <v>1309</v>
      </c>
      <c r="G298" s="18" t="s">
        <v>1310</v>
      </c>
      <c r="H298" s="42" t="s">
        <v>395</v>
      </c>
      <c r="I298" s="8" t="s">
        <v>1311</v>
      </c>
      <c r="J298" s="13" t="str">
        <f t="shared" si="14"/>
        <v>https://inmapper.com/zorlucenter/img/logo/FIVEO'CLOCK.png</v>
      </c>
      <c r="K298" s="7" t="s">
        <v>1312</v>
      </c>
      <c r="L298" s="42" t="s">
        <v>397</v>
      </c>
      <c r="M298" s="9"/>
      <c r="N298" s="10"/>
      <c r="O298" s="10"/>
      <c r="P298" s="10"/>
      <c r="Q298" s="10"/>
      <c r="R298" s="10"/>
      <c r="S298" s="10"/>
      <c r="T298" s="10"/>
      <c r="U298" s="10"/>
      <c r="V298" s="10"/>
      <c r="W298" s="10"/>
      <c r="X298" s="10"/>
      <c r="Y298" s="10"/>
      <c r="Z298" s="10"/>
    </row>
    <row r="299" ht="15.75" customHeight="1">
      <c r="A299" s="56" t="s">
        <v>1313</v>
      </c>
      <c r="B299" s="57" t="s">
        <v>1314</v>
      </c>
      <c r="C299" s="58"/>
      <c r="D299" s="58"/>
      <c r="E299" s="58">
        <v>0.0</v>
      </c>
      <c r="F299" s="59" t="s">
        <v>1315</v>
      </c>
      <c r="G299" s="58"/>
      <c r="H299" s="48" t="s">
        <v>160</v>
      </c>
      <c r="I299" s="60" t="s">
        <v>1316</v>
      </c>
      <c r="J299" s="61" t="str">
        <f>CONCATENATE(Doors!$M$1,$K299)</f>
        <v>https://inmapper.com/zorlucenter/img/logo/GUCCI.png</v>
      </c>
      <c r="K299" s="20" t="s">
        <v>1317</v>
      </c>
      <c r="L299" s="48" t="s">
        <v>163</v>
      </c>
      <c r="N299" s="10"/>
      <c r="O299" s="10"/>
      <c r="P299" s="10"/>
      <c r="Q299" s="10"/>
      <c r="R299" s="10"/>
      <c r="S299" s="10"/>
      <c r="T299" s="10"/>
      <c r="U299" s="10"/>
      <c r="V299" s="10"/>
      <c r="W299" s="10"/>
      <c r="X299" s="10"/>
      <c r="Y299" s="10"/>
      <c r="Z299" s="10"/>
    </row>
    <row r="300" ht="15.75" customHeight="1">
      <c r="A300" s="6" t="s">
        <v>1318</v>
      </c>
      <c r="B300" s="7" t="s">
        <v>1319</v>
      </c>
      <c r="C300" s="7"/>
      <c r="D300" s="7"/>
      <c r="E300" s="7">
        <v>0.0</v>
      </c>
      <c r="F300" s="12" t="s">
        <v>1320</v>
      </c>
      <c r="G300" s="7" t="s">
        <v>1321</v>
      </c>
      <c r="H300" s="8" t="s">
        <v>67</v>
      </c>
      <c r="I300" s="7" t="s">
        <v>1322</v>
      </c>
      <c r="J300" s="13" t="str">
        <f t="shared" ref="J300:J303" si="15">CONCATENATE($M$1,$K300)</f>
        <v>https://inmapper.com/zorlucenter/img/logo/JOMALONE.png</v>
      </c>
      <c r="K300" s="7" t="s">
        <v>1323</v>
      </c>
      <c r="L300" s="8" t="s">
        <v>70</v>
      </c>
      <c r="M300" s="9"/>
      <c r="N300" s="10"/>
      <c r="O300" s="10"/>
      <c r="P300" s="10"/>
      <c r="Q300" s="10"/>
      <c r="R300" s="10"/>
      <c r="S300" s="10"/>
      <c r="T300" s="10"/>
      <c r="U300" s="10"/>
      <c r="V300" s="10"/>
      <c r="W300" s="10"/>
      <c r="X300" s="10"/>
      <c r="Y300" s="10"/>
      <c r="Z300" s="10"/>
    </row>
    <row r="301" ht="15.75" customHeight="1">
      <c r="A301" s="6" t="s">
        <v>1324</v>
      </c>
      <c r="B301" s="7" t="s">
        <v>1325</v>
      </c>
      <c r="C301" s="7"/>
      <c r="D301" s="7"/>
      <c r="E301" s="7">
        <v>0.0</v>
      </c>
      <c r="F301" s="12" t="s">
        <v>1326</v>
      </c>
      <c r="G301" s="7" t="s">
        <v>1327</v>
      </c>
      <c r="H301" s="8" t="s">
        <v>160</v>
      </c>
      <c r="I301" s="8" t="s">
        <v>1328</v>
      </c>
      <c r="J301" s="13" t="str">
        <f t="shared" si="15"/>
        <v>https://inmapper.com/zorlucenter/img/logo/BALMAIN.png</v>
      </c>
      <c r="K301" s="7" t="s">
        <v>1329</v>
      </c>
      <c r="L301" s="8" t="s">
        <v>163</v>
      </c>
      <c r="M301" s="9"/>
      <c r="N301" s="10"/>
      <c r="O301" s="10"/>
      <c r="P301" s="10"/>
      <c r="Q301" s="10"/>
      <c r="R301" s="10"/>
      <c r="S301" s="10"/>
      <c r="T301" s="10"/>
      <c r="U301" s="10"/>
      <c r="V301" s="10"/>
      <c r="W301" s="10"/>
      <c r="X301" s="10"/>
      <c r="Y301" s="10"/>
      <c r="Z301" s="10"/>
    </row>
    <row r="302" ht="15.75" customHeight="1">
      <c r="A302" s="6" t="s">
        <v>1330</v>
      </c>
      <c r="B302" s="7" t="s">
        <v>1331</v>
      </c>
      <c r="C302" s="7"/>
      <c r="D302" s="7"/>
      <c r="E302" s="7">
        <v>0.0</v>
      </c>
      <c r="F302" s="12" t="s">
        <v>1332</v>
      </c>
      <c r="G302" s="7" t="s">
        <v>1333</v>
      </c>
      <c r="H302" s="8" t="s">
        <v>160</v>
      </c>
      <c r="I302" s="8" t="s">
        <v>1334</v>
      </c>
      <c r="J302" s="13" t="str">
        <f t="shared" si="15"/>
        <v>https://inmapper.com/zorlucenter/img/logo/MIUMIU.png</v>
      </c>
      <c r="K302" s="7" t="s">
        <v>1335</v>
      </c>
      <c r="L302" s="8" t="s">
        <v>163</v>
      </c>
      <c r="M302" s="9"/>
      <c r="N302" s="10"/>
      <c r="O302" s="10"/>
      <c r="P302" s="10"/>
      <c r="Q302" s="10"/>
      <c r="R302" s="10"/>
      <c r="S302" s="10"/>
      <c r="T302" s="10"/>
      <c r="U302" s="10"/>
      <c r="V302" s="10"/>
      <c r="W302" s="10"/>
      <c r="X302" s="10"/>
      <c r="Y302" s="10"/>
      <c r="Z302" s="10"/>
    </row>
    <row r="303" ht="15.75" customHeight="1">
      <c r="A303" s="6" t="s">
        <v>1336</v>
      </c>
      <c r="B303" s="7" t="s">
        <v>1337</v>
      </c>
      <c r="C303" s="7"/>
      <c r="D303" s="7"/>
      <c r="E303" s="7">
        <v>0.0</v>
      </c>
      <c r="F303" s="12" t="s">
        <v>1338</v>
      </c>
      <c r="G303" s="7" t="s">
        <v>1339</v>
      </c>
      <c r="H303" s="42" t="s">
        <v>395</v>
      </c>
      <c r="I303" s="8" t="s">
        <v>1340</v>
      </c>
      <c r="J303" s="13" t="str">
        <f t="shared" si="15"/>
        <v>https://inmapper.com/zorlucenter/img/logo/GODIVA.png</v>
      </c>
      <c r="K303" s="7" t="s">
        <v>1341</v>
      </c>
      <c r="L303" s="42" t="s">
        <v>397</v>
      </c>
      <c r="M303" s="9"/>
      <c r="N303" s="10"/>
      <c r="O303" s="10"/>
      <c r="P303" s="10"/>
      <c r="Q303" s="10"/>
      <c r="R303" s="10"/>
      <c r="S303" s="10"/>
      <c r="T303" s="10"/>
      <c r="U303" s="10"/>
      <c r="V303" s="10"/>
      <c r="W303" s="10"/>
      <c r="X303" s="10"/>
      <c r="Y303" s="10"/>
      <c r="Z303" s="10"/>
    </row>
    <row r="304" ht="15.75" customHeight="1">
      <c r="A304" s="6" t="s">
        <v>1342</v>
      </c>
      <c r="B304" s="7" t="s">
        <v>114</v>
      </c>
      <c r="C304" s="7" t="s">
        <v>1343</v>
      </c>
      <c r="D304" s="7"/>
      <c r="E304" s="7">
        <v>0.0</v>
      </c>
      <c r="F304" s="12" t="s">
        <v>116</v>
      </c>
      <c r="G304" s="7" t="s">
        <v>117</v>
      </c>
      <c r="H304" s="8" t="s">
        <v>41</v>
      </c>
      <c r="I304" s="8"/>
      <c r="J304" s="8"/>
      <c r="K304" s="7"/>
      <c r="L304" s="8" t="s">
        <v>44</v>
      </c>
      <c r="M304" s="9"/>
      <c r="N304" s="10"/>
      <c r="O304" s="10"/>
      <c r="P304" s="10"/>
      <c r="Q304" s="10"/>
      <c r="R304" s="10"/>
      <c r="S304" s="10"/>
      <c r="T304" s="10"/>
      <c r="U304" s="10"/>
      <c r="V304" s="10"/>
      <c r="W304" s="10"/>
      <c r="X304" s="10"/>
      <c r="Y304" s="10"/>
      <c r="Z304" s="10"/>
    </row>
    <row r="305" ht="15.75" customHeight="1">
      <c r="A305" s="6" t="s">
        <v>1344</v>
      </c>
      <c r="B305" s="7" t="s">
        <v>1345</v>
      </c>
      <c r="C305" s="7"/>
      <c r="D305" s="7"/>
      <c r="E305" s="7">
        <v>0.0</v>
      </c>
      <c r="F305" s="12" t="s">
        <v>1346</v>
      </c>
      <c r="G305" s="7" t="s">
        <v>1347</v>
      </c>
      <c r="H305" s="8"/>
      <c r="I305" s="8"/>
      <c r="J305" s="8"/>
      <c r="K305" s="7"/>
      <c r="L305" s="8"/>
      <c r="M305" s="9"/>
      <c r="N305" s="10"/>
      <c r="O305" s="10"/>
      <c r="P305" s="10"/>
      <c r="Q305" s="10"/>
      <c r="R305" s="10"/>
      <c r="S305" s="10"/>
      <c r="T305" s="10"/>
      <c r="U305" s="10"/>
      <c r="V305" s="10"/>
      <c r="W305" s="10"/>
      <c r="X305" s="10"/>
      <c r="Y305" s="10"/>
      <c r="Z305" s="10"/>
    </row>
    <row r="306" ht="15.75" customHeight="1">
      <c r="A306" s="21" t="s">
        <v>1348</v>
      </c>
      <c r="B306" s="7" t="s">
        <v>1349</v>
      </c>
      <c r="C306" s="7"/>
      <c r="D306" s="7"/>
      <c r="E306" s="7">
        <v>0.0</v>
      </c>
      <c r="F306" s="12" t="s">
        <v>1350</v>
      </c>
      <c r="G306" s="7" t="s">
        <v>1351</v>
      </c>
      <c r="H306" s="8" t="s">
        <v>160</v>
      </c>
      <c r="I306" s="8"/>
      <c r="J306" s="8"/>
      <c r="K306" s="9"/>
      <c r="L306" s="8" t="s">
        <v>163</v>
      </c>
      <c r="M306" s="9"/>
      <c r="N306" s="10"/>
      <c r="O306" s="10"/>
      <c r="P306" s="10"/>
      <c r="Q306" s="10"/>
      <c r="R306" s="10"/>
      <c r="S306" s="10"/>
      <c r="T306" s="10"/>
      <c r="U306" s="10"/>
      <c r="V306" s="10"/>
      <c r="W306" s="10"/>
      <c r="X306" s="10"/>
      <c r="Y306" s="10"/>
      <c r="Z306" s="10"/>
    </row>
    <row r="307" ht="15.75" customHeight="1">
      <c r="A307" s="21" t="s">
        <v>1348</v>
      </c>
      <c r="B307" s="7" t="s">
        <v>1352</v>
      </c>
      <c r="C307" s="7"/>
      <c r="D307" s="7"/>
      <c r="E307" s="7">
        <v>0.0</v>
      </c>
      <c r="F307" s="12" t="s">
        <v>1353</v>
      </c>
      <c r="G307" s="7" t="s">
        <v>1354</v>
      </c>
      <c r="H307" s="8" t="s">
        <v>184</v>
      </c>
      <c r="I307" s="8"/>
      <c r="J307" s="8"/>
      <c r="K307" s="9"/>
      <c r="L307" s="8" t="s">
        <v>187</v>
      </c>
      <c r="M307" s="9"/>
      <c r="N307" s="10"/>
      <c r="O307" s="10"/>
      <c r="P307" s="10"/>
      <c r="Q307" s="10"/>
      <c r="R307" s="10"/>
      <c r="S307" s="10"/>
      <c r="T307" s="10"/>
      <c r="U307" s="10"/>
      <c r="V307" s="10"/>
      <c r="W307" s="10"/>
      <c r="X307" s="10"/>
      <c r="Y307" s="10"/>
      <c r="Z307" s="10"/>
    </row>
    <row r="308" ht="15.75" customHeight="1">
      <c r="A308" s="21" t="s">
        <v>1348</v>
      </c>
      <c r="B308" s="7" t="s">
        <v>1355</v>
      </c>
      <c r="C308" s="7"/>
      <c r="D308" s="7"/>
      <c r="E308" s="7">
        <v>0.0</v>
      </c>
      <c r="F308" s="12" t="s">
        <v>1346</v>
      </c>
      <c r="G308" s="7" t="s">
        <v>1356</v>
      </c>
      <c r="H308" s="8" t="s">
        <v>184</v>
      </c>
      <c r="I308" s="8"/>
      <c r="J308" s="8"/>
      <c r="K308" s="9"/>
      <c r="L308" s="8" t="s">
        <v>187</v>
      </c>
      <c r="M308" s="9"/>
      <c r="N308" s="10"/>
      <c r="O308" s="10"/>
      <c r="P308" s="10"/>
      <c r="Q308" s="10"/>
      <c r="R308" s="10"/>
      <c r="S308" s="10"/>
      <c r="T308" s="10"/>
      <c r="U308" s="10"/>
      <c r="V308" s="10"/>
      <c r="W308" s="10"/>
      <c r="X308" s="10"/>
      <c r="Y308" s="10"/>
      <c r="Z308" s="10"/>
    </row>
    <row r="309" ht="15.75" customHeight="1">
      <c r="A309" s="21" t="s">
        <v>1348</v>
      </c>
      <c r="B309" s="7" t="s">
        <v>1357</v>
      </c>
      <c r="C309" s="7"/>
      <c r="D309" s="7"/>
      <c r="E309" s="7">
        <v>0.0</v>
      </c>
      <c r="F309" s="12" t="s">
        <v>1346</v>
      </c>
      <c r="G309" s="7" t="s">
        <v>1358</v>
      </c>
      <c r="H309" s="8" t="s">
        <v>184</v>
      </c>
      <c r="I309" s="8"/>
      <c r="J309" s="8"/>
      <c r="K309" s="7"/>
      <c r="L309" s="8" t="s">
        <v>187</v>
      </c>
      <c r="M309" s="9"/>
      <c r="N309" s="10"/>
      <c r="O309" s="10"/>
      <c r="P309" s="10"/>
      <c r="Q309" s="10"/>
      <c r="R309" s="10"/>
      <c r="S309" s="10"/>
      <c r="T309" s="10"/>
      <c r="U309" s="10"/>
      <c r="V309" s="10"/>
      <c r="W309" s="10"/>
      <c r="X309" s="10"/>
      <c r="Y309" s="10"/>
      <c r="Z309" s="10"/>
    </row>
    <row r="310" ht="15.75" customHeight="1">
      <c r="A310" s="21" t="s">
        <v>1348</v>
      </c>
      <c r="B310" s="7" t="s">
        <v>1359</v>
      </c>
      <c r="C310" s="7"/>
      <c r="D310" s="7"/>
      <c r="E310" s="7">
        <v>0.0</v>
      </c>
      <c r="F310" s="12" t="s">
        <v>1346</v>
      </c>
      <c r="G310" s="7" t="s">
        <v>1360</v>
      </c>
      <c r="H310" s="8" t="s">
        <v>184</v>
      </c>
      <c r="I310" s="8"/>
      <c r="J310" s="8"/>
      <c r="K310" s="7"/>
      <c r="L310" s="8" t="s">
        <v>187</v>
      </c>
      <c r="M310" s="9"/>
      <c r="N310" s="10"/>
      <c r="O310" s="10"/>
      <c r="P310" s="10"/>
      <c r="Q310" s="10"/>
      <c r="R310" s="10"/>
      <c r="S310" s="10"/>
      <c r="T310" s="10"/>
      <c r="U310" s="10"/>
      <c r="V310" s="10"/>
      <c r="W310" s="10"/>
      <c r="X310" s="10"/>
      <c r="Y310" s="10"/>
      <c r="Z310" s="10"/>
    </row>
    <row r="311" ht="15.75" customHeight="1">
      <c r="A311" s="21" t="s">
        <v>1348</v>
      </c>
      <c r="B311" s="7" t="s">
        <v>1361</v>
      </c>
      <c r="C311" s="7"/>
      <c r="D311" s="7"/>
      <c r="E311" s="7">
        <v>0.0</v>
      </c>
      <c r="F311" s="12" t="s">
        <v>1362</v>
      </c>
      <c r="G311" s="7" t="s">
        <v>1363</v>
      </c>
      <c r="H311" s="8" t="s">
        <v>67</v>
      </c>
      <c r="I311" s="8"/>
      <c r="J311" s="8"/>
      <c r="K311" s="7"/>
      <c r="L311" s="8" t="s">
        <v>70</v>
      </c>
      <c r="M311" s="9"/>
      <c r="N311" s="10"/>
      <c r="O311" s="10"/>
      <c r="P311" s="10"/>
      <c r="Q311" s="10"/>
      <c r="R311" s="10"/>
      <c r="S311" s="10"/>
      <c r="T311" s="10"/>
      <c r="U311" s="10"/>
      <c r="V311" s="10"/>
      <c r="W311" s="10"/>
      <c r="X311" s="10"/>
      <c r="Y311" s="10"/>
      <c r="Z311" s="10"/>
    </row>
    <row r="312" ht="15.75" customHeight="1">
      <c r="A312" s="21" t="s">
        <v>1348</v>
      </c>
      <c r="B312" s="7" t="s">
        <v>1364</v>
      </c>
      <c r="C312" s="7"/>
      <c r="D312" s="7"/>
      <c r="E312" s="7">
        <v>0.0</v>
      </c>
      <c r="F312" s="12" t="s">
        <v>1365</v>
      </c>
      <c r="G312" s="7" t="s">
        <v>1366</v>
      </c>
      <c r="H312" s="8" t="s">
        <v>21</v>
      </c>
      <c r="I312" s="8"/>
      <c r="J312" s="8"/>
      <c r="K312" s="7"/>
      <c r="L312" s="8" t="s">
        <v>24</v>
      </c>
      <c r="M312" s="9"/>
      <c r="N312" s="10"/>
      <c r="O312" s="10"/>
      <c r="P312" s="10"/>
      <c r="Q312" s="10"/>
      <c r="R312" s="10"/>
      <c r="S312" s="10"/>
      <c r="T312" s="10"/>
      <c r="U312" s="10"/>
      <c r="V312" s="10"/>
      <c r="W312" s="10"/>
      <c r="X312" s="10"/>
      <c r="Y312" s="10"/>
      <c r="Z312" s="10"/>
    </row>
    <row r="313" ht="15.75" customHeight="1">
      <c r="A313" s="21" t="s">
        <v>1367</v>
      </c>
      <c r="B313" s="18" t="s">
        <v>1368</v>
      </c>
      <c r="C313" s="7"/>
      <c r="D313" s="7"/>
      <c r="E313" s="7">
        <v>0.0</v>
      </c>
      <c r="F313" s="17" t="s">
        <v>1369</v>
      </c>
      <c r="G313" s="18" t="s">
        <v>1370</v>
      </c>
      <c r="H313" s="8" t="s">
        <v>184</v>
      </c>
      <c r="I313" s="43" t="s">
        <v>1371</v>
      </c>
      <c r="J313" s="13" t="str">
        <f>CONCATENATE($M$1,$K313)</f>
        <v>https://inmapper.com/zorlucenter/img/logo/SAKHALINISTANBUL.png</v>
      </c>
      <c r="K313" s="18" t="s">
        <v>1372</v>
      </c>
      <c r="L313" s="8" t="s">
        <v>187</v>
      </c>
      <c r="M313" s="9"/>
      <c r="N313" s="10"/>
      <c r="O313" s="10"/>
      <c r="P313" s="10"/>
      <c r="Q313" s="10"/>
      <c r="R313" s="10"/>
      <c r="S313" s="10"/>
      <c r="T313" s="10"/>
      <c r="U313" s="10"/>
      <c r="V313" s="10"/>
      <c r="W313" s="10"/>
      <c r="X313" s="10"/>
      <c r="Y313" s="10"/>
      <c r="Z313" s="10"/>
    </row>
    <row r="314" ht="15.75" customHeight="1">
      <c r="A314" s="6" t="s">
        <v>1373</v>
      </c>
      <c r="B314" s="7" t="s">
        <v>1374</v>
      </c>
      <c r="C314" s="7"/>
      <c r="D314" s="7"/>
      <c r="E314" s="7">
        <v>0.0</v>
      </c>
      <c r="F314" s="12" t="s">
        <v>952</v>
      </c>
      <c r="G314" s="7" t="s">
        <v>1375</v>
      </c>
      <c r="H314" s="8" t="s">
        <v>129</v>
      </c>
      <c r="I314" s="8"/>
      <c r="J314" s="13"/>
      <c r="K314" s="7"/>
      <c r="L314" s="8" t="s">
        <v>459</v>
      </c>
      <c r="M314" s="9"/>
      <c r="N314" s="10"/>
      <c r="O314" s="10"/>
      <c r="P314" s="10"/>
      <c r="Q314" s="10"/>
      <c r="R314" s="10"/>
      <c r="S314" s="10"/>
      <c r="T314" s="10"/>
      <c r="U314" s="10"/>
      <c r="V314" s="10"/>
      <c r="W314" s="10"/>
      <c r="X314" s="10"/>
      <c r="Y314" s="10"/>
      <c r="Z314" s="10"/>
    </row>
    <row r="315" ht="15.75" customHeight="1">
      <c r="A315" s="6" t="s">
        <v>1373</v>
      </c>
      <c r="B315" s="7" t="s">
        <v>1376</v>
      </c>
      <c r="C315" s="7"/>
      <c r="D315" s="7"/>
      <c r="E315" s="7">
        <v>0.0</v>
      </c>
      <c r="F315" s="12" t="s">
        <v>952</v>
      </c>
      <c r="G315" s="7" t="s">
        <v>1375</v>
      </c>
      <c r="H315" s="8" t="s">
        <v>129</v>
      </c>
      <c r="I315" s="8" t="s">
        <v>1377</v>
      </c>
      <c r="J315" s="13" t="str">
        <f t="shared" ref="J315:J318" si="16">CONCATENATE($M$1,$K315)</f>
        <v>https://inmapper.com/zorlucenter/img/logo/EASYPOINT.png</v>
      </c>
      <c r="K315" s="7" t="s">
        <v>1378</v>
      </c>
      <c r="L315" s="8" t="s">
        <v>459</v>
      </c>
      <c r="M315" s="9"/>
      <c r="N315" s="10"/>
      <c r="O315" s="10"/>
      <c r="P315" s="10"/>
      <c r="Q315" s="10"/>
      <c r="R315" s="10"/>
      <c r="S315" s="10"/>
      <c r="T315" s="10"/>
      <c r="U315" s="10"/>
      <c r="V315" s="10"/>
      <c r="W315" s="10"/>
      <c r="X315" s="10"/>
      <c r="Y315" s="10"/>
      <c r="Z315" s="10"/>
    </row>
    <row r="316" ht="15.75" customHeight="1">
      <c r="A316" s="6" t="s">
        <v>1379</v>
      </c>
      <c r="B316" s="7" t="s">
        <v>1380</v>
      </c>
      <c r="C316" s="7"/>
      <c r="D316" s="7"/>
      <c r="E316" s="7">
        <v>0.0</v>
      </c>
      <c r="F316" s="17" t="s">
        <v>1381</v>
      </c>
      <c r="G316" s="7" t="s">
        <v>1382</v>
      </c>
      <c r="H316" s="8" t="s">
        <v>184</v>
      </c>
      <c r="I316" s="8" t="s">
        <v>1383</v>
      </c>
      <c r="J316" s="13" t="str">
        <f t="shared" si="16"/>
        <v>https://inmapper.com/zorlucenter/img/logo/NESPRESSO.png</v>
      </c>
      <c r="K316" s="7" t="s">
        <v>1384</v>
      </c>
      <c r="L316" s="8" t="s">
        <v>187</v>
      </c>
      <c r="M316" s="9"/>
      <c r="N316" s="10"/>
      <c r="O316" s="10"/>
      <c r="P316" s="10"/>
      <c r="Q316" s="10"/>
      <c r="R316" s="10"/>
      <c r="S316" s="10"/>
      <c r="T316" s="10"/>
      <c r="U316" s="10"/>
      <c r="V316" s="10"/>
      <c r="W316" s="10"/>
      <c r="X316" s="10"/>
      <c r="Y316" s="10"/>
      <c r="Z316" s="10"/>
    </row>
    <row r="317" ht="15.75" customHeight="1">
      <c r="A317" s="6" t="s">
        <v>1385</v>
      </c>
      <c r="B317" s="18" t="s">
        <v>1386</v>
      </c>
      <c r="C317" s="7"/>
      <c r="D317" s="7"/>
      <c r="E317" s="7">
        <v>0.0</v>
      </c>
      <c r="F317" s="17" t="s">
        <v>1387</v>
      </c>
      <c r="G317" s="18" t="s">
        <v>1388</v>
      </c>
      <c r="H317" s="43" t="s">
        <v>1389</v>
      </c>
      <c r="I317" s="40" t="s">
        <v>1390</v>
      </c>
      <c r="J317" s="13" t="str">
        <f t="shared" si="16"/>
        <v>https://inmapper.com/zorlucenter/img/logo/MELEZTEA.png</v>
      </c>
      <c r="K317" s="18" t="s">
        <v>1391</v>
      </c>
      <c r="L317" s="43" t="s">
        <v>1392</v>
      </c>
      <c r="M317" s="9"/>
      <c r="N317" s="10"/>
      <c r="O317" s="10"/>
      <c r="P317" s="10"/>
      <c r="Q317" s="10"/>
      <c r="R317" s="10"/>
      <c r="S317" s="10"/>
      <c r="T317" s="10"/>
      <c r="U317" s="10"/>
      <c r="V317" s="10"/>
      <c r="W317" s="10"/>
      <c r="X317" s="10"/>
      <c r="Y317" s="10"/>
      <c r="Z317" s="10"/>
    </row>
    <row r="318" ht="15.75" customHeight="1">
      <c r="A318" s="6" t="s">
        <v>1393</v>
      </c>
      <c r="B318" s="18" t="s">
        <v>1394</v>
      </c>
      <c r="C318" s="18"/>
      <c r="D318" s="7"/>
      <c r="E318" s="7">
        <v>0.0</v>
      </c>
      <c r="F318" s="17" t="s">
        <v>1395</v>
      </c>
      <c r="G318" s="18" t="s">
        <v>1396</v>
      </c>
      <c r="H318" s="8" t="s">
        <v>184</v>
      </c>
      <c r="I318" s="40" t="s">
        <v>1397</v>
      </c>
      <c r="J318" s="13" t="str">
        <f t="shared" si="16"/>
        <v>https://inmapper.com/zorlucenter/img/logo/LILLO.png</v>
      </c>
      <c r="K318" s="19" t="s">
        <v>1398</v>
      </c>
      <c r="L318" s="8" t="s">
        <v>187</v>
      </c>
      <c r="M318" s="19"/>
      <c r="N318" s="20"/>
      <c r="O318" s="20"/>
      <c r="P318" s="10"/>
      <c r="Q318" s="10"/>
      <c r="R318" s="10"/>
      <c r="S318" s="10"/>
      <c r="T318" s="10"/>
      <c r="U318" s="10"/>
      <c r="V318" s="10"/>
      <c r="W318" s="10"/>
      <c r="X318" s="10"/>
      <c r="Y318" s="10"/>
      <c r="Z318" s="10"/>
    </row>
    <row r="319" ht="15.75" customHeight="1">
      <c r="A319" s="6" t="s">
        <v>1399</v>
      </c>
      <c r="B319" s="7" t="s">
        <v>1400</v>
      </c>
      <c r="C319" s="7"/>
      <c r="D319" s="7"/>
      <c r="E319" s="7">
        <v>0.0</v>
      </c>
      <c r="F319" s="7" t="s">
        <v>15</v>
      </c>
      <c r="G319" s="7" t="s">
        <v>1401</v>
      </c>
      <c r="H319" s="8" t="s">
        <v>41</v>
      </c>
      <c r="I319" s="8"/>
      <c r="J319" s="8"/>
      <c r="K319" s="9"/>
      <c r="L319" s="8" t="s">
        <v>44</v>
      </c>
      <c r="M319" s="9"/>
      <c r="N319" s="10"/>
      <c r="O319" s="10"/>
      <c r="P319" s="10"/>
      <c r="Q319" s="10"/>
      <c r="R319" s="10"/>
      <c r="S319" s="10"/>
      <c r="T319" s="10"/>
      <c r="U319" s="10"/>
      <c r="V319" s="10"/>
      <c r="W319" s="10"/>
      <c r="X319" s="10"/>
      <c r="Y319" s="10"/>
      <c r="Z319" s="10"/>
    </row>
    <row r="320" ht="15.75" customHeight="1">
      <c r="A320" s="6" t="s">
        <v>1402</v>
      </c>
      <c r="B320" s="7" t="s">
        <v>1403</v>
      </c>
      <c r="C320" s="7"/>
      <c r="D320" s="7"/>
      <c r="E320" s="7">
        <v>0.0</v>
      </c>
      <c r="F320" s="7" t="s">
        <v>15</v>
      </c>
      <c r="G320" s="7" t="s">
        <v>1404</v>
      </c>
      <c r="H320" s="8" t="s">
        <v>41</v>
      </c>
      <c r="I320" s="8"/>
      <c r="J320" s="8"/>
      <c r="K320" s="7"/>
      <c r="L320" s="8" t="s">
        <v>44</v>
      </c>
      <c r="M320" s="9"/>
      <c r="N320" s="10"/>
      <c r="O320" s="10"/>
      <c r="P320" s="10"/>
      <c r="Q320" s="10"/>
      <c r="R320" s="10"/>
      <c r="S320" s="10"/>
      <c r="T320" s="10"/>
      <c r="U320" s="10"/>
      <c r="V320" s="10"/>
      <c r="W320" s="10"/>
      <c r="X320" s="10"/>
      <c r="Y320" s="10"/>
      <c r="Z320" s="10"/>
    </row>
    <row r="321" ht="15.75" customHeight="1">
      <c r="A321" s="6" t="s">
        <v>1405</v>
      </c>
      <c r="B321" s="7" t="s">
        <v>1406</v>
      </c>
      <c r="C321" s="7"/>
      <c r="D321" s="7"/>
      <c r="E321" s="7">
        <v>0.0</v>
      </c>
      <c r="F321" s="12" t="s">
        <v>1407</v>
      </c>
      <c r="G321" s="7" t="s">
        <v>1408</v>
      </c>
      <c r="H321" s="42" t="s">
        <v>395</v>
      </c>
      <c r="I321" s="42" t="s">
        <v>1409</v>
      </c>
      <c r="J321" s="8" t="str">
        <f>CONCATENATE($M$1,$K321)</f>
        <v>https://inmapper.com/zorlucenter/img/logo/ARİFOĞLU.png</v>
      </c>
      <c r="K321" s="7" t="s">
        <v>1410</v>
      </c>
      <c r="L321" s="42" t="s">
        <v>397</v>
      </c>
      <c r="M321" s="9"/>
      <c r="N321" s="10"/>
      <c r="O321" s="10"/>
      <c r="P321" s="10"/>
      <c r="Q321" s="10"/>
      <c r="R321" s="10"/>
      <c r="S321" s="10"/>
      <c r="T321" s="10"/>
      <c r="U321" s="10"/>
      <c r="V321" s="10"/>
      <c r="W321" s="10"/>
      <c r="X321" s="10"/>
      <c r="Y321" s="10"/>
      <c r="Z321" s="10"/>
    </row>
    <row r="322" ht="15.75" customHeight="1">
      <c r="A322" s="6" t="s">
        <v>1411</v>
      </c>
      <c r="B322" s="7" t="s">
        <v>877</v>
      </c>
      <c r="C322" s="7"/>
      <c r="D322" s="7"/>
      <c r="E322" s="7">
        <v>0.0</v>
      </c>
      <c r="F322" s="7" t="s">
        <v>15</v>
      </c>
      <c r="G322" s="7" t="s">
        <v>878</v>
      </c>
      <c r="H322" s="8" t="s">
        <v>129</v>
      </c>
      <c r="I322" s="8"/>
      <c r="J322" s="8"/>
      <c r="K322" s="9"/>
      <c r="L322" s="8" t="s">
        <v>459</v>
      </c>
      <c r="M322" s="9"/>
      <c r="N322" s="10"/>
      <c r="O322" s="10"/>
      <c r="P322" s="10"/>
      <c r="Q322" s="10"/>
      <c r="R322" s="10"/>
      <c r="S322" s="10"/>
      <c r="T322" s="10"/>
      <c r="U322" s="10"/>
      <c r="V322" s="10"/>
      <c r="W322" s="10"/>
      <c r="X322" s="10"/>
      <c r="Y322" s="10"/>
      <c r="Z322" s="10"/>
    </row>
    <row r="323" ht="15.75" customHeight="1">
      <c r="A323" s="6" t="s">
        <v>1412</v>
      </c>
      <c r="B323" s="18" t="s">
        <v>1413</v>
      </c>
      <c r="C323" s="7"/>
      <c r="D323" s="7"/>
      <c r="E323" s="7">
        <v>0.0</v>
      </c>
      <c r="F323" s="12" t="s">
        <v>684</v>
      </c>
      <c r="G323" s="18" t="s">
        <v>1414</v>
      </c>
      <c r="H323" s="8" t="s">
        <v>152</v>
      </c>
      <c r="I323" s="40" t="s">
        <v>1415</v>
      </c>
      <c r="J323" s="13" t="str">
        <f t="shared" ref="J323:J329" si="17">CONCATENATE($M$1,$K323)</f>
        <v>https://inmapper.com/zorlucenter/img/logo/CHOPARD.png</v>
      </c>
      <c r="K323" s="18" t="s">
        <v>1416</v>
      </c>
      <c r="L323" s="8" t="s">
        <v>155</v>
      </c>
      <c r="M323" s="9"/>
      <c r="N323" s="10"/>
      <c r="O323" s="10"/>
      <c r="P323" s="10"/>
      <c r="Q323" s="10"/>
      <c r="R323" s="10"/>
      <c r="S323" s="10"/>
      <c r="T323" s="10"/>
      <c r="U323" s="10"/>
      <c r="V323" s="10"/>
      <c r="W323" s="10"/>
      <c r="X323" s="10"/>
      <c r="Y323" s="10"/>
      <c r="Z323" s="10"/>
    </row>
    <row r="324" ht="15.75" customHeight="1">
      <c r="A324" s="6" t="s">
        <v>1417</v>
      </c>
      <c r="B324" s="7" t="s">
        <v>1418</v>
      </c>
      <c r="C324" s="7"/>
      <c r="D324" s="7"/>
      <c r="E324" s="7">
        <v>0.0</v>
      </c>
      <c r="F324" s="12" t="s">
        <v>684</v>
      </c>
      <c r="G324" s="7" t="s">
        <v>1419</v>
      </c>
      <c r="H324" s="8" t="s">
        <v>160</v>
      </c>
      <c r="I324" s="41" t="s">
        <v>1420</v>
      </c>
      <c r="J324" s="13" t="str">
        <f t="shared" si="17"/>
        <v>https://inmapper.com/zorlucenter/img/logo/BOTTEGAVENETA.png</v>
      </c>
      <c r="K324" s="18" t="s">
        <v>1421</v>
      </c>
      <c r="L324" s="8" t="s">
        <v>163</v>
      </c>
      <c r="M324" s="9"/>
      <c r="N324" s="10"/>
      <c r="O324" s="10"/>
      <c r="P324" s="10"/>
      <c r="Q324" s="10"/>
      <c r="R324" s="10"/>
      <c r="S324" s="10"/>
      <c r="T324" s="10"/>
      <c r="U324" s="10"/>
      <c r="V324" s="10"/>
      <c r="W324" s="10"/>
      <c r="X324" s="10"/>
      <c r="Y324" s="10"/>
      <c r="Z324" s="10"/>
    </row>
    <row r="325" ht="15.75" customHeight="1">
      <c r="A325" s="6" t="s">
        <v>1422</v>
      </c>
      <c r="B325" s="18" t="s">
        <v>1423</v>
      </c>
      <c r="C325" s="7"/>
      <c r="D325" s="7"/>
      <c r="E325" s="7">
        <v>0.0</v>
      </c>
      <c r="F325" s="17" t="s">
        <v>1424</v>
      </c>
      <c r="G325" s="7" t="s">
        <v>1419</v>
      </c>
      <c r="H325" s="8" t="s">
        <v>160</v>
      </c>
      <c r="I325" s="40" t="s">
        <v>1425</v>
      </c>
      <c r="J325" s="13" t="str">
        <f t="shared" si="17"/>
        <v>https://inmapper.com/zorlucenter/img/logo/CHANEL.png</v>
      </c>
      <c r="K325" s="18" t="s">
        <v>1426</v>
      </c>
      <c r="L325" s="8" t="s">
        <v>163</v>
      </c>
      <c r="M325" s="9"/>
      <c r="N325" s="10"/>
      <c r="O325" s="10"/>
      <c r="P325" s="10"/>
      <c r="Q325" s="10"/>
      <c r="R325" s="10"/>
      <c r="S325" s="10"/>
      <c r="T325" s="10"/>
      <c r="U325" s="10"/>
      <c r="V325" s="10"/>
      <c r="W325" s="10"/>
      <c r="X325" s="10"/>
      <c r="Y325" s="10"/>
      <c r="Z325" s="10"/>
    </row>
    <row r="326" ht="15.75" customHeight="1">
      <c r="A326" s="6" t="s">
        <v>1427</v>
      </c>
      <c r="B326" s="18" t="s">
        <v>1428</v>
      </c>
      <c r="C326" s="18"/>
      <c r="D326" s="7"/>
      <c r="E326" s="7">
        <v>0.0</v>
      </c>
      <c r="F326" s="17" t="s">
        <v>1429</v>
      </c>
      <c r="G326" s="7"/>
      <c r="H326" s="43" t="s">
        <v>160</v>
      </c>
      <c r="I326" s="40" t="s">
        <v>1430</v>
      </c>
      <c r="J326" s="13" t="str">
        <f t="shared" si="17"/>
        <v>https://inmapper.com/zorlucenter/img/logo/LOROPIANA.png</v>
      </c>
      <c r="K326" s="18" t="s">
        <v>1431</v>
      </c>
      <c r="L326" s="8" t="s">
        <v>163</v>
      </c>
      <c r="M326" s="9"/>
      <c r="N326" s="20"/>
      <c r="O326" s="10"/>
      <c r="P326" s="10"/>
      <c r="Q326" s="10"/>
      <c r="R326" s="10"/>
      <c r="S326" s="10"/>
      <c r="T326" s="10"/>
      <c r="U326" s="10"/>
      <c r="V326" s="10"/>
      <c r="W326" s="10"/>
      <c r="X326" s="10"/>
      <c r="Y326" s="10"/>
      <c r="Z326" s="10"/>
    </row>
    <row r="327" ht="15.75" customHeight="1">
      <c r="A327" s="21" t="s">
        <v>1432</v>
      </c>
      <c r="B327" s="18" t="s">
        <v>1433</v>
      </c>
      <c r="C327" s="18"/>
      <c r="D327" s="7"/>
      <c r="E327" s="7">
        <v>0.0</v>
      </c>
      <c r="F327" s="17" t="s">
        <v>1434</v>
      </c>
      <c r="G327" s="7"/>
      <c r="H327" s="43" t="s">
        <v>160</v>
      </c>
      <c r="I327" s="40" t="s">
        <v>1435</v>
      </c>
      <c r="J327" s="13" t="str">
        <f t="shared" si="17"/>
        <v>https://inmapper.com/zorlucenter/img/logo/LESBENJAMINS.png</v>
      </c>
      <c r="K327" s="18" t="s">
        <v>1436</v>
      </c>
      <c r="L327" s="8" t="s">
        <v>163</v>
      </c>
      <c r="M327" s="9"/>
      <c r="N327" s="20"/>
      <c r="O327" s="10"/>
      <c r="P327" s="10"/>
      <c r="Q327" s="10"/>
      <c r="R327" s="10"/>
      <c r="S327" s="10"/>
      <c r="T327" s="10"/>
      <c r="U327" s="10"/>
      <c r="V327" s="10"/>
      <c r="W327" s="10"/>
      <c r="X327" s="10"/>
      <c r="Y327" s="10"/>
      <c r="Z327" s="10"/>
    </row>
    <row r="328" ht="15.75" customHeight="1">
      <c r="A328" s="21" t="s">
        <v>1437</v>
      </c>
      <c r="B328" s="18" t="s">
        <v>1438</v>
      </c>
      <c r="C328" s="18" t="s">
        <v>1439</v>
      </c>
      <c r="D328" s="7"/>
      <c r="E328" s="18">
        <v>0.0</v>
      </c>
      <c r="F328" s="17" t="s">
        <v>1440</v>
      </c>
      <c r="G328" s="18" t="s">
        <v>1441</v>
      </c>
      <c r="H328" s="8" t="s">
        <v>41</v>
      </c>
      <c r="I328" s="40" t="s">
        <v>1442</v>
      </c>
      <c r="J328" s="13" t="str">
        <f t="shared" si="17"/>
        <v>https://inmapper.com/zorlucenter/img/logo/TOGG.png</v>
      </c>
      <c r="K328" s="18" t="s">
        <v>1443</v>
      </c>
      <c r="L328" s="8" t="s">
        <v>44</v>
      </c>
      <c r="M328" s="9"/>
      <c r="N328" s="10"/>
      <c r="O328" s="10"/>
      <c r="P328" s="10"/>
      <c r="Q328" s="10"/>
      <c r="R328" s="10"/>
      <c r="S328" s="10"/>
      <c r="T328" s="10"/>
      <c r="U328" s="10"/>
      <c r="V328" s="10"/>
      <c r="W328" s="10"/>
      <c r="X328" s="10"/>
      <c r="Y328" s="10"/>
      <c r="Z328" s="10"/>
    </row>
    <row r="329" ht="15.75" customHeight="1">
      <c r="A329" s="21" t="s">
        <v>1444</v>
      </c>
      <c r="B329" s="18" t="s">
        <v>1445</v>
      </c>
      <c r="C329" s="7"/>
      <c r="D329" s="7"/>
      <c r="E329" s="18">
        <v>0.0</v>
      </c>
      <c r="F329" s="17" t="s">
        <v>1446</v>
      </c>
      <c r="G329" s="18" t="s">
        <v>1447</v>
      </c>
      <c r="H329" s="8" t="s">
        <v>184</v>
      </c>
      <c r="I329" s="43"/>
      <c r="J329" s="13" t="str">
        <f t="shared" si="17"/>
        <v>https://inmapper.com/zorlucenter/img/logo/BARDOT.png</v>
      </c>
      <c r="K329" s="18" t="s">
        <v>1448</v>
      </c>
      <c r="L329" s="8" t="s">
        <v>187</v>
      </c>
      <c r="M329" s="9"/>
      <c r="N329" s="10"/>
      <c r="O329" s="10"/>
      <c r="P329" s="10"/>
      <c r="Q329" s="10"/>
      <c r="R329" s="10"/>
      <c r="S329" s="10"/>
      <c r="T329" s="10"/>
      <c r="U329" s="10"/>
      <c r="V329" s="10"/>
      <c r="W329" s="10"/>
      <c r="X329" s="10"/>
      <c r="Y329" s="10"/>
      <c r="Z329" s="10"/>
    </row>
    <row r="330" ht="15.75" customHeight="1">
      <c r="A330" s="6" t="s">
        <v>1449</v>
      </c>
      <c r="B330" s="7" t="s">
        <v>462</v>
      </c>
      <c r="C330" s="7"/>
      <c r="D330" s="7"/>
      <c r="E330" s="7">
        <v>0.0</v>
      </c>
      <c r="F330" s="12" t="s">
        <v>463</v>
      </c>
      <c r="G330" s="7" t="s">
        <v>464</v>
      </c>
      <c r="H330" s="8" t="s">
        <v>129</v>
      </c>
      <c r="I330" s="8"/>
      <c r="J330" s="9"/>
      <c r="K330" s="8"/>
      <c r="L330" s="8" t="s">
        <v>459</v>
      </c>
      <c r="M330" s="9"/>
      <c r="N330" s="10"/>
      <c r="O330" s="10"/>
      <c r="P330" s="10"/>
      <c r="Q330" s="10"/>
      <c r="R330" s="10"/>
      <c r="S330" s="10"/>
      <c r="T330" s="10"/>
      <c r="U330" s="10"/>
      <c r="V330" s="10"/>
      <c r="W330" s="10"/>
      <c r="X330" s="10"/>
      <c r="Y330" s="10"/>
      <c r="Z330" s="10"/>
    </row>
    <row r="331" ht="15.75" hidden="1" customHeight="1">
      <c r="A331" s="6" t="s">
        <v>1450</v>
      </c>
      <c r="B331" s="7" t="s">
        <v>1451</v>
      </c>
      <c r="C331" s="24"/>
      <c r="D331" s="7"/>
      <c r="E331" s="7">
        <v>0.0</v>
      </c>
      <c r="F331" s="7" t="s">
        <v>15</v>
      </c>
      <c r="G331" s="7" t="s">
        <v>1452</v>
      </c>
      <c r="H331" s="53" t="s">
        <v>900</v>
      </c>
      <c r="I331" s="53"/>
      <c r="J331" s="53"/>
      <c r="K331" s="7"/>
      <c r="L331" s="53" t="s">
        <v>901</v>
      </c>
      <c r="M331" s="9"/>
      <c r="N331" s="10"/>
      <c r="O331" s="10"/>
      <c r="P331" s="10"/>
      <c r="Q331" s="10"/>
      <c r="R331" s="10"/>
      <c r="S331" s="10"/>
      <c r="T331" s="10"/>
      <c r="U331" s="10"/>
      <c r="V331" s="10"/>
      <c r="W331" s="10"/>
      <c r="X331" s="10"/>
      <c r="Y331" s="10"/>
      <c r="Z331" s="10"/>
    </row>
    <row r="332" ht="15.75" hidden="1" customHeight="1">
      <c r="A332" s="6" t="s">
        <v>1450</v>
      </c>
      <c r="B332" s="18" t="s">
        <v>1453</v>
      </c>
      <c r="C332" s="24"/>
      <c r="D332" s="7"/>
      <c r="E332" s="7">
        <v>0.0</v>
      </c>
      <c r="F332" s="7" t="s">
        <v>15</v>
      </c>
      <c r="G332" s="7" t="s">
        <v>1452</v>
      </c>
      <c r="H332" s="53" t="s">
        <v>900</v>
      </c>
      <c r="I332" s="53"/>
      <c r="J332" s="53"/>
      <c r="K332" s="7"/>
      <c r="L332" s="53" t="s">
        <v>901</v>
      </c>
      <c r="M332" s="9"/>
      <c r="N332" s="10"/>
      <c r="O332" s="10"/>
      <c r="P332" s="10"/>
      <c r="Q332" s="10"/>
      <c r="R332" s="10"/>
      <c r="S332" s="10"/>
      <c r="T332" s="10"/>
      <c r="U332" s="10"/>
      <c r="V332" s="10"/>
      <c r="W332" s="10"/>
      <c r="X332" s="10"/>
      <c r="Y332" s="10"/>
      <c r="Z332" s="10"/>
    </row>
    <row r="333" ht="15.75" hidden="1" customHeight="1">
      <c r="A333" s="6" t="s">
        <v>1450</v>
      </c>
      <c r="B333" s="7" t="s">
        <v>1454</v>
      </c>
      <c r="C333" s="24"/>
      <c r="D333" s="7"/>
      <c r="E333" s="7">
        <v>0.0</v>
      </c>
      <c r="F333" s="7" t="s">
        <v>15</v>
      </c>
      <c r="G333" s="7" t="s">
        <v>1452</v>
      </c>
      <c r="H333" s="53" t="s">
        <v>900</v>
      </c>
      <c r="I333" s="53"/>
      <c r="J333" s="53"/>
      <c r="K333" s="7"/>
      <c r="L333" s="53" t="s">
        <v>901</v>
      </c>
      <c r="M333" s="9"/>
      <c r="N333" s="10"/>
      <c r="O333" s="10"/>
      <c r="P333" s="10"/>
      <c r="Q333" s="10"/>
      <c r="R333" s="10"/>
      <c r="S333" s="10"/>
      <c r="T333" s="10"/>
      <c r="U333" s="10"/>
      <c r="V333" s="10"/>
      <c r="W333" s="10"/>
      <c r="X333" s="10"/>
      <c r="Y333" s="10"/>
      <c r="Z333" s="10"/>
    </row>
    <row r="334" ht="15.75" hidden="1" customHeight="1">
      <c r="A334" s="6" t="s">
        <v>1450</v>
      </c>
      <c r="B334" s="7" t="s">
        <v>1455</v>
      </c>
      <c r="C334" s="24"/>
      <c r="D334" s="7"/>
      <c r="E334" s="7">
        <v>0.0</v>
      </c>
      <c r="F334" s="7" t="s">
        <v>15</v>
      </c>
      <c r="G334" s="7" t="s">
        <v>1452</v>
      </c>
      <c r="H334" s="8" t="s">
        <v>900</v>
      </c>
      <c r="I334" s="8"/>
      <c r="J334" s="8"/>
      <c r="K334" s="7"/>
      <c r="L334" s="8" t="s">
        <v>901</v>
      </c>
      <c r="M334" s="9"/>
      <c r="N334" s="10"/>
      <c r="O334" s="10"/>
      <c r="P334" s="10"/>
      <c r="Q334" s="10"/>
      <c r="R334" s="10"/>
      <c r="S334" s="10"/>
      <c r="T334" s="10"/>
      <c r="U334" s="10"/>
      <c r="V334" s="10"/>
      <c r="W334" s="10"/>
      <c r="X334" s="10"/>
      <c r="Y334" s="10"/>
      <c r="Z334" s="10"/>
    </row>
    <row r="335" ht="15.75" hidden="1" customHeight="1">
      <c r="A335" s="6" t="s">
        <v>1450</v>
      </c>
      <c r="B335" s="7" t="s">
        <v>1456</v>
      </c>
      <c r="C335" s="24"/>
      <c r="D335" s="7"/>
      <c r="E335" s="7">
        <v>0.0</v>
      </c>
      <c r="F335" s="7" t="s">
        <v>15</v>
      </c>
      <c r="G335" s="7" t="s">
        <v>1452</v>
      </c>
      <c r="H335" s="8" t="s">
        <v>900</v>
      </c>
      <c r="I335" s="8"/>
      <c r="J335" s="8"/>
      <c r="K335" s="7"/>
      <c r="L335" s="8" t="s">
        <v>901</v>
      </c>
      <c r="M335" s="9"/>
      <c r="N335" s="10"/>
      <c r="O335" s="10"/>
      <c r="P335" s="10"/>
      <c r="Q335" s="10"/>
      <c r="R335" s="10"/>
      <c r="S335" s="10"/>
      <c r="T335" s="10"/>
      <c r="U335" s="10"/>
      <c r="V335" s="10"/>
      <c r="W335" s="10"/>
      <c r="X335" s="10"/>
      <c r="Y335" s="10"/>
      <c r="Z335" s="10"/>
    </row>
    <row r="336" ht="15.75" hidden="1" customHeight="1">
      <c r="A336" s="6" t="s">
        <v>1450</v>
      </c>
      <c r="B336" s="7" t="s">
        <v>1457</v>
      </c>
      <c r="C336" s="24"/>
      <c r="D336" s="7"/>
      <c r="E336" s="7">
        <v>0.0</v>
      </c>
      <c r="F336" s="7" t="s">
        <v>15</v>
      </c>
      <c r="G336" s="7" t="s">
        <v>1452</v>
      </c>
      <c r="H336" s="8" t="s">
        <v>900</v>
      </c>
      <c r="I336" s="8"/>
      <c r="J336" s="8"/>
      <c r="K336" s="7"/>
      <c r="L336" s="8" t="s">
        <v>901</v>
      </c>
      <c r="M336" s="9"/>
      <c r="N336" s="10"/>
      <c r="O336" s="10"/>
      <c r="P336" s="10"/>
      <c r="Q336" s="10"/>
      <c r="R336" s="10"/>
      <c r="S336" s="10"/>
      <c r="T336" s="10"/>
      <c r="U336" s="10"/>
      <c r="V336" s="10"/>
      <c r="W336" s="10"/>
      <c r="X336" s="10"/>
      <c r="Y336" s="10"/>
      <c r="Z336" s="10"/>
    </row>
    <row r="337" ht="15.75" hidden="1" customHeight="1">
      <c r="A337" s="6" t="s">
        <v>1450</v>
      </c>
      <c r="B337" s="7" t="s">
        <v>1458</v>
      </c>
      <c r="C337" s="24"/>
      <c r="D337" s="7"/>
      <c r="E337" s="7">
        <v>0.0</v>
      </c>
      <c r="F337" s="7" t="s">
        <v>15</v>
      </c>
      <c r="G337" s="7" t="s">
        <v>1452</v>
      </c>
      <c r="H337" s="53" t="s">
        <v>900</v>
      </c>
      <c r="I337" s="53"/>
      <c r="J337" s="53"/>
      <c r="K337" s="7"/>
      <c r="L337" s="53" t="s">
        <v>901</v>
      </c>
      <c r="M337" s="9"/>
      <c r="N337" s="10"/>
      <c r="O337" s="10"/>
      <c r="P337" s="10"/>
      <c r="Q337" s="10"/>
      <c r="R337" s="10"/>
      <c r="S337" s="10"/>
      <c r="T337" s="10"/>
      <c r="U337" s="10"/>
      <c r="V337" s="10"/>
      <c r="W337" s="10"/>
      <c r="X337" s="10"/>
      <c r="Y337" s="10"/>
      <c r="Z337" s="10"/>
    </row>
    <row r="338" ht="15.75" hidden="1" customHeight="1">
      <c r="A338" s="6" t="s">
        <v>1450</v>
      </c>
      <c r="B338" s="7" t="s">
        <v>1459</v>
      </c>
      <c r="C338" s="24"/>
      <c r="D338" s="7"/>
      <c r="E338" s="7">
        <v>0.0</v>
      </c>
      <c r="F338" s="7" t="s">
        <v>15</v>
      </c>
      <c r="G338" s="7" t="s">
        <v>1452</v>
      </c>
      <c r="H338" s="8" t="s">
        <v>900</v>
      </c>
      <c r="I338" s="8"/>
      <c r="J338" s="8"/>
      <c r="K338" s="7"/>
      <c r="L338" s="8" t="s">
        <v>901</v>
      </c>
      <c r="M338" s="9"/>
      <c r="N338" s="10"/>
      <c r="O338" s="10"/>
      <c r="P338" s="10"/>
      <c r="Q338" s="10"/>
      <c r="R338" s="10"/>
      <c r="S338" s="10"/>
      <c r="T338" s="10"/>
      <c r="U338" s="10"/>
      <c r="V338" s="10"/>
      <c r="W338" s="10"/>
      <c r="X338" s="10"/>
      <c r="Y338" s="10"/>
      <c r="Z338" s="10"/>
    </row>
    <row r="339" ht="15.75" hidden="1" customHeight="1">
      <c r="A339" s="6" t="s">
        <v>1450</v>
      </c>
      <c r="B339" s="7" t="s">
        <v>1460</v>
      </c>
      <c r="C339" s="24"/>
      <c r="D339" s="7"/>
      <c r="E339" s="7">
        <v>0.0</v>
      </c>
      <c r="F339" s="7" t="s">
        <v>15</v>
      </c>
      <c r="G339" s="7" t="s">
        <v>1452</v>
      </c>
      <c r="H339" s="8" t="s">
        <v>900</v>
      </c>
      <c r="I339" s="8"/>
      <c r="J339" s="8"/>
      <c r="K339" s="7"/>
      <c r="L339" s="8" t="s">
        <v>901</v>
      </c>
      <c r="M339" s="9"/>
      <c r="N339" s="10"/>
      <c r="O339" s="10"/>
      <c r="P339" s="10"/>
      <c r="Q339" s="10"/>
      <c r="R339" s="10"/>
      <c r="S339" s="10"/>
      <c r="T339" s="10"/>
      <c r="U339" s="10"/>
      <c r="V339" s="10"/>
      <c r="W339" s="10"/>
      <c r="X339" s="10"/>
      <c r="Y339" s="10"/>
      <c r="Z339" s="10"/>
    </row>
    <row r="340" ht="15.75" hidden="1" customHeight="1">
      <c r="A340" s="6" t="s">
        <v>1450</v>
      </c>
      <c r="B340" s="7" t="s">
        <v>1461</v>
      </c>
      <c r="C340" s="24"/>
      <c r="D340" s="7"/>
      <c r="E340" s="7">
        <v>0.0</v>
      </c>
      <c r="F340" s="7" t="s">
        <v>15</v>
      </c>
      <c r="G340" s="7" t="s">
        <v>1452</v>
      </c>
      <c r="H340" s="8" t="s">
        <v>900</v>
      </c>
      <c r="I340" s="8"/>
      <c r="J340" s="8"/>
      <c r="K340" s="7"/>
      <c r="L340" s="8" t="s">
        <v>901</v>
      </c>
      <c r="M340" s="9"/>
      <c r="N340" s="10"/>
      <c r="O340" s="10"/>
      <c r="P340" s="10"/>
      <c r="Q340" s="10"/>
      <c r="R340" s="10"/>
      <c r="S340" s="10"/>
      <c r="T340" s="10"/>
      <c r="U340" s="10"/>
      <c r="V340" s="10"/>
      <c r="W340" s="10"/>
      <c r="X340" s="10"/>
      <c r="Y340" s="10"/>
      <c r="Z340" s="10"/>
    </row>
    <row r="341" ht="15.75" hidden="1" customHeight="1">
      <c r="A341" s="6" t="s">
        <v>1450</v>
      </c>
      <c r="B341" s="18" t="s">
        <v>1462</v>
      </c>
      <c r="C341" s="24"/>
      <c r="D341" s="7"/>
      <c r="E341" s="7">
        <v>0.0</v>
      </c>
      <c r="F341" s="7" t="s">
        <v>15</v>
      </c>
      <c r="G341" s="7" t="s">
        <v>1452</v>
      </c>
      <c r="H341" s="53" t="s">
        <v>900</v>
      </c>
      <c r="I341" s="53"/>
      <c r="J341" s="53"/>
      <c r="K341" s="7"/>
      <c r="L341" s="53" t="s">
        <v>901</v>
      </c>
      <c r="M341" s="19"/>
      <c r="N341" s="20"/>
      <c r="O341" s="10"/>
      <c r="P341" s="10"/>
      <c r="Q341" s="10"/>
      <c r="R341" s="10"/>
      <c r="S341" s="10"/>
      <c r="T341" s="10"/>
      <c r="U341" s="10"/>
      <c r="V341" s="10"/>
      <c r="W341" s="10"/>
      <c r="X341" s="10"/>
      <c r="Y341" s="10"/>
      <c r="Z341" s="10"/>
    </row>
    <row r="342" ht="15.75" hidden="1" customHeight="1">
      <c r="A342" s="6" t="s">
        <v>1450</v>
      </c>
      <c r="B342" s="7" t="s">
        <v>1463</v>
      </c>
      <c r="C342" s="24"/>
      <c r="D342" s="7"/>
      <c r="E342" s="7">
        <v>0.0</v>
      </c>
      <c r="F342" s="7" t="s">
        <v>15</v>
      </c>
      <c r="G342" s="7" t="s">
        <v>1452</v>
      </c>
      <c r="H342" s="8" t="s">
        <v>900</v>
      </c>
      <c r="I342" s="8"/>
      <c r="J342" s="8"/>
      <c r="K342" s="7"/>
      <c r="L342" s="8" t="s">
        <v>901</v>
      </c>
      <c r="M342" s="9"/>
      <c r="N342" s="10"/>
      <c r="O342" s="10"/>
      <c r="P342" s="10"/>
      <c r="Q342" s="10"/>
      <c r="R342" s="10"/>
      <c r="S342" s="10"/>
      <c r="T342" s="10"/>
      <c r="U342" s="10"/>
      <c r="V342" s="10"/>
      <c r="W342" s="10"/>
      <c r="X342" s="10"/>
      <c r="Y342" s="10"/>
      <c r="Z342" s="10"/>
    </row>
    <row r="343" ht="15.75" hidden="1" customHeight="1">
      <c r="A343" s="6" t="s">
        <v>1450</v>
      </c>
      <c r="B343" s="18" t="s">
        <v>1464</v>
      </c>
      <c r="C343" s="24"/>
      <c r="D343" s="7"/>
      <c r="E343" s="7">
        <v>0.0</v>
      </c>
      <c r="F343" s="7" t="s">
        <v>15</v>
      </c>
      <c r="G343" s="7" t="s">
        <v>1452</v>
      </c>
      <c r="H343" s="8" t="s">
        <v>900</v>
      </c>
      <c r="I343" s="8"/>
      <c r="J343" s="8"/>
      <c r="K343" s="7"/>
      <c r="L343" s="8" t="s">
        <v>901</v>
      </c>
      <c r="M343" s="9"/>
      <c r="N343" s="10"/>
      <c r="O343" s="10"/>
      <c r="P343" s="10"/>
      <c r="Q343" s="10"/>
      <c r="R343" s="10"/>
      <c r="S343" s="10"/>
      <c r="T343" s="10"/>
      <c r="U343" s="10"/>
      <c r="V343" s="10"/>
      <c r="W343" s="10"/>
      <c r="X343" s="10"/>
      <c r="Y343" s="10"/>
      <c r="Z343" s="10"/>
    </row>
    <row r="344" ht="15.75" hidden="1" customHeight="1">
      <c r="A344" s="6" t="s">
        <v>1450</v>
      </c>
      <c r="B344" s="7" t="s">
        <v>1463</v>
      </c>
      <c r="C344" s="24"/>
      <c r="D344" s="7"/>
      <c r="E344" s="7">
        <v>0.0</v>
      </c>
      <c r="F344" s="7" t="s">
        <v>15</v>
      </c>
      <c r="G344" s="7" t="s">
        <v>1452</v>
      </c>
      <c r="H344" s="8" t="s">
        <v>900</v>
      </c>
      <c r="I344" s="8"/>
      <c r="J344" s="8"/>
      <c r="K344" s="7"/>
      <c r="L344" s="8" t="s">
        <v>901</v>
      </c>
      <c r="M344" s="9"/>
      <c r="N344" s="10"/>
      <c r="O344" s="10"/>
      <c r="P344" s="10"/>
      <c r="Q344" s="10"/>
      <c r="R344" s="10"/>
      <c r="S344" s="10"/>
      <c r="T344" s="10"/>
      <c r="U344" s="10"/>
      <c r="V344" s="10"/>
      <c r="W344" s="10"/>
      <c r="X344" s="10"/>
      <c r="Y344" s="10"/>
      <c r="Z344" s="10"/>
    </row>
    <row r="345" ht="15.75" hidden="1" customHeight="1">
      <c r="A345" s="6" t="s">
        <v>1450</v>
      </c>
      <c r="B345" s="18" t="s">
        <v>1465</v>
      </c>
      <c r="C345" s="24"/>
      <c r="D345" s="7"/>
      <c r="E345" s="7">
        <v>0.0</v>
      </c>
      <c r="F345" s="7" t="s">
        <v>15</v>
      </c>
      <c r="G345" s="7" t="s">
        <v>1452</v>
      </c>
      <c r="H345" s="8" t="s">
        <v>900</v>
      </c>
      <c r="I345" s="8"/>
      <c r="J345" s="8"/>
      <c r="K345" s="7"/>
      <c r="L345" s="8" t="s">
        <v>901</v>
      </c>
      <c r="M345" s="9"/>
      <c r="N345" s="10"/>
      <c r="O345" s="10"/>
      <c r="P345" s="10"/>
      <c r="Q345" s="10"/>
      <c r="R345" s="10"/>
      <c r="S345" s="10"/>
      <c r="T345" s="10"/>
      <c r="U345" s="10"/>
      <c r="V345" s="10"/>
      <c r="W345" s="10"/>
      <c r="X345" s="10"/>
      <c r="Y345" s="10"/>
      <c r="Z345" s="10"/>
    </row>
    <row r="346" ht="15.75" hidden="1" customHeight="1">
      <c r="A346" s="6" t="s">
        <v>1450</v>
      </c>
      <c r="B346" s="7" t="s">
        <v>1466</v>
      </c>
      <c r="C346" s="24"/>
      <c r="D346" s="7"/>
      <c r="E346" s="7">
        <v>0.0</v>
      </c>
      <c r="F346" s="7" t="s">
        <v>15</v>
      </c>
      <c r="G346" s="7" t="s">
        <v>1452</v>
      </c>
      <c r="H346" s="8" t="s">
        <v>900</v>
      </c>
      <c r="I346" s="8"/>
      <c r="J346" s="8"/>
      <c r="K346" s="7"/>
      <c r="L346" s="8" t="s">
        <v>901</v>
      </c>
      <c r="M346" s="9"/>
      <c r="N346" s="10"/>
      <c r="O346" s="10"/>
      <c r="P346" s="10"/>
      <c r="Q346" s="10"/>
      <c r="R346" s="10"/>
      <c r="S346" s="10"/>
      <c r="T346" s="10"/>
      <c r="U346" s="10"/>
      <c r="V346" s="10"/>
      <c r="W346" s="10"/>
      <c r="X346" s="10"/>
      <c r="Y346" s="10"/>
      <c r="Z346" s="10"/>
    </row>
    <row r="347" ht="15.75" hidden="1" customHeight="1">
      <c r="A347" s="6" t="s">
        <v>1450</v>
      </c>
      <c r="B347" s="18" t="s">
        <v>1467</v>
      </c>
      <c r="C347" s="24"/>
      <c r="D347" s="7"/>
      <c r="E347" s="7">
        <v>0.0</v>
      </c>
      <c r="F347" s="7" t="s">
        <v>15</v>
      </c>
      <c r="G347" s="7" t="s">
        <v>1452</v>
      </c>
      <c r="H347" s="8" t="s">
        <v>900</v>
      </c>
      <c r="I347" s="8"/>
      <c r="J347" s="8"/>
      <c r="K347" s="7"/>
      <c r="L347" s="8" t="s">
        <v>901</v>
      </c>
      <c r="M347" s="9"/>
      <c r="N347" s="10"/>
      <c r="O347" s="10"/>
      <c r="P347" s="10"/>
      <c r="Q347" s="10"/>
      <c r="R347" s="10"/>
      <c r="S347" s="10"/>
      <c r="T347" s="10"/>
      <c r="U347" s="10"/>
      <c r="V347" s="10"/>
      <c r="W347" s="10"/>
      <c r="X347" s="10"/>
      <c r="Y347" s="10"/>
      <c r="Z347" s="10"/>
    </row>
    <row r="348" ht="15.75" hidden="1" customHeight="1">
      <c r="A348" s="6" t="s">
        <v>1450</v>
      </c>
      <c r="B348" s="7" t="s">
        <v>1468</v>
      </c>
      <c r="C348" s="24"/>
      <c r="D348" s="7"/>
      <c r="E348" s="7">
        <v>0.0</v>
      </c>
      <c r="F348" s="7" t="s">
        <v>15</v>
      </c>
      <c r="G348" s="7" t="s">
        <v>1452</v>
      </c>
      <c r="H348" s="8" t="s">
        <v>900</v>
      </c>
      <c r="I348" s="8"/>
      <c r="J348" s="8"/>
      <c r="K348" s="7"/>
      <c r="L348" s="8" t="s">
        <v>901</v>
      </c>
      <c r="M348" s="9"/>
      <c r="N348" s="10"/>
      <c r="O348" s="10"/>
      <c r="P348" s="10"/>
      <c r="Q348" s="10"/>
      <c r="R348" s="10"/>
      <c r="S348" s="10"/>
      <c r="T348" s="10"/>
      <c r="U348" s="10"/>
      <c r="V348" s="10"/>
      <c r="W348" s="10"/>
      <c r="X348" s="10"/>
      <c r="Y348" s="10"/>
      <c r="Z348" s="10"/>
    </row>
    <row r="349" ht="15.75" hidden="1" customHeight="1">
      <c r="A349" s="6" t="s">
        <v>1450</v>
      </c>
      <c r="B349" s="18" t="s">
        <v>1469</v>
      </c>
      <c r="C349" s="24"/>
      <c r="D349" s="7"/>
      <c r="E349" s="7">
        <v>0.0</v>
      </c>
      <c r="F349" s="7" t="s">
        <v>15</v>
      </c>
      <c r="G349" s="7" t="s">
        <v>1452</v>
      </c>
      <c r="H349" s="8" t="s">
        <v>900</v>
      </c>
      <c r="I349" s="8"/>
      <c r="J349" s="8"/>
      <c r="K349" s="7"/>
      <c r="L349" s="8" t="s">
        <v>901</v>
      </c>
      <c r="M349" s="9"/>
      <c r="N349" s="10"/>
      <c r="O349" s="10"/>
      <c r="P349" s="10"/>
      <c r="Q349" s="10"/>
      <c r="R349" s="10"/>
      <c r="S349" s="10"/>
      <c r="T349" s="10"/>
      <c r="U349" s="10"/>
      <c r="V349" s="10"/>
      <c r="W349" s="10"/>
      <c r="X349" s="10"/>
      <c r="Y349" s="10"/>
      <c r="Z349" s="10"/>
    </row>
    <row r="350" ht="15.75" hidden="1" customHeight="1">
      <c r="A350" s="6" t="s">
        <v>1450</v>
      </c>
      <c r="B350" s="18" t="s">
        <v>1470</v>
      </c>
      <c r="C350" s="24"/>
      <c r="D350" s="7"/>
      <c r="E350" s="7">
        <v>0.0</v>
      </c>
      <c r="F350" s="7" t="s">
        <v>15</v>
      </c>
      <c r="G350" s="7" t="s">
        <v>1452</v>
      </c>
      <c r="H350" s="8" t="s">
        <v>900</v>
      </c>
      <c r="I350" s="8"/>
      <c r="J350" s="8"/>
      <c r="K350" s="7"/>
      <c r="L350" s="8" t="s">
        <v>901</v>
      </c>
      <c r="M350" s="9"/>
      <c r="N350" s="10"/>
      <c r="O350" s="10"/>
      <c r="P350" s="10"/>
      <c r="Q350" s="10"/>
      <c r="R350" s="10"/>
      <c r="S350" s="10"/>
      <c r="T350" s="10"/>
      <c r="U350" s="10"/>
      <c r="V350" s="10"/>
      <c r="W350" s="10"/>
      <c r="X350" s="10"/>
      <c r="Y350" s="10"/>
      <c r="Z350" s="10"/>
    </row>
    <row r="351" ht="15.75" hidden="1" customHeight="1">
      <c r="A351" s="6" t="s">
        <v>1450</v>
      </c>
      <c r="B351" s="18" t="s">
        <v>1471</v>
      </c>
      <c r="C351" s="24"/>
      <c r="D351" s="7"/>
      <c r="E351" s="7">
        <v>0.0</v>
      </c>
      <c r="F351" s="7" t="s">
        <v>15</v>
      </c>
      <c r="G351" s="7" t="s">
        <v>1452</v>
      </c>
      <c r="H351" s="8" t="s">
        <v>900</v>
      </c>
      <c r="I351" s="8"/>
      <c r="J351" s="8"/>
      <c r="K351" s="7"/>
      <c r="L351" s="8" t="s">
        <v>901</v>
      </c>
      <c r="M351" s="9"/>
      <c r="N351" s="10"/>
      <c r="O351" s="10"/>
      <c r="P351" s="10"/>
      <c r="Q351" s="10"/>
      <c r="R351" s="10"/>
      <c r="S351" s="10"/>
      <c r="T351" s="10"/>
      <c r="U351" s="10"/>
      <c r="V351" s="10"/>
      <c r="W351" s="10"/>
      <c r="X351" s="10"/>
      <c r="Y351" s="10"/>
      <c r="Z351" s="10"/>
    </row>
    <row r="352" ht="15.75" hidden="1" customHeight="1">
      <c r="A352" s="6" t="s">
        <v>1450</v>
      </c>
      <c r="B352" s="7" t="s">
        <v>1472</v>
      </c>
      <c r="C352" s="24"/>
      <c r="D352" s="7"/>
      <c r="E352" s="7">
        <v>0.0</v>
      </c>
      <c r="F352" s="7" t="s">
        <v>15</v>
      </c>
      <c r="G352" s="7" t="s">
        <v>1452</v>
      </c>
      <c r="H352" s="53" t="s">
        <v>900</v>
      </c>
      <c r="I352" s="53"/>
      <c r="J352" s="53"/>
      <c r="K352" s="7"/>
      <c r="L352" s="53" t="s">
        <v>901</v>
      </c>
      <c r="M352" s="9"/>
      <c r="N352" s="10"/>
      <c r="O352" s="10"/>
      <c r="P352" s="10"/>
      <c r="Q352" s="10"/>
      <c r="R352" s="10"/>
      <c r="S352" s="10"/>
      <c r="T352" s="10"/>
      <c r="U352" s="10"/>
      <c r="V352" s="10"/>
      <c r="W352" s="10"/>
      <c r="X352" s="10"/>
      <c r="Y352" s="10"/>
      <c r="Z352" s="10"/>
    </row>
    <row r="353" ht="15.75" hidden="1" customHeight="1">
      <c r="A353" s="6" t="s">
        <v>1450</v>
      </c>
      <c r="B353" s="7" t="s">
        <v>1473</v>
      </c>
      <c r="C353" s="24"/>
      <c r="D353" s="7"/>
      <c r="E353" s="7">
        <v>0.0</v>
      </c>
      <c r="F353" s="7" t="s">
        <v>15</v>
      </c>
      <c r="G353" s="7" t="s">
        <v>1452</v>
      </c>
      <c r="H353" s="53" t="s">
        <v>900</v>
      </c>
      <c r="I353" s="53"/>
      <c r="J353" s="53"/>
      <c r="K353" s="7"/>
      <c r="L353" s="53" t="s">
        <v>901</v>
      </c>
      <c r="M353" s="9"/>
      <c r="N353" s="10"/>
      <c r="O353" s="10"/>
      <c r="P353" s="10"/>
      <c r="Q353" s="10"/>
      <c r="R353" s="10"/>
      <c r="S353" s="10"/>
      <c r="T353" s="10"/>
      <c r="U353" s="10"/>
      <c r="V353" s="10"/>
      <c r="W353" s="10"/>
      <c r="X353" s="10"/>
      <c r="Y353" s="10"/>
      <c r="Z353" s="10"/>
    </row>
    <row r="354" ht="15.75" hidden="1" customHeight="1">
      <c r="A354" s="6" t="s">
        <v>1450</v>
      </c>
      <c r="B354" s="18" t="s">
        <v>1474</v>
      </c>
      <c r="C354" s="24"/>
      <c r="D354" s="7"/>
      <c r="E354" s="7">
        <v>0.0</v>
      </c>
      <c r="F354" s="7" t="s">
        <v>15</v>
      </c>
      <c r="G354" s="7" t="s">
        <v>1452</v>
      </c>
      <c r="H354" s="53" t="s">
        <v>900</v>
      </c>
      <c r="I354" s="53"/>
      <c r="J354" s="53"/>
      <c r="K354" s="7"/>
      <c r="L354" s="53" t="s">
        <v>901</v>
      </c>
      <c r="M354" s="9"/>
      <c r="N354" s="10"/>
      <c r="O354" s="10"/>
      <c r="P354" s="10"/>
      <c r="Q354" s="10"/>
      <c r="R354" s="10"/>
      <c r="S354" s="10"/>
      <c r="T354" s="10"/>
      <c r="U354" s="10"/>
      <c r="V354" s="10"/>
      <c r="W354" s="10"/>
      <c r="X354" s="10"/>
      <c r="Y354" s="10"/>
      <c r="Z354" s="10"/>
    </row>
    <row r="355" ht="15.75" hidden="1" customHeight="1">
      <c r="A355" s="6" t="s">
        <v>1450</v>
      </c>
      <c r="B355" s="7" t="s">
        <v>1475</v>
      </c>
      <c r="C355" s="24"/>
      <c r="D355" s="7"/>
      <c r="E355" s="7">
        <v>0.0</v>
      </c>
      <c r="F355" s="7" t="s">
        <v>15</v>
      </c>
      <c r="G355" s="7" t="s">
        <v>1452</v>
      </c>
      <c r="H355" s="8" t="s">
        <v>900</v>
      </c>
      <c r="I355" s="8"/>
      <c r="J355" s="8"/>
      <c r="K355" s="7"/>
      <c r="L355" s="8" t="s">
        <v>901</v>
      </c>
      <c r="M355" s="9"/>
      <c r="N355" s="10"/>
      <c r="O355" s="10"/>
      <c r="P355" s="10"/>
      <c r="Q355" s="10"/>
      <c r="R355" s="10"/>
      <c r="S355" s="10"/>
      <c r="T355" s="10"/>
      <c r="U355" s="10"/>
      <c r="V355" s="10"/>
      <c r="W355" s="10"/>
      <c r="X355" s="10"/>
      <c r="Y355" s="10"/>
      <c r="Z355" s="10"/>
    </row>
    <row r="356" ht="15.75" hidden="1" customHeight="1">
      <c r="A356" s="6" t="s">
        <v>1450</v>
      </c>
      <c r="B356" s="7" t="s">
        <v>1476</v>
      </c>
      <c r="C356" s="24"/>
      <c r="D356" s="7"/>
      <c r="E356" s="7">
        <v>0.0</v>
      </c>
      <c r="F356" s="7" t="s">
        <v>15</v>
      </c>
      <c r="G356" s="7" t="s">
        <v>1452</v>
      </c>
      <c r="H356" s="8" t="s">
        <v>900</v>
      </c>
      <c r="I356" s="8"/>
      <c r="J356" s="8"/>
      <c r="K356" s="7"/>
      <c r="L356" s="8" t="s">
        <v>901</v>
      </c>
      <c r="M356" s="9"/>
      <c r="N356" s="10"/>
      <c r="O356" s="10"/>
      <c r="P356" s="10"/>
      <c r="Q356" s="10"/>
      <c r="R356" s="10"/>
      <c r="S356" s="10"/>
      <c r="T356" s="10"/>
      <c r="U356" s="10"/>
      <c r="V356" s="10"/>
      <c r="W356" s="10"/>
      <c r="X356" s="10"/>
      <c r="Y356" s="10"/>
      <c r="Z356" s="10"/>
    </row>
    <row r="357" ht="15.75" hidden="1" customHeight="1">
      <c r="A357" s="6" t="s">
        <v>1450</v>
      </c>
      <c r="B357" s="7" t="s">
        <v>1477</v>
      </c>
      <c r="C357" s="24"/>
      <c r="D357" s="7"/>
      <c r="E357" s="7">
        <v>0.0</v>
      </c>
      <c r="F357" s="7" t="s">
        <v>15</v>
      </c>
      <c r="G357" s="7" t="s">
        <v>1452</v>
      </c>
      <c r="H357" s="8" t="s">
        <v>900</v>
      </c>
      <c r="I357" s="8"/>
      <c r="J357" s="8"/>
      <c r="K357" s="7"/>
      <c r="L357" s="8" t="s">
        <v>901</v>
      </c>
      <c r="M357" s="9"/>
      <c r="N357" s="10"/>
      <c r="O357" s="10"/>
      <c r="P357" s="10"/>
      <c r="Q357" s="10"/>
      <c r="R357" s="10"/>
      <c r="S357" s="10"/>
      <c r="T357" s="10"/>
      <c r="U357" s="10"/>
      <c r="V357" s="10"/>
      <c r="W357" s="10"/>
      <c r="X357" s="10"/>
      <c r="Y357" s="10"/>
      <c r="Z357" s="10"/>
    </row>
    <row r="358" ht="15.75" hidden="1" customHeight="1">
      <c r="A358" s="6" t="s">
        <v>1450</v>
      </c>
      <c r="B358" s="7" t="s">
        <v>1478</v>
      </c>
      <c r="C358" s="24"/>
      <c r="D358" s="7"/>
      <c r="E358" s="7">
        <v>0.0</v>
      </c>
      <c r="F358" s="7" t="s">
        <v>15</v>
      </c>
      <c r="G358" s="7" t="s">
        <v>1452</v>
      </c>
      <c r="H358" s="8" t="s">
        <v>900</v>
      </c>
      <c r="I358" s="8"/>
      <c r="J358" s="8"/>
      <c r="K358" s="7"/>
      <c r="L358" s="8" t="s">
        <v>901</v>
      </c>
      <c r="M358" s="9"/>
      <c r="N358" s="10"/>
      <c r="O358" s="10"/>
      <c r="P358" s="10"/>
      <c r="Q358" s="10"/>
      <c r="R358" s="10"/>
      <c r="S358" s="10"/>
      <c r="T358" s="10"/>
      <c r="U358" s="10"/>
      <c r="V358" s="10"/>
      <c r="W358" s="10"/>
      <c r="X358" s="10"/>
      <c r="Y358" s="10"/>
      <c r="Z358" s="10"/>
    </row>
    <row r="359" ht="15.75" hidden="1" customHeight="1">
      <c r="A359" s="6" t="s">
        <v>1450</v>
      </c>
      <c r="B359" s="18" t="s">
        <v>1479</v>
      </c>
      <c r="C359" s="24"/>
      <c r="D359" s="7"/>
      <c r="E359" s="7">
        <v>0.0</v>
      </c>
      <c r="F359" s="7" t="s">
        <v>15</v>
      </c>
      <c r="G359" s="7" t="s">
        <v>1452</v>
      </c>
      <c r="H359" s="8" t="s">
        <v>900</v>
      </c>
      <c r="I359" s="8"/>
      <c r="J359" s="8"/>
      <c r="K359" s="7"/>
      <c r="L359" s="8" t="s">
        <v>901</v>
      </c>
      <c r="M359" s="9"/>
      <c r="N359" s="10"/>
      <c r="O359" s="10"/>
      <c r="P359" s="10"/>
      <c r="Q359" s="10"/>
      <c r="R359" s="10"/>
      <c r="S359" s="10"/>
      <c r="T359" s="10"/>
      <c r="U359" s="10"/>
      <c r="V359" s="10"/>
      <c r="W359" s="10"/>
      <c r="X359" s="10"/>
      <c r="Y359" s="10"/>
      <c r="Z359" s="10"/>
    </row>
    <row r="360" ht="15.75" hidden="1" customHeight="1">
      <c r="A360" s="6" t="s">
        <v>1450</v>
      </c>
      <c r="B360" s="7" t="s">
        <v>1480</v>
      </c>
      <c r="C360" s="24"/>
      <c r="D360" s="7"/>
      <c r="E360" s="7">
        <v>0.0</v>
      </c>
      <c r="F360" s="7" t="s">
        <v>15</v>
      </c>
      <c r="G360" s="7" t="s">
        <v>1452</v>
      </c>
      <c r="H360" s="8" t="s">
        <v>900</v>
      </c>
      <c r="I360" s="8"/>
      <c r="J360" s="8"/>
      <c r="K360" s="7"/>
      <c r="L360" s="8" t="s">
        <v>901</v>
      </c>
      <c r="M360" s="9"/>
      <c r="N360" s="10"/>
      <c r="O360" s="10"/>
      <c r="P360" s="10"/>
      <c r="Q360" s="10"/>
      <c r="R360" s="10"/>
      <c r="S360" s="10"/>
      <c r="T360" s="10"/>
      <c r="U360" s="10"/>
      <c r="V360" s="10"/>
      <c r="W360" s="10"/>
      <c r="X360" s="10"/>
      <c r="Y360" s="10"/>
      <c r="Z360" s="10"/>
    </row>
    <row r="361" ht="15.75" hidden="1" customHeight="1">
      <c r="A361" s="6" t="s">
        <v>1450</v>
      </c>
      <c r="B361" s="18" t="s">
        <v>1481</v>
      </c>
      <c r="C361" s="24"/>
      <c r="D361" s="7"/>
      <c r="E361" s="7">
        <v>0.0</v>
      </c>
      <c r="F361" s="7" t="s">
        <v>15</v>
      </c>
      <c r="G361" s="7" t="s">
        <v>1452</v>
      </c>
      <c r="H361" s="8" t="s">
        <v>900</v>
      </c>
      <c r="I361" s="8"/>
      <c r="J361" s="8"/>
      <c r="K361" s="7"/>
      <c r="L361" s="8" t="s">
        <v>901</v>
      </c>
      <c r="M361" s="9"/>
      <c r="N361" s="10"/>
      <c r="O361" s="10"/>
      <c r="P361" s="10"/>
      <c r="Q361" s="10"/>
      <c r="R361" s="10"/>
      <c r="S361" s="10"/>
      <c r="T361" s="10"/>
      <c r="U361" s="10"/>
      <c r="V361" s="10"/>
      <c r="W361" s="10"/>
      <c r="X361" s="10"/>
      <c r="Y361" s="10"/>
      <c r="Z361" s="10"/>
    </row>
    <row r="362" ht="15.75" hidden="1" customHeight="1">
      <c r="A362" s="6" t="s">
        <v>1450</v>
      </c>
      <c r="B362" s="18" t="s">
        <v>1482</v>
      </c>
      <c r="C362" s="24"/>
      <c r="D362" s="7"/>
      <c r="E362" s="7">
        <v>0.0</v>
      </c>
      <c r="F362" s="7" t="s">
        <v>15</v>
      </c>
      <c r="G362" s="7" t="s">
        <v>1452</v>
      </c>
      <c r="H362" s="8" t="s">
        <v>900</v>
      </c>
      <c r="I362" s="8"/>
      <c r="J362" s="8"/>
      <c r="K362" s="7"/>
      <c r="L362" s="8" t="s">
        <v>901</v>
      </c>
      <c r="M362" s="9"/>
      <c r="N362" s="10"/>
      <c r="O362" s="10"/>
      <c r="P362" s="10"/>
      <c r="Q362" s="10"/>
      <c r="R362" s="10"/>
      <c r="S362" s="10"/>
      <c r="T362" s="10"/>
      <c r="U362" s="10"/>
      <c r="V362" s="10"/>
      <c r="W362" s="10"/>
      <c r="X362" s="10"/>
      <c r="Y362" s="10"/>
      <c r="Z362" s="10"/>
    </row>
    <row r="363" ht="15.75" hidden="1" customHeight="1">
      <c r="A363" s="21" t="s">
        <v>1450</v>
      </c>
      <c r="B363" s="18" t="s">
        <v>1483</v>
      </c>
      <c r="C363" s="24"/>
      <c r="D363" s="7"/>
      <c r="E363" s="7">
        <v>0.0</v>
      </c>
      <c r="F363" s="7" t="s">
        <v>15</v>
      </c>
      <c r="G363" s="7" t="s">
        <v>1452</v>
      </c>
      <c r="H363" s="8" t="s">
        <v>900</v>
      </c>
      <c r="I363" s="8"/>
      <c r="J363" s="8"/>
      <c r="K363" s="9"/>
      <c r="L363" s="8" t="s">
        <v>901</v>
      </c>
      <c r="M363" s="9"/>
      <c r="N363" s="10"/>
      <c r="O363" s="10"/>
      <c r="P363" s="10"/>
      <c r="Q363" s="10"/>
      <c r="R363" s="10"/>
      <c r="S363" s="10"/>
      <c r="T363" s="10"/>
      <c r="U363" s="10"/>
      <c r="V363" s="10"/>
      <c r="W363" s="10"/>
      <c r="X363" s="10"/>
      <c r="Y363" s="10"/>
      <c r="Z363" s="10"/>
    </row>
    <row r="364" ht="15.75" hidden="1" customHeight="1">
      <c r="A364" s="6" t="s">
        <v>1450</v>
      </c>
      <c r="B364" s="7" t="s">
        <v>1484</v>
      </c>
      <c r="C364" s="24"/>
      <c r="D364" s="7"/>
      <c r="E364" s="7">
        <v>0.0</v>
      </c>
      <c r="F364" s="7" t="s">
        <v>15</v>
      </c>
      <c r="G364" s="7" t="s">
        <v>1452</v>
      </c>
      <c r="H364" s="8" t="s">
        <v>900</v>
      </c>
      <c r="I364" s="8"/>
      <c r="J364" s="8"/>
      <c r="K364" s="9"/>
      <c r="L364" s="8" t="s">
        <v>901</v>
      </c>
      <c r="M364" s="9"/>
      <c r="N364" s="10"/>
      <c r="O364" s="10"/>
      <c r="P364" s="10"/>
      <c r="Q364" s="10"/>
      <c r="R364" s="10"/>
      <c r="S364" s="10"/>
      <c r="T364" s="10"/>
      <c r="U364" s="10"/>
      <c r="V364" s="10"/>
      <c r="W364" s="10"/>
      <c r="X364" s="10"/>
      <c r="Y364" s="10"/>
      <c r="Z364" s="10"/>
    </row>
    <row r="365" ht="15.75" hidden="1" customHeight="1">
      <c r="A365" s="6" t="s">
        <v>1450</v>
      </c>
      <c r="B365" s="7" t="s">
        <v>1485</v>
      </c>
      <c r="C365" s="24"/>
      <c r="D365" s="7"/>
      <c r="E365" s="7">
        <v>0.0</v>
      </c>
      <c r="F365" s="7" t="s">
        <v>15</v>
      </c>
      <c r="G365" s="7" t="s">
        <v>1452</v>
      </c>
      <c r="H365" s="8" t="s">
        <v>900</v>
      </c>
      <c r="I365" s="8"/>
      <c r="J365" s="8"/>
      <c r="K365" s="7"/>
      <c r="L365" s="8" t="s">
        <v>901</v>
      </c>
      <c r="M365" s="9"/>
      <c r="N365" s="10"/>
      <c r="O365" s="10"/>
      <c r="P365" s="10"/>
      <c r="Q365" s="10"/>
      <c r="R365" s="10"/>
      <c r="S365" s="10"/>
      <c r="T365" s="10"/>
      <c r="U365" s="10"/>
      <c r="V365" s="10"/>
      <c r="W365" s="10"/>
      <c r="X365" s="10"/>
      <c r="Y365" s="10"/>
      <c r="Z365" s="10"/>
    </row>
    <row r="366" ht="15.75" hidden="1" customHeight="1">
      <c r="A366" s="6" t="s">
        <v>1450</v>
      </c>
      <c r="B366" s="7" t="s">
        <v>1486</v>
      </c>
      <c r="C366" s="24"/>
      <c r="D366" s="7"/>
      <c r="E366" s="7">
        <v>0.0</v>
      </c>
      <c r="F366" s="7" t="s">
        <v>15</v>
      </c>
      <c r="G366" s="7" t="s">
        <v>1452</v>
      </c>
      <c r="H366" s="8" t="s">
        <v>900</v>
      </c>
      <c r="I366" s="8"/>
      <c r="J366" s="8"/>
      <c r="K366" s="9"/>
      <c r="L366" s="8" t="s">
        <v>901</v>
      </c>
      <c r="M366" s="9"/>
      <c r="N366" s="10"/>
      <c r="O366" s="10"/>
      <c r="P366" s="10"/>
      <c r="Q366" s="10"/>
      <c r="R366" s="10"/>
      <c r="S366" s="10"/>
      <c r="T366" s="10"/>
      <c r="U366" s="10"/>
      <c r="V366" s="10"/>
      <c r="W366" s="10"/>
      <c r="X366" s="10"/>
      <c r="Y366" s="10"/>
      <c r="Z366" s="10"/>
    </row>
    <row r="367" ht="15.75" hidden="1" customHeight="1">
      <c r="A367" s="6" t="s">
        <v>1450</v>
      </c>
      <c r="B367" s="7" t="s">
        <v>1487</v>
      </c>
      <c r="C367" s="24"/>
      <c r="D367" s="7"/>
      <c r="E367" s="7">
        <v>0.0</v>
      </c>
      <c r="F367" s="7" t="s">
        <v>15</v>
      </c>
      <c r="G367" s="7" t="s">
        <v>1452</v>
      </c>
      <c r="H367" s="8" t="s">
        <v>900</v>
      </c>
      <c r="I367" s="8"/>
      <c r="J367" s="8"/>
      <c r="K367" s="9"/>
      <c r="L367" s="8" t="s">
        <v>901</v>
      </c>
      <c r="M367" s="9"/>
      <c r="N367" s="10"/>
      <c r="O367" s="10"/>
      <c r="P367" s="10"/>
      <c r="Q367" s="10"/>
      <c r="R367" s="10"/>
      <c r="S367" s="10"/>
      <c r="T367" s="10"/>
      <c r="U367" s="10"/>
      <c r="V367" s="10"/>
      <c r="W367" s="10"/>
      <c r="X367" s="10"/>
      <c r="Y367" s="10"/>
      <c r="Z367" s="10"/>
    </row>
    <row r="368" ht="15.75" hidden="1" customHeight="1">
      <c r="A368" s="6" t="s">
        <v>1450</v>
      </c>
      <c r="B368" s="18" t="s">
        <v>1488</v>
      </c>
      <c r="C368" s="24"/>
      <c r="D368" s="7"/>
      <c r="E368" s="7">
        <v>0.0</v>
      </c>
      <c r="F368" s="7" t="s">
        <v>15</v>
      </c>
      <c r="G368" s="7" t="s">
        <v>1452</v>
      </c>
      <c r="H368" s="8" t="s">
        <v>900</v>
      </c>
      <c r="I368" s="8"/>
      <c r="J368" s="8"/>
      <c r="K368" s="9"/>
      <c r="L368" s="8" t="s">
        <v>901</v>
      </c>
      <c r="M368" s="9"/>
      <c r="N368" s="10"/>
      <c r="O368" s="10"/>
      <c r="P368" s="10"/>
      <c r="Q368" s="10"/>
      <c r="R368" s="10"/>
      <c r="S368" s="10"/>
      <c r="T368" s="10"/>
      <c r="U368" s="10"/>
      <c r="V368" s="10"/>
      <c r="W368" s="10"/>
      <c r="X368" s="10"/>
      <c r="Y368" s="10"/>
      <c r="Z368" s="10"/>
    </row>
    <row r="369" ht="15.75" hidden="1" customHeight="1">
      <c r="A369" s="6" t="s">
        <v>1450</v>
      </c>
      <c r="B369" s="7" t="s">
        <v>1489</v>
      </c>
      <c r="C369" s="24"/>
      <c r="D369" s="7"/>
      <c r="E369" s="7">
        <v>0.0</v>
      </c>
      <c r="F369" s="7" t="s">
        <v>15</v>
      </c>
      <c r="G369" s="7" t="s">
        <v>1452</v>
      </c>
      <c r="H369" s="8" t="s">
        <v>900</v>
      </c>
      <c r="I369" s="8"/>
      <c r="J369" s="8"/>
      <c r="K369" s="9"/>
      <c r="L369" s="8" t="s">
        <v>901</v>
      </c>
      <c r="M369" s="9"/>
      <c r="N369" s="10"/>
      <c r="O369" s="10"/>
      <c r="P369" s="10"/>
      <c r="Q369" s="10"/>
      <c r="R369" s="10"/>
      <c r="S369" s="10"/>
      <c r="T369" s="10"/>
      <c r="U369" s="10"/>
      <c r="V369" s="10"/>
      <c r="W369" s="10"/>
      <c r="X369" s="10"/>
      <c r="Y369" s="10"/>
      <c r="Z369" s="10"/>
    </row>
    <row r="370" ht="15.75" hidden="1" customHeight="1">
      <c r="A370" s="6" t="s">
        <v>1490</v>
      </c>
      <c r="B370" s="7" t="s">
        <v>1491</v>
      </c>
      <c r="C370" s="24"/>
      <c r="D370" s="7"/>
      <c r="E370" s="7">
        <v>0.0</v>
      </c>
      <c r="F370" s="7" t="s">
        <v>15</v>
      </c>
      <c r="G370" s="7" t="s">
        <v>1492</v>
      </c>
      <c r="H370" s="53" t="s">
        <v>900</v>
      </c>
      <c r="I370" s="53"/>
      <c r="J370" s="53"/>
      <c r="K370" s="7"/>
      <c r="L370" s="53" t="s">
        <v>901</v>
      </c>
      <c r="M370" s="9"/>
      <c r="N370" s="10"/>
      <c r="O370" s="10"/>
      <c r="P370" s="10"/>
      <c r="Q370" s="10"/>
      <c r="R370" s="10"/>
      <c r="S370" s="10"/>
      <c r="T370" s="10"/>
      <c r="U370" s="10"/>
      <c r="V370" s="10"/>
      <c r="W370" s="10"/>
      <c r="X370" s="10"/>
      <c r="Y370" s="10"/>
      <c r="Z370" s="10"/>
    </row>
    <row r="371" ht="15.75" hidden="1" customHeight="1">
      <c r="A371" s="6" t="s">
        <v>1490</v>
      </c>
      <c r="B371" s="18" t="s">
        <v>1493</v>
      </c>
      <c r="C371" s="24"/>
      <c r="D371" s="7"/>
      <c r="E371" s="7">
        <v>0.0</v>
      </c>
      <c r="F371" s="7" t="s">
        <v>15</v>
      </c>
      <c r="G371" s="7" t="s">
        <v>1492</v>
      </c>
      <c r="H371" s="53" t="s">
        <v>900</v>
      </c>
      <c r="I371" s="53"/>
      <c r="J371" s="53"/>
      <c r="K371" s="7"/>
      <c r="L371" s="53" t="s">
        <v>901</v>
      </c>
      <c r="M371" s="9"/>
      <c r="N371" s="10"/>
      <c r="O371" s="10"/>
      <c r="P371" s="10"/>
      <c r="Q371" s="10"/>
      <c r="R371" s="10"/>
      <c r="S371" s="10"/>
      <c r="T371" s="10"/>
      <c r="U371" s="10"/>
      <c r="V371" s="10"/>
      <c r="W371" s="10"/>
      <c r="X371" s="10"/>
      <c r="Y371" s="10"/>
      <c r="Z371" s="10"/>
    </row>
    <row r="372" ht="15.75" hidden="1" customHeight="1">
      <c r="A372" s="6" t="s">
        <v>1490</v>
      </c>
      <c r="B372" s="7" t="s">
        <v>1494</v>
      </c>
      <c r="C372" s="24"/>
      <c r="D372" s="7"/>
      <c r="E372" s="7">
        <v>0.0</v>
      </c>
      <c r="F372" s="7" t="s">
        <v>15</v>
      </c>
      <c r="G372" s="7" t="s">
        <v>1492</v>
      </c>
      <c r="H372" s="8" t="s">
        <v>900</v>
      </c>
      <c r="I372" s="8"/>
      <c r="J372" s="8"/>
      <c r="K372" s="7"/>
      <c r="L372" s="8" t="s">
        <v>901</v>
      </c>
      <c r="M372" s="9"/>
      <c r="N372" s="10"/>
      <c r="O372" s="10"/>
      <c r="P372" s="10"/>
      <c r="Q372" s="10"/>
      <c r="R372" s="10"/>
      <c r="S372" s="10"/>
      <c r="T372" s="10"/>
      <c r="U372" s="10"/>
      <c r="V372" s="10"/>
      <c r="W372" s="10"/>
      <c r="X372" s="10"/>
      <c r="Y372" s="10"/>
      <c r="Z372" s="10"/>
    </row>
    <row r="373" ht="15.75" hidden="1" customHeight="1">
      <c r="A373" s="6" t="s">
        <v>1490</v>
      </c>
      <c r="B373" s="7" t="s">
        <v>1495</v>
      </c>
      <c r="C373" s="24"/>
      <c r="D373" s="7"/>
      <c r="E373" s="7">
        <v>0.0</v>
      </c>
      <c r="F373" s="7" t="s">
        <v>15</v>
      </c>
      <c r="G373" s="7" t="s">
        <v>1492</v>
      </c>
      <c r="H373" s="8" t="s">
        <v>900</v>
      </c>
      <c r="I373" s="8"/>
      <c r="J373" s="8"/>
      <c r="K373" s="7"/>
      <c r="L373" s="8" t="s">
        <v>901</v>
      </c>
      <c r="M373" s="9"/>
      <c r="N373" s="10"/>
      <c r="O373" s="10"/>
      <c r="P373" s="10"/>
      <c r="Q373" s="10"/>
      <c r="R373" s="10"/>
      <c r="S373" s="10"/>
      <c r="T373" s="10"/>
      <c r="U373" s="10"/>
      <c r="V373" s="10"/>
      <c r="W373" s="10"/>
      <c r="X373" s="10"/>
      <c r="Y373" s="10"/>
      <c r="Z373" s="10"/>
    </row>
    <row r="374" ht="15.75" hidden="1" customHeight="1">
      <c r="A374" s="6" t="s">
        <v>1490</v>
      </c>
      <c r="B374" s="7" t="s">
        <v>1496</v>
      </c>
      <c r="C374" s="24"/>
      <c r="D374" s="7"/>
      <c r="E374" s="7">
        <v>0.0</v>
      </c>
      <c r="F374" s="7" t="s">
        <v>15</v>
      </c>
      <c r="G374" s="7" t="s">
        <v>1492</v>
      </c>
      <c r="H374" s="8" t="s">
        <v>900</v>
      </c>
      <c r="I374" s="8"/>
      <c r="J374" s="8"/>
      <c r="K374" s="7"/>
      <c r="L374" s="8" t="s">
        <v>901</v>
      </c>
      <c r="M374" s="9"/>
      <c r="N374" s="10"/>
      <c r="O374" s="10"/>
      <c r="P374" s="10"/>
      <c r="Q374" s="10"/>
      <c r="R374" s="10"/>
      <c r="S374" s="10"/>
      <c r="T374" s="10"/>
      <c r="U374" s="10"/>
      <c r="V374" s="10"/>
      <c r="W374" s="10"/>
      <c r="X374" s="10"/>
      <c r="Y374" s="10"/>
      <c r="Z374" s="10"/>
    </row>
    <row r="375" ht="15.75" hidden="1" customHeight="1">
      <c r="A375" s="6" t="s">
        <v>1490</v>
      </c>
      <c r="B375" s="7" t="s">
        <v>1497</v>
      </c>
      <c r="C375" s="24"/>
      <c r="D375" s="7"/>
      <c r="E375" s="7">
        <v>0.0</v>
      </c>
      <c r="F375" s="7" t="s">
        <v>15</v>
      </c>
      <c r="G375" s="7" t="s">
        <v>1492</v>
      </c>
      <c r="H375" s="8" t="s">
        <v>900</v>
      </c>
      <c r="I375" s="8"/>
      <c r="J375" s="8"/>
      <c r="K375" s="7"/>
      <c r="L375" s="8" t="s">
        <v>901</v>
      </c>
      <c r="M375" s="9"/>
      <c r="N375" s="10"/>
      <c r="O375" s="10"/>
      <c r="P375" s="10"/>
      <c r="Q375" s="10"/>
      <c r="R375" s="10"/>
      <c r="S375" s="10"/>
      <c r="T375" s="10"/>
      <c r="U375" s="10"/>
      <c r="V375" s="10"/>
      <c r="W375" s="10"/>
      <c r="X375" s="10"/>
      <c r="Y375" s="10"/>
      <c r="Z375" s="10"/>
    </row>
    <row r="376" ht="15.75" hidden="1" customHeight="1">
      <c r="A376" s="6" t="s">
        <v>1490</v>
      </c>
      <c r="B376" s="7" t="s">
        <v>1498</v>
      </c>
      <c r="C376" s="24"/>
      <c r="D376" s="7"/>
      <c r="E376" s="7">
        <v>0.0</v>
      </c>
      <c r="F376" s="7" t="s">
        <v>15</v>
      </c>
      <c r="G376" s="7" t="s">
        <v>1492</v>
      </c>
      <c r="H376" s="8" t="s">
        <v>900</v>
      </c>
      <c r="I376" s="8"/>
      <c r="J376" s="8"/>
      <c r="K376" s="7"/>
      <c r="L376" s="8" t="s">
        <v>901</v>
      </c>
      <c r="M376" s="9"/>
      <c r="N376" s="10"/>
      <c r="O376" s="10"/>
      <c r="P376" s="10"/>
      <c r="Q376" s="10"/>
      <c r="R376" s="10"/>
      <c r="S376" s="10"/>
      <c r="T376" s="10"/>
      <c r="U376" s="10"/>
      <c r="V376" s="10"/>
      <c r="W376" s="10"/>
      <c r="X376" s="10"/>
      <c r="Y376" s="10"/>
      <c r="Z376" s="10"/>
    </row>
    <row r="377" ht="15.75" hidden="1" customHeight="1">
      <c r="A377" s="6" t="s">
        <v>1490</v>
      </c>
      <c r="B377" s="18" t="s">
        <v>1499</v>
      </c>
      <c r="C377" s="24"/>
      <c r="D377" s="7"/>
      <c r="E377" s="7">
        <v>0.0</v>
      </c>
      <c r="F377" s="7" t="s">
        <v>15</v>
      </c>
      <c r="G377" s="7" t="s">
        <v>1492</v>
      </c>
      <c r="H377" s="8" t="s">
        <v>900</v>
      </c>
      <c r="I377" s="8"/>
      <c r="J377" s="8"/>
      <c r="K377" s="7"/>
      <c r="L377" s="8" t="s">
        <v>901</v>
      </c>
      <c r="M377" s="9"/>
      <c r="N377" s="10"/>
      <c r="O377" s="10"/>
      <c r="P377" s="10"/>
      <c r="Q377" s="10"/>
      <c r="R377" s="10"/>
      <c r="S377" s="10"/>
      <c r="T377" s="10"/>
      <c r="U377" s="10"/>
      <c r="V377" s="10"/>
      <c r="W377" s="10"/>
      <c r="X377" s="10"/>
      <c r="Y377" s="10"/>
      <c r="Z377" s="10"/>
    </row>
    <row r="378" ht="15.75" hidden="1" customHeight="1">
      <c r="A378" s="6" t="s">
        <v>1490</v>
      </c>
      <c r="B378" s="7" t="s">
        <v>1500</v>
      </c>
      <c r="C378" s="24"/>
      <c r="D378" s="7"/>
      <c r="E378" s="7">
        <v>0.0</v>
      </c>
      <c r="F378" s="7" t="s">
        <v>15</v>
      </c>
      <c r="G378" s="7" t="s">
        <v>1492</v>
      </c>
      <c r="H378" s="8" t="s">
        <v>900</v>
      </c>
      <c r="I378" s="8"/>
      <c r="J378" s="8"/>
      <c r="K378" s="7"/>
      <c r="L378" s="8" t="s">
        <v>901</v>
      </c>
      <c r="M378" s="9"/>
      <c r="N378" s="10"/>
      <c r="O378" s="10"/>
      <c r="P378" s="10"/>
      <c r="Q378" s="10"/>
      <c r="R378" s="10"/>
      <c r="S378" s="10"/>
      <c r="T378" s="10"/>
      <c r="U378" s="10"/>
      <c r="V378" s="10"/>
      <c r="W378" s="10"/>
      <c r="X378" s="10"/>
      <c r="Y378" s="10"/>
      <c r="Z378" s="10"/>
    </row>
    <row r="379" ht="15.75" hidden="1" customHeight="1">
      <c r="A379" s="6" t="s">
        <v>1490</v>
      </c>
      <c r="B379" s="7" t="s">
        <v>1501</v>
      </c>
      <c r="C379" s="24"/>
      <c r="D379" s="7"/>
      <c r="E379" s="7">
        <v>0.0</v>
      </c>
      <c r="F379" s="7" t="s">
        <v>15</v>
      </c>
      <c r="G379" s="7" t="s">
        <v>1492</v>
      </c>
      <c r="H379" s="8" t="s">
        <v>900</v>
      </c>
      <c r="I379" s="8"/>
      <c r="J379" s="8"/>
      <c r="K379" s="7"/>
      <c r="L379" s="8" t="s">
        <v>901</v>
      </c>
      <c r="M379" s="9"/>
      <c r="N379" s="10"/>
      <c r="O379" s="10"/>
      <c r="P379" s="10"/>
      <c r="Q379" s="10"/>
      <c r="R379" s="10"/>
      <c r="S379" s="10"/>
      <c r="T379" s="10"/>
      <c r="U379" s="10"/>
      <c r="V379" s="10"/>
      <c r="W379" s="10"/>
      <c r="X379" s="10"/>
      <c r="Y379" s="10"/>
      <c r="Z379" s="10"/>
    </row>
    <row r="380" ht="15.75" hidden="1" customHeight="1">
      <c r="A380" s="6" t="s">
        <v>1490</v>
      </c>
      <c r="B380" s="7" t="s">
        <v>1502</v>
      </c>
      <c r="C380" s="24"/>
      <c r="D380" s="7"/>
      <c r="E380" s="7">
        <v>0.0</v>
      </c>
      <c r="F380" s="7" t="s">
        <v>15</v>
      </c>
      <c r="G380" s="7" t="s">
        <v>1492</v>
      </c>
      <c r="H380" s="8" t="s">
        <v>900</v>
      </c>
      <c r="I380" s="8"/>
      <c r="J380" s="8"/>
      <c r="K380" s="7"/>
      <c r="L380" s="8" t="s">
        <v>901</v>
      </c>
      <c r="M380" s="9"/>
      <c r="N380" s="10"/>
      <c r="O380" s="10"/>
      <c r="P380" s="10"/>
      <c r="Q380" s="10"/>
      <c r="R380" s="10"/>
      <c r="S380" s="10"/>
      <c r="T380" s="10"/>
      <c r="U380" s="10"/>
      <c r="V380" s="10"/>
      <c r="W380" s="10"/>
      <c r="X380" s="10"/>
      <c r="Y380" s="10"/>
      <c r="Z380" s="10"/>
    </row>
    <row r="381" ht="15.75" hidden="1" customHeight="1">
      <c r="A381" s="6" t="s">
        <v>1490</v>
      </c>
      <c r="B381" s="7" t="s">
        <v>1503</v>
      </c>
      <c r="C381" s="24"/>
      <c r="D381" s="7"/>
      <c r="E381" s="7">
        <v>0.0</v>
      </c>
      <c r="F381" s="7" t="s">
        <v>15</v>
      </c>
      <c r="G381" s="7" t="s">
        <v>1492</v>
      </c>
      <c r="H381" s="8" t="s">
        <v>900</v>
      </c>
      <c r="I381" s="8"/>
      <c r="J381" s="8"/>
      <c r="K381" s="7"/>
      <c r="L381" s="8" t="s">
        <v>901</v>
      </c>
      <c r="M381" s="9"/>
      <c r="N381" s="10"/>
      <c r="O381" s="10"/>
      <c r="P381" s="10"/>
      <c r="Q381" s="10"/>
      <c r="R381" s="10"/>
      <c r="S381" s="10"/>
      <c r="T381" s="10"/>
      <c r="U381" s="10"/>
      <c r="V381" s="10"/>
      <c r="W381" s="10"/>
      <c r="X381" s="10"/>
      <c r="Y381" s="10"/>
      <c r="Z381" s="10"/>
    </row>
    <row r="382" ht="15.75" hidden="1" customHeight="1">
      <c r="A382" s="6" t="s">
        <v>1490</v>
      </c>
      <c r="B382" s="7" t="s">
        <v>1504</v>
      </c>
      <c r="C382" s="24"/>
      <c r="D382" s="7"/>
      <c r="E382" s="7">
        <v>0.0</v>
      </c>
      <c r="F382" s="7" t="s">
        <v>15</v>
      </c>
      <c r="G382" s="7" t="s">
        <v>1492</v>
      </c>
      <c r="H382" s="8" t="s">
        <v>900</v>
      </c>
      <c r="I382" s="8"/>
      <c r="J382" s="8"/>
      <c r="K382" s="7"/>
      <c r="L382" s="8" t="s">
        <v>901</v>
      </c>
      <c r="M382" s="9"/>
      <c r="N382" s="10"/>
      <c r="O382" s="10"/>
      <c r="P382" s="10"/>
      <c r="Q382" s="10"/>
      <c r="R382" s="10"/>
      <c r="S382" s="10"/>
      <c r="T382" s="10"/>
      <c r="U382" s="10"/>
      <c r="V382" s="10"/>
      <c r="W382" s="10"/>
      <c r="X382" s="10"/>
      <c r="Y382" s="10"/>
      <c r="Z382" s="10"/>
    </row>
    <row r="383" ht="15.75" hidden="1" customHeight="1">
      <c r="A383" s="6" t="s">
        <v>1490</v>
      </c>
      <c r="B383" s="7" t="s">
        <v>1505</v>
      </c>
      <c r="C383" s="24"/>
      <c r="D383" s="7"/>
      <c r="E383" s="7">
        <v>0.0</v>
      </c>
      <c r="F383" s="7" t="s">
        <v>15</v>
      </c>
      <c r="G383" s="7" t="s">
        <v>1492</v>
      </c>
      <c r="H383" s="8" t="s">
        <v>900</v>
      </c>
      <c r="I383" s="8"/>
      <c r="J383" s="8"/>
      <c r="K383" s="7"/>
      <c r="L383" s="8" t="s">
        <v>901</v>
      </c>
      <c r="M383" s="9"/>
      <c r="N383" s="10"/>
      <c r="O383" s="10"/>
      <c r="P383" s="10"/>
      <c r="Q383" s="10"/>
      <c r="R383" s="10"/>
      <c r="S383" s="10"/>
      <c r="T383" s="10"/>
      <c r="U383" s="10"/>
      <c r="V383" s="10"/>
      <c r="W383" s="10"/>
      <c r="X383" s="10"/>
      <c r="Y383" s="10"/>
      <c r="Z383" s="10"/>
    </row>
    <row r="384" ht="15.75" hidden="1" customHeight="1">
      <c r="A384" s="6" t="s">
        <v>1490</v>
      </c>
      <c r="B384" s="18" t="s">
        <v>1506</v>
      </c>
      <c r="C384" s="24"/>
      <c r="D384" s="7"/>
      <c r="E384" s="7">
        <v>0.0</v>
      </c>
      <c r="F384" s="7" t="s">
        <v>15</v>
      </c>
      <c r="G384" s="7" t="s">
        <v>1492</v>
      </c>
      <c r="H384" s="8" t="s">
        <v>900</v>
      </c>
      <c r="I384" s="8"/>
      <c r="J384" s="8"/>
      <c r="K384" s="7"/>
      <c r="L384" s="8" t="s">
        <v>901</v>
      </c>
      <c r="M384" s="9"/>
      <c r="N384" s="10"/>
      <c r="O384" s="10"/>
      <c r="P384" s="10"/>
      <c r="Q384" s="10"/>
      <c r="R384" s="10"/>
      <c r="S384" s="10"/>
      <c r="T384" s="10"/>
      <c r="U384" s="10"/>
      <c r="V384" s="10"/>
      <c r="W384" s="10"/>
      <c r="X384" s="10"/>
      <c r="Y384" s="10"/>
      <c r="Z384" s="10"/>
    </row>
    <row r="385" ht="15.75" hidden="1" customHeight="1">
      <c r="A385" s="6" t="s">
        <v>1490</v>
      </c>
      <c r="B385" s="7" t="s">
        <v>1507</v>
      </c>
      <c r="C385" s="24"/>
      <c r="D385" s="7"/>
      <c r="E385" s="7">
        <v>0.0</v>
      </c>
      <c r="F385" s="7" t="s">
        <v>15</v>
      </c>
      <c r="G385" s="7" t="s">
        <v>1492</v>
      </c>
      <c r="H385" s="8" t="s">
        <v>900</v>
      </c>
      <c r="I385" s="8"/>
      <c r="J385" s="8"/>
      <c r="K385" s="7"/>
      <c r="L385" s="8" t="s">
        <v>901</v>
      </c>
      <c r="M385" s="9"/>
      <c r="N385" s="10"/>
      <c r="O385" s="10"/>
      <c r="P385" s="10"/>
      <c r="Q385" s="10"/>
      <c r="R385" s="10"/>
      <c r="S385" s="10"/>
      <c r="T385" s="10"/>
      <c r="U385" s="10"/>
      <c r="V385" s="10"/>
      <c r="W385" s="10"/>
      <c r="X385" s="10"/>
      <c r="Y385" s="10"/>
      <c r="Z385" s="10"/>
    </row>
    <row r="386" ht="15.75" hidden="1" customHeight="1">
      <c r="A386" s="6" t="s">
        <v>1490</v>
      </c>
      <c r="B386" s="7" t="s">
        <v>1508</v>
      </c>
      <c r="C386" s="24"/>
      <c r="D386" s="7"/>
      <c r="E386" s="7">
        <v>0.0</v>
      </c>
      <c r="F386" s="7" t="s">
        <v>15</v>
      </c>
      <c r="G386" s="7" t="s">
        <v>1492</v>
      </c>
      <c r="H386" s="8" t="s">
        <v>900</v>
      </c>
      <c r="I386" s="8"/>
      <c r="J386" s="8"/>
      <c r="K386" s="7"/>
      <c r="L386" s="8" t="s">
        <v>901</v>
      </c>
      <c r="M386" s="9"/>
      <c r="N386" s="10"/>
      <c r="O386" s="10"/>
      <c r="P386" s="10"/>
      <c r="Q386" s="10"/>
      <c r="R386" s="10"/>
      <c r="S386" s="10"/>
      <c r="T386" s="10"/>
      <c r="U386" s="10"/>
      <c r="V386" s="10"/>
      <c r="W386" s="10"/>
      <c r="X386" s="10"/>
      <c r="Y386" s="10"/>
      <c r="Z386" s="10"/>
    </row>
    <row r="387" ht="15.75" hidden="1" customHeight="1">
      <c r="A387" s="6" t="s">
        <v>1490</v>
      </c>
      <c r="B387" s="7" t="s">
        <v>1509</v>
      </c>
      <c r="C387" s="24"/>
      <c r="D387" s="7"/>
      <c r="E387" s="7">
        <v>0.0</v>
      </c>
      <c r="F387" s="7" t="s">
        <v>15</v>
      </c>
      <c r="G387" s="7" t="s">
        <v>1492</v>
      </c>
      <c r="H387" s="8" t="s">
        <v>900</v>
      </c>
      <c r="I387" s="8"/>
      <c r="J387" s="8"/>
      <c r="K387" s="7"/>
      <c r="L387" s="8" t="s">
        <v>901</v>
      </c>
      <c r="M387" s="9"/>
      <c r="N387" s="10"/>
      <c r="O387" s="10"/>
      <c r="P387" s="10"/>
      <c r="Q387" s="10"/>
      <c r="R387" s="10"/>
      <c r="S387" s="10"/>
      <c r="T387" s="10"/>
      <c r="U387" s="10"/>
      <c r="V387" s="10"/>
      <c r="W387" s="10"/>
      <c r="X387" s="10"/>
      <c r="Y387" s="10"/>
      <c r="Z387" s="10"/>
    </row>
    <row r="388" ht="15.75" hidden="1" customHeight="1">
      <c r="A388" s="6" t="s">
        <v>1510</v>
      </c>
      <c r="B388" s="7" t="s">
        <v>1511</v>
      </c>
      <c r="C388" s="24"/>
      <c r="D388" s="7"/>
      <c r="E388" s="7">
        <v>0.0</v>
      </c>
      <c r="F388" s="7" t="s">
        <v>15</v>
      </c>
      <c r="G388" s="7" t="s">
        <v>1512</v>
      </c>
      <c r="H388" s="8" t="s">
        <v>900</v>
      </c>
      <c r="I388" s="8"/>
      <c r="J388" s="8"/>
      <c r="K388" s="7"/>
      <c r="L388" s="8" t="s">
        <v>901</v>
      </c>
      <c r="M388" s="9"/>
      <c r="N388" s="10"/>
      <c r="O388" s="10"/>
      <c r="P388" s="10"/>
      <c r="Q388" s="10"/>
      <c r="R388" s="10"/>
      <c r="S388" s="10"/>
      <c r="T388" s="10"/>
      <c r="U388" s="10"/>
      <c r="V388" s="10"/>
      <c r="W388" s="10"/>
      <c r="X388" s="10"/>
      <c r="Y388" s="10"/>
      <c r="Z388" s="10"/>
    </row>
    <row r="389" ht="15.75" hidden="1" customHeight="1">
      <c r="A389" s="6" t="s">
        <v>1510</v>
      </c>
      <c r="B389" s="18" t="s">
        <v>1513</v>
      </c>
      <c r="C389" s="24"/>
      <c r="D389" s="7"/>
      <c r="E389" s="7">
        <v>0.0</v>
      </c>
      <c r="F389" s="7" t="s">
        <v>15</v>
      </c>
      <c r="G389" s="7" t="s">
        <v>1512</v>
      </c>
      <c r="H389" s="8" t="s">
        <v>900</v>
      </c>
      <c r="I389" s="8"/>
      <c r="J389" s="8"/>
      <c r="K389" s="7"/>
      <c r="L389" s="53" t="s">
        <v>901</v>
      </c>
      <c r="M389" s="9"/>
      <c r="N389" s="10"/>
      <c r="O389" s="10"/>
      <c r="P389" s="10"/>
      <c r="Q389" s="10"/>
      <c r="R389" s="10"/>
      <c r="S389" s="10"/>
      <c r="T389" s="10"/>
      <c r="U389" s="10"/>
      <c r="V389" s="10"/>
      <c r="W389" s="10"/>
      <c r="X389" s="10"/>
      <c r="Y389" s="10"/>
      <c r="Z389" s="10"/>
    </row>
    <row r="390" ht="15.75" hidden="1" customHeight="1">
      <c r="A390" s="6" t="s">
        <v>1510</v>
      </c>
      <c r="B390" s="7" t="s">
        <v>1514</v>
      </c>
      <c r="C390" s="24"/>
      <c r="D390" s="7"/>
      <c r="E390" s="7">
        <v>0.0</v>
      </c>
      <c r="F390" s="7" t="s">
        <v>15</v>
      </c>
      <c r="G390" s="7" t="s">
        <v>1512</v>
      </c>
      <c r="H390" s="8" t="s">
        <v>900</v>
      </c>
      <c r="I390" s="8"/>
      <c r="J390" s="8"/>
      <c r="K390" s="7"/>
      <c r="L390" s="8" t="s">
        <v>901</v>
      </c>
      <c r="M390" s="9"/>
      <c r="N390" s="10"/>
      <c r="O390" s="10"/>
      <c r="P390" s="10"/>
      <c r="Q390" s="10"/>
      <c r="R390" s="10"/>
      <c r="S390" s="10"/>
      <c r="T390" s="10"/>
      <c r="U390" s="10"/>
      <c r="V390" s="10"/>
      <c r="W390" s="10"/>
      <c r="X390" s="10"/>
      <c r="Y390" s="10"/>
      <c r="Z390" s="10"/>
    </row>
    <row r="391" ht="15.75" hidden="1" customHeight="1">
      <c r="A391" s="6" t="s">
        <v>1510</v>
      </c>
      <c r="B391" s="7" t="s">
        <v>1515</v>
      </c>
      <c r="C391" s="24"/>
      <c r="D391" s="7"/>
      <c r="E391" s="7">
        <v>0.0</v>
      </c>
      <c r="F391" s="7" t="s">
        <v>15</v>
      </c>
      <c r="G391" s="7" t="s">
        <v>1512</v>
      </c>
      <c r="H391" s="8" t="s">
        <v>900</v>
      </c>
      <c r="I391" s="8"/>
      <c r="J391" s="8"/>
      <c r="K391" s="7"/>
      <c r="L391" s="8" t="s">
        <v>901</v>
      </c>
      <c r="M391" s="9"/>
      <c r="N391" s="10"/>
      <c r="O391" s="10"/>
      <c r="P391" s="10"/>
      <c r="Q391" s="10"/>
      <c r="R391" s="10"/>
      <c r="S391" s="10"/>
      <c r="T391" s="10"/>
      <c r="U391" s="10"/>
      <c r="V391" s="10"/>
      <c r="W391" s="10"/>
      <c r="X391" s="10"/>
      <c r="Y391" s="10"/>
      <c r="Z391" s="10"/>
    </row>
    <row r="392" ht="15.75" hidden="1" customHeight="1">
      <c r="A392" s="6" t="s">
        <v>1510</v>
      </c>
      <c r="B392" s="7" t="s">
        <v>1516</v>
      </c>
      <c r="C392" s="24"/>
      <c r="D392" s="7"/>
      <c r="E392" s="7">
        <v>0.0</v>
      </c>
      <c r="F392" s="7" t="s">
        <v>15</v>
      </c>
      <c r="G392" s="7" t="s">
        <v>1512</v>
      </c>
      <c r="H392" s="8" t="s">
        <v>900</v>
      </c>
      <c r="I392" s="8"/>
      <c r="J392" s="8"/>
      <c r="K392" s="7"/>
      <c r="L392" s="8" t="s">
        <v>901</v>
      </c>
      <c r="M392" s="9"/>
      <c r="N392" s="10"/>
      <c r="O392" s="10"/>
      <c r="P392" s="10"/>
      <c r="Q392" s="10"/>
      <c r="R392" s="10"/>
      <c r="S392" s="10"/>
      <c r="T392" s="10"/>
      <c r="U392" s="10"/>
      <c r="V392" s="10"/>
      <c r="W392" s="10"/>
      <c r="X392" s="10"/>
      <c r="Y392" s="10"/>
      <c r="Z392" s="10"/>
    </row>
    <row r="393" ht="15.75" hidden="1" customHeight="1">
      <c r="A393" s="6" t="s">
        <v>1510</v>
      </c>
      <c r="B393" s="7" t="s">
        <v>1517</v>
      </c>
      <c r="C393" s="24"/>
      <c r="D393" s="7"/>
      <c r="E393" s="7">
        <v>0.0</v>
      </c>
      <c r="F393" s="7" t="s">
        <v>15</v>
      </c>
      <c r="G393" s="7" t="s">
        <v>1512</v>
      </c>
      <c r="H393" s="8" t="s">
        <v>900</v>
      </c>
      <c r="I393" s="8"/>
      <c r="J393" s="8"/>
      <c r="K393" s="7"/>
      <c r="L393" s="8" t="s">
        <v>901</v>
      </c>
      <c r="M393" s="9"/>
      <c r="N393" s="10"/>
      <c r="O393" s="10"/>
      <c r="P393" s="10"/>
      <c r="Q393" s="10"/>
      <c r="R393" s="10"/>
      <c r="S393" s="10"/>
      <c r="T393" s="10"/>
      <c r="U393" s="10"/>
      <c r="V393" s="10"/>
      <c r="W393" s="10"/>
      <c r="X393" s="10"/>
      <c r="Y393" s="10"/>
      <c r="Z393" s="10"/>
    </row>
    <row r="394" ht="15.75" hidden="1" customHeight="1">
      <c r="A394" s="6" t="s">
        <v>1510</v>
      </c>
      <c r="B394" s="7" t="s">
        <v>1518</v>
      </c>
      <c r="C394" s="24"/>
      <c r="D394" s="7"/>
      <c r="E394" s="7">
        <v>0.0</v>
      </c>
      <c r="F394" s="7" t="s">
        <v>15</v>
      </c>
      <c r="G394" s="7" t="s">
        <v>1512</v>
      </c>
      <c r="H394" s="8" t="s">
        <v>900</v>
      </c>
      <c r="I394" s="8"/>
      <c r="J394" s="8"/>
      <c r="K394" s="7"/>
      <c r="L394" s="8" t="s">
        <v>901</v>
      </c>
      <c r="M394" s="9"/>
      <c r="N394" s="10"/>
      <c r="O394" s="10"/>
      <c r="P394" s="10"/>
      <c r="Q394" s="10"/>
      <c r="R394" s="10"/>
      <c r="S394" s="10"/>
      <c r="T394" s="10"/>
      <c r="U394" s="10"/>
      <c r="V394" s="10"/>
      <c r="W394" s="10"/>
      <c r="X394" s="10"/>
      <c r="Y394" s="10"/>
      <c r="Z394" s="10"/>
    </row>
    <row r="395" ht="15.75" hidden="1" customHeight="1">
      <c r="A395" s="6" t="s">
        <v>1510</v>
      </c>
      <c r="B395" s="7" t="s">
        <v>1519</v>
      </c>
      <c r="C395" s="24"/>
      <c r="D395" s="7"/>
      <c r="E395" s="7">
        <v>0.0</v>
      </c>
      <c r="F395" s="7" t="s">
        <v>15</v>
      </c>
      <c r="G395" s="7" t="s">
        <v>1512</v>
      </c>
      <c r="H395" s="8" t="s">
        <v>900</v>
      </c>
      <c r="I395" s="8"/>
      <c r="J395" s="8"/>
      <c r="K395" s="7"/>
      <c r="L395" s="8" t="s">
        <v>901</v>
      </c>
      <c r="M395" s="9"/>
      <c r="N395" s="10"/>
      <c r="O395" s="10"/>
      <c r="P395" s="10"/>
      <c r="Q395" s="10"/>
      <c r="R395" s="10"/>
      <c r="S395" s="10"/>
      <c r="T395" s="10"/>
      <c r="U395" s="10"/>
      <c r="V395" s="10"/>
      <c r="W395" s="10"/>
      <c r="X395" s="10"/>
      <c r="Y395" s="10"/>
      <c r="Z395" s="10"/>
    </row>
    <row r="396" ht="15.75" hidden="1" customHeight="1">
      <c r="A396" s="6" t="s">
        <v>1510</v>
      </c>
      <c r="B396" s="7" t="s">
        <v>1520</v>
      </c>
      <c r="C396" s="24"/>
      <c r="D396" s="7"/>
      <c r="E396" s="7">
        <v>0.0</v>
      </c>
      <c r="F396" s="7" t="s">
        <v>15</v>
      </c>
      <c r="G396" s="7" t="s">
        <v>1512</v>
      </c>
      <c r="H396" s="8" t="s">
        <v>900</v>
      </c>
      <c r="I396" s="8"/>
      <c r="J396" s="8"/>
      <c r="K396" s="7"/>
      <c r="L396" s="8" t="s">
        <v>901</v>
      </c>
      <c r="M396" s="9"/>
      <c r="N396" s="10"/>
      <c r="O396" s="10"/>
      <c r="P396" s="10"/>
      <c r="Q396" s="10"/>
      <c r="R396" s="10"/>
      <c r="S396" s="10"/>
      <c r="T396" s="10"/>
      <c r="U396" s="10"/>
      <c r="V396" s="10"/>
      <c r="W396" s="10"/>
      <c r="X396" s="10"/>
      <c r="Y396" s="10"/>
      <c r="Z396" s="10"/>
    </row>
    <row r="397" ht="15.75" hidden="1" customHeight="1">
      <c r="A397" s="6" t="s">
        <v>1510</v>
      </c>
      <c r="B397" s="7" t="s">
        <v>1521</v>
      </c>
      <c r="C397" s="24"/>
      <c r="D397" s="7"/>
      <c r="E397" s="7">
        <v>0.0</v>
      </c>
      <c r="F397" s="7" t="s">
        <v>15</v>
      </c>
      <c r="G397" s="7" t="s">
        <v>1512</v>
      </c>
      <c r="H397" s="8" t="s">
        <v>900</v>
      </c>
      <c r="I397" s="8"/>
      <c r="J397" s="8"/>
      <c r="K397" s="7"/>
      <c r="L397" s="8" t="s">
        <v>901</v>
      </c>
      <c r="M397" s="9"/>
      <c r="N397" s="10"/>
      <c r="O397" s="10"/>
      <c r="P397" s="10"/>
      <c r="Q397" s="10"/>
      <c r="R397" s="10"/>
      <c r="S397" s="10"/>
      <c r="T397" s="10"/>
      <c r="U397" s="10"/>
      <c r="V397" s="10"/>
      <c r="W397" s="10"/>
      <c r="X397" s="10"/>
      <c r="Y397" s="10"/>
      <c r="Z397" s="10"/>
    </row>
    <row r="398" ht="15.75" customHeight="1">
      <c r="A398" s="6" t="s">
        <v>1522</v>
      </c>
      <c r="B398" s="7" t="s">
        <v>957</v>
      </c>
      <c r="C398" s="7"/>
      <c r="D398" s="7"/>
      <c r="E398" s="7">
        <v>0.0</v>
      </c>
      <c r="F398" s="12" t="s">
        <v>958</v>
      </c>
      <c r="G398" s="7" t="s">
        <v>959</v>
      </c>
      <c r="H398" s="8" t="s">
        <v>129</v>
      </c>
      <c r="I398" s="8"/>
      <c r="J398" s="8"/>
      <c r="K398" s="7"/>
      <c r="L398" s="8" t="s">
        <v>459</v>
      </c>
      <c r="M398" s="9"/>
      <c r="N398" s="10"/>
      <c r="O398" s="10"/>
      <c r="P398" s="10"/>
      <c r="Q398" s="10"/>
      <c r="R398" s="10"/>
      <c r="S398" s="10"/>
      <c r="T398" s="10"/>
      <c r="U398" s="10"/>
      <c r="V398" s="10"/>
      <c r="W398" s="10"/>
      <c r="X398" s="10"/>
      <c r="Y398" s="10"/>
      <c r="Z398" s="10"/>
    </row>
    <row r="399" ht="15.75" customHeight="1">
      <c r="A399" s="6" t="s">
        <v>1523</v>
      </c>
      <c r="B399" s="7" t="s">
        <v>1524</v>
      </c>
      <c r="C399" s="7"/>
      <c r="D399" s="7"/>
      <c r="E399" s="7">
        <v>0.0</v>
      </c>
      <c r="F399" s="12" t="s">
        <v>962</v>
      </c>
      <c r="G399" s="7" t="s">
        <v>963</v>
      </c>
      <c r="H399" s="8" t="s">
        <v>129</v>
      </c>
      <c r="I399" s="8"/>
      <c r="J399" s="8"/>
      <c r="K399" s="7"/>
      <c r="L399" s="8" t="s">
        <v>459</v>
      </c>
      <c r="M399" s="9"/>
      <c r="N399" s="10"/>
      <c r="O399" s="10"/>
      <c r="P399" s="10"/>
      <c r="Q399" s="10"/>
      <c r="R399" s="10"/>
      <c r="S399" s="10"/>
      <c r="T399" s="10"/>
      <c r="U399" s="10"/>
      <c r="V399" s="10"/>
      <c r="W399" s="10"/>
      <c r="X399" s="10"/>
      <c r="Y399" s="10"/>
      <c r="Z399" s="10"/>
    </row>
    <row r="400" ht="15.75" customHeight="1">
      <c r="A400" s="6" t="s">
        <v>1525</v>
      </c>
      <c r="B400" s="7" t="s">
        <v>466</v>
      </c>
      <c r="C400" s="7"/>
      <c r="D400" s="7"/>
      <c r="E400" s="7">
        <v>0.0</v>
      </c>
      <c r="F400" s="7" t="s">
        <v>15</v>
      </c>
      <c r="G400" s="7" t="s">
        <v>467</v>
      </c>
      <c r="H400" s="8"/>
      <c r="I400" s="8"/>
      <c r="J400" s="8"/>
      <c r="K400" s="7"/>
      <c r="L400" s="8"/>
      <c r="M400" s="9"/>
      <c r="N400" s="10"/>
      <c r="O400" s="10"/>
      <c r="P400" s="10"/>
      <c r="Q400" s="10"/>
      <c r="R400" s="10"/>
      <c r="S400" s="10"/>
      <c r="T400" s="10"/>
      <c r="U400" s="10"/>
      <c r="V400" s="10"/>
      <c r="W400" s="10"/>
      <c r="X400" s="10"/>
      <c r="Y400" s="10"/>
      <c r="Z400" s="10"/>
    </row>
    <row r="401" ht="15.75" customHeight="1">
      <c r="A401" s="6" t="s">
        <v>1526</v>
      </c>
      <c r="B401" s="7" t="s">
        <v>466</v>
      </c>
      <c r="C401" s="7"/>
      <c r="D401" s="7"/>
      <c r="E401" s="7">
        <v>0.0</v>
      </c>
      <c r="F401" s="7" t="s">
        <v>15</v>
      </c>
      <c r="G401" s="7" t="s">
        <v>467</v>
      </c>
      <c r="H401" s="8"/>
      <c r="I401" s="8"/>
      <c r="J401" s="8"/>
      <c r="K401" s="7"/>
      <c r="L401" s="8"/>
      <c r="M401" s="9"/>
      <c r="N401" s="10"/>
      <c r="O401" s="10"/>
      <c r="P401" s="10"/>
      <c r="Q401" s="10"/>
      <c r="R401" s="10"/>
      <c r="S401" s="10"/>
      <c r="T401" s="10"/>
      <c r="U401" s="10"/>
      <c r="V401" s="10"/>
      <c r="W401" s="10"/>
      <c r="X401" s="10"/>
      <c r="Y401" s="10"/>
      <c r="Z401" s="10"/>
    </row>
    <row r="402" ht="15.75" customHeight="1">
      <c r="A402" s="6" t="s">
        <v>1527</v>
      </c>
      <c r="B402" s="7" t="s">
        <v>466</v>
      </c>
      <c r="C402" s="7"/>
      <c r="D402" s="7"/>
      <c r="E402" s="7">
        <v>0.0</v>
      </c>
      <c r="F402" s="7" t="s">
        <v>15</v>
      </c>
      <c r="G402" s="7" t="s">
        <v>467</v>
      </c>
      <c r="H402" s="8"/>
      <c r="I402" s="8"/>
      <c r="J402" s="8"/>
      <c r="K402" s="7"/>
      <c r="L402" s="8"/>
      <c r="M402" s="9"/>
      <c r="N402" s="10"/>
      <c r="O402" s="10"/>
      <c r="P402" s="10"/>
      <c r="Q402" s="10"/>
      <c r="R402" s="10"/>
      <c r="S402" s="10"/>
      <c r="T402" s="10"/>
      <c r="U402" s="10"/>
      <c r="V402" s="10"/>
      <c r="W402" s="10"/>
      <c r="X402" s="10"/>
      <c r="Y402" s="10"/>
      <c r="Z402" s="10"/>
    </row>
    <row r="403" ht="15.75" customHeight="1">
      <c r="A403" s="6" t="s">
        <v>1528</v>
      </c>
      <c r="B403" s="7" t="s">
        <v>466</v>
      </c>
      <c r="C403" s="7"/>
      <c r="D403" s="7"/>
      <c r="E403" s="7">
        <v>0.0</v>
      </c>
      <c r="F403" s="7" t="s">
        <v>15</v>
      </c>
      <c r="G403" s="7" t="s">
        <v>467</v>
      </c>
      <c r="H403" s="8"/>
      <c r="I403" s="8"/>
      <c r="J403" s="8"/>
      <c r="K403" s="7"/>
      <c r="L403" s="8"/>
      <c r="M403" s="9"/>
      <c r="N403" s="10"/>
      <c r="O403" s="10"/>
      <c r="P403" s="10"/>
      <c r="Q403" s="10"/>
      <c r="R403" s="10"/>
      <c r="S403" s="10"/>
      <c r="T403" s="10"/>
      <c r="U403" s="10"/>
      <c r="V403" s="10"/>
      <c r="W403" s="10"/>
      <c r="X403" s="10"/>
      <c r="Y403" s="10"/>
      <c r="Z403" s="10"/>
    </row>
    <row r="404" ht="15.75" customHeight="1">
      <c r="A404" s="6" t="s">
        <v>1529</v>
      </c>
      <c r="B404" s="7" t="s">
        <v>1530</v>
      </c>
      <c r="C404" s="18"/>
      <c r="D404" s="7"/>
      <c r="E404" s="7">
        <v>1.0</v>
      </c>
      <c r="F404" s="12" t="s">
        <v>1531</v>
      </c>
      <c r="G404" s="7" t="s">
        <v>1532</v>
      </c>
      <c r="H404" s="8" t="s">
        <v>122</v>
      </c>
      <c r="I404" s="8" t="s">
        <v>1533</v>
      </c>
      <c r="J404" s="13" t="str">
        <f t="shared" ref="J404:J413" si="18">CONCATENATE($M$1,$K404)</f>
        <v>https://inmapper.com/zorlucenter/img/logo/LINENS.png</v>
      </c>
      <c r="K404" s="7" t="s">
        <v>1534</v>
      </c>
      <c r="L404" s="8" t="s">
        <v>125</v>
      </c>
      <c r="M404" s="9"/>
      <c r="N404" s="10"/>
      <c r="O404" s="10"/>
      <c r="P404" s="10"/>
      <c r="Q404" s="10"/>
      <c r="R404" s="10"/>
      <c r="S404" s="10"/>
      <c r="T404" s="10"/>
      <c r="U404" s="10"/>
      <c r="V404" s="10"/>
      <c r="W404" s="10"/>
      <c r="X404" s="10"/>
      <c r="Y404" s="10"/>
      <c r="Z404" s="10"/>
    </row>
    <row r="405" ht="15.75" customHeight="1">
      <c r="A405" s="6" t="s">
        <v>1535</v>
      </c>
      <c r="B405" s="7" t="s">
        <v>1536</v>
      </c>
      <c r="C405" s="7"/>
      <c r="D405" s="7"/>
      <c r="E405" s="7">
        <v>1.0</v>
      </c>
      <c r="F405" s="12" t="s">
        <v>1537</v>
      </c>
      <c r="G405" s="7" t="s">
        <v>1538</v>
      </c>
      <c r="H405" s="8" t="s">
        <v>1389</v>
      </c>
      <c r="I405" s="8" t="s">
        <v>1539</v>
      </c>
      <c r="J405" s="13" t="str">
        <f t="shared" si="18"/>
        <v>https://inmapper.com/zorlucenter/img/logo/MACROCENTER.png</v>
      </c>
      <c r="K405" s="7" t="s">
        <v>1540</v>
      </c>
      <c r="L405" s="43" t="s">
        <v>1392</v>
      </c>
      <c r="M405" s="9"/>
      <c r="N405" s="10"/>
      <c r="O405" s="10"/>
      <c r="P405" s="10"/>
      <c r="Q405" s="10"/>
      <c r="R405" s="10"/>
      <c r="S405" s="10"/>
      <c r="T405" s="10"/>
      <c r="U405" s="10"/>
      <c r="V405" s="10"/>
      <c r="W405" s="10"/>
      <c r="X405" s="10"/>
      <c r="Y405" s="10"/>
      <c r="Z405" s="10"/>
    </row>
    <row r="406" ht="15.75" customHeight="1">
      <c r="A406" s="6" t="s">
        <v>1541</v>
      </c>
      <c r="B406" s="7" t="s">
        <v>1542</v>
      </c>
      <c r="C406" s="7"/>
      <c r="D406" s="7"/>
      <c r="E406" s="7">
        <v>1.0</v>
      </c>
      <c r="F406" s="17" t="s">
        <v>1543</v>
      </c>
      <c r="G406" s="7" t="s">
        <v>1544</v>
      </c>
      <c r="H406" s="8" t="s">
        <v>90</v>
      </c>
      <c r="I406" s="8" t="s">
        <v>1545</v>
      </c>
      <c r="J406" s="13" t="str">
        <f t="shared" si="18"/>
        <v>https://inmapper.com/zorlucenter/img/logo/VESTEL.png</v>
      </c>
      <c r="K406" s="9" t="s">
        <v>1546</v>
      </c>
      <c r="L406" s="8" t="s">
        <v>92</v>
      </c>
      <c r="M406" s="9"/>
      <c r="N406" s="10"/>
      <c r="O406" s="10"/>
      <c r="P406" s="10"/>
      <c r="Q406" s="10"/>
      <c r="R406" s="10"/>
      <c r="S406" s="10"/>
      <c r="T406" s="10"/>
      <c r="U406" s="10"/>
      <c r="V406" s="10"/>
      <c r="W406" s="10"/>
      <c r="X406" s="10"/>
      <c r="Y406" s="10"/>
      <c r="Z406" s="10"/>
    </row>
    <row r="407" ht="15.75" customHeight="1">
      <c r="A407" s="6" t="s">
        <v>1547</v>
      </c>
      <c r="B407" s="24" t="s">
        <v>1548</v>
      </c>
      <c r="C407" s="7"/>
      <c r="D407" s="7"/>
      <c r="E407" s="7">
        <v>1.0</v>
      </c>
      <c r="F407" s="12" t="s">
        <v>1549</v>
      </c>
      <c r="G407" s="7" t="s">
        <v>1550</v>
      </c>
      <c r="H407" s="8" t="s">
        <v>168</v>
      </c>
      <c r="I407" s="8" t="s">
        <v>1551</v>
      </c>
      <c r="J407" s="13" t="str">
        <f t="shared" si="18"/>
        <v>https://inmapper.com/zorlucenter/img/logo/TOYZZSHOP.png</v>
      </c>
      <c r="K407" s="7" t="s">
        <v>1552</v>
      </c>
      <c r="L407" s="8" t="s">
        <v>171</v>
      </c>
      <c r="M407" s="9"/>
      <c r="N407" s="10"/>
      <c r="O407" s="10"/>
      <c r="P407" s="10"/>
      <c r="Q407" s="10"/>
      <c r="R407" s="10"/>
      <c r="S407" s="10"/>
      <c r="T407" s="10"/>
      <c r="U407" s="10"/>
      <c r="V407" s="10"/>
      <c r="W407" s="10"/>
      <c r="X407" s="10"/>
      <c r="Y407" s="10"/>
      <c r="Z407" s="10"/>
    </row>
    <row r="408" ht="15.75" customHeight="1">
      <c r="A408" s="6" t="s">
        <v>1553</v>
      </c>
      <c r="B408" s="7" t="s">
        <v>1554</v>
      </c>
      <c r="C408" s="7"/>
      <c r="D408" s="7"/>
      <c r="E408" s="7">
        <v>1.0</v>
      </c>
      <c r="F408" s="12" t="s">
        <v>1555</v>
      </c>
      <c r="G408" s="7" t="s">
        <v>1556</v>
      </c>
      <c r="H408" s="8" t="s">
        <v>122</v>
      </c>
      <c r="I408" s="8" t="s">
        <v>1557</v>
      </c>
      <c r="J408" s="8" t="str">
        <f t="shared" si="18"/>
        <v>https://inmapper.com/zorlucenter/img/logo/PAŞABAHÇEMAĞAZALARI.png</v>
      </c>
      <c r="K408" s="7" t="s">
        <v>1558</v>
      </c>
      <c r="L408" s="8" t="s">
        <v>125</v>
      </c>
      <c r="M408" s="9"/>
      <c r="N408" s="10"/>
      <c r="O408" s="10"/>
      <c r="P408" s="10"/>
      <c r="Q408" s="10"/>
      <c r="R408" s="10"/>
      <c r="S408" s="10"/>
      <c r="T408" s="10"/>
      <c r="U408" s="10"/>
      <c r="V408" s="10"/>
      <c r="W408" s="10"/>
      <c r="X408" s="10"/>
      <c r="Y408" s="10"/>
      <c r="Z408" s="10"/>
    </row>
    <row r="409" ht="15.75" customHeight="1">
      <c r="A409" s="6" t="s">
        <v>1559</v>
      </c>
      <c r="B409" s="7" t="s">
        <v>1560</v>
      </c>
      <c r="C409" s="7"/>
      <c r="D409" s="7"/>
      <c r="E409" s="7">
        <v>1.0</v>
      </c>
      <c r="F409" s="12" t="s">
        <v>1561</v>
      </c>
      <c r="G409" s="7" t="s">
        <v>1562</v>
      </c>
      <c r="H409" s="8" t="s">
        <v>90</v>
      </c>
      <c r="I409" s="8" t="s">
        <v>1563</v>
      </c>
      <c r="J409" s="13" t="str">
        <f t="shared" si="18"/>
        <v>https://inmapper.com/zorlucenter/img/logo/MIELE.png</v>
      </c>
      <c r="K409" s="7" t="s">
        <v>1564</v>
      </c>
      <c r="L409" s="8" t="s">
        <v>92</v>
      </c>
      <c r="M409" s="9"/>
      <c r="N409" s="15"/>
      <c r="O409" s="10"/>
      <c r="P409" s="10"/>
      <c r="Q409" s="10"/>
      <c r="R409" s="16"/>
      <c r="S409" s="10"/>
      <c r="T409" s="10"/>
      <c r="U409" s="10"/>
      <c r="V409" s="10"/>
      <c r="W409" s="10"/>
      <c r="X409" s="10"/>
      <c r="Y409" s="10"/>
      <c r="Z409" s="10"/>
    </row>
    <row r="410" ht="15.75" customHeight="1">
      <c r="A410" s="6" t="s">
        <v>1565</v>
      </c>
      <c r="B410" s="7" t="s">
        <v>1566</v>
      </c>
      <c r="C410" s="7" t="s">
        <v>1567</v>
      </c>
      <c r="D410" s="7"/>
      <c r="E410" s="7">
        <v>1.0</v>
      </c>
      <c r="F410" s="12" t="s">
        <v>1568</v>
      </c>
      <c r="G410" s="7" t="s">
        <v>1569</v>
      </c>
      <c r="H410" s="8" t="s">
        <v>129</v>
      </c>
      <c r="I410" s="13" t="s">
        <v>1570</v>
      </c>
      <c r="J410" s="13" t="str">
        <f t="shared" si="18"/>
        <v>https://inmapper.com/zorlucenter/img/logo/AKBANK.png</v>
      </c>
      <c r="K410" s="7" t="s">
        <v>1571</v>
      </c>
      <c r="L410" s="8" t="s">
        <v>459</v>
      </c>
      <c r="M410" s="9"/>
      <c r="N410" s="10"/>
      <c r="O410" s="10"/>
      <c r="P410" s="10"/>
      <c r="Q410" s="10"/>
      <c r="R410" s="10"/>
      <c r="S410" s="10"/>
      <c r="T410" s="10"/>
      <c r="U410" s="10"/>
      <c r="V410" s="10"/>
      <c r="W410" s="10"/>
      <c r="X410" s="10"/>
      <c r="Y410" s="10"/>
      <c r="Z410" s="10"/>
    </row>
    <row r="411" ht="15.75" customHeight="1">
      <c r="A411" s="6" t="s">
        <v>1572</v>
      </c>
      <c r="B411" s="7" t="s">
        <v>1573</v>
      </c>
      <c r="C411" s="7"/>
      <c r="D411" s="7"/>
      <c r="E411" s="7">
        <v>1.0</v>
      </c>
      <c r="F411" s="12" t="s">
        <v>1574</v>
      </c>
      <c r="G411" s="7" t="s">
        <v>1575</v>
      </c>
      <c r="H411" s="8" t="s">
        <v>122</v>
      </c>
      <c r="I411" s="8" t="s">
        <v>1576</v>
      </c>
      <c r="J411" s="13" t="str">
        <f t="shared" si="18"/>
        <v>https://inmapper.com/zorlucenter/img/logo/ENGLISHHOME.png</v>
      </c>
      <c r="K411" s="7" t="s">
        <v>1577</v>
      </c>
      <c r="L411" s="8" t="s">
        <v>125</v>
      </c>
      <c r="M411" s="9"/>
      <c r="N411" s="10"/>
      <c r="O411" s="10"/>
      <c r="P411" s="10"/>
      <c r="Q411" s="10"/>
      <c r="R411" s="10"/>
      <c r="S411" s="10"/>
      <c r="T411" s="10"/>
      <c r="U411" s="10"/>
      <c r="V411" s="10"/>
      <c r="W411" s="10"/>
      <c r="X411" s="10"/>
      <c r="Y411" s="10"/>
      <c r="Z411" s="10"/>
    </row>
    <row r="412" ht="15.75" customHeight="1">
      <c r="A412" s="6" t="s">
        <v>1578</v>
      </c>
      <c r="B412" s="7" t="s">
        <v>1579</v>
      </c>
      <c r="C412" s="7"/>
      <c r="D412" s="7"/>
      <c r="E412" s="7">
        <v>1.0</v>
      </c>
      <c r="F412" s="12" t="s">
        <v>1580</v>
      </c>
      <c r="G412" s="7" t="s">
        <v>1581</v>
      </c>
      <c r="H412" s="8" t="s">
        <v>41</v>
      </c>
      <c r="I412" s="8" t="s">
        <v>1582</v>
      </c>
      <c r="J412" s="13" t="str">
        <f t="shared" si="18"/>
        <v>https://inmapper.com/zorlucenter/img/logo/D&amp;R.png</v>
      </c>
      <c r="K412" s="7" t="s">
        <v>1583</v>
      </c>
      <c r="L412" s="8" t="s">
        <v>44</v>
      </c>
      <c r="M412" s="9"/>
      <c r="N412" s="10"/>
      <c r="O412" s="10"/>
      <c r="P412" s="10"/>
      <c r="Q412" s="10"/>
      <c r="R412" s="10"/>
      <c r="S412" s="10"/>
      <c r="T412" s="10"/>
      <c r="U412" s="10"/>
      <c r="V412" s="10"/>
      <c r="W412" s="10"/>
      <c r="X412" s="10"/>
      <c r="Y412" s="10"/>
      <c r="Z412" s="10"/>
    </row>
    <row r="413" ht="15.75" customHeight="1">
      <c r="A413" s="6" t="s">
        <v>1584</v>
      </c>
      <c r="B413" s="7" t="s">
        <v>1585</v>
      </c>
      <c r="C413" s="7"/>
      <c r="D413" s="7"/>
      <c r="E413" s="7">
        <v>1.0</v>
      </c>
      <c r="F413" s="12" t="s">
        <v>1586</v>
      </c>
      <c r="G413" s="7" t="s">
        <v>1587</v>
      </c>
      <c r="H413" s="8" t="s">
        <v>122</v>
      </c>
      <c r="I413" s="13" t="s">
        <v>1588</v>
      </c>
      <c r="J413" s="13" t="str">
        <f t="shared" si="18"/>
        <v>https://inmapper.com/zorlucenter/img/logo/ANY.png</v>
      </c>
      <c r="K413" s="7" t="s">
        <v>1589</v>
      </c>
      <c r="L413" s="8" t="s">
        <v>125</v>
      </c>
      <c r="M413" s="9"/>
      <c r="N413" s="10"/>
      <c r="O413" s="10"/>
      <c r="P413" s="10"/>
      <c r="Q413" s="10"/>
      <c r="R413" s="10"/>
      <c r="S413" s="10"/>
      <c r="T413" s="10"/>
      <c r="U413" s="10"/>
      <c r="V413" s="10"/>
      <c r="W413" s="10"/>
      <c r="X413" s="10"/>
      <c r="Y413" s="10"/>
      <c r="Z413" s="10"/>
    </row>
    <row r="414" ht="15.75" customHeight="1">
      <c r="A414" s="6" t="s">
        <v>1590</v>
      </c>
      <c r="B414" s="18" t="s">
        <v>1591</v>
      </c>
      <c r="C414" s="7"/>
      <c r="D414" s="7"/>
      <c r="E414" s="7">
        <v>1.0</v>
      </c>
      <c r="F414" s="17" t="s">
        <v>1592</v>
      </c>
      <c r="G414" s="7" t="s">
        <v>1593</v>
      </c>
      <c r="H414" s="43" t="s">
        <v>184</v>
      </c>
      <c r="I414" s="40" t="s">
        <v>1594</v>
      </c>
      <c r="J414" s="13" t="str">
        <f>CONCATENATE(Doors!$M$1,$K414)</f>
        <v>https://inmapper.com/zorlucenter/img/logo/KRONOTROP.png</v>
      </c>
      <c r="K414" s="18" t="s">
        <v>1595</v>
      </c>
      <c r="L414" s="43" t="s">
        <v>187</v>
      </c>
      <c r="M414" s="19"/>
      <c r="N414" s="20"/>
      <c r="O414" s="10"/>
      <c r="P414" s="10"/>
      <c r="Q414" s="10"/>
      <c r="R414" s="10"/>
      <c r="S414" s="10"/>
      <c r="T414" s="10"/>
      <c r="U414" s="10"/>
      <c r="V414" s="10"/>
      <c r="W414" s="10"/>
      <c r="X414" s="10"/>
      <c r="Y414" s="10"/>
      <c r="Z414" s="10"/>
    </row>
    <row r="415" ht="15.75" customHeight="1">
      <c r="A415" s="6" t="s">
        <v>1596</v>
      </c>
      <c r="B415" s="24" t="s">
        <v>1597</v>
      </c>
      <c r="C415" s="7"/>
      <c r="D415" s="7"/>
      <c r="E415" s="7">
        <v>1.0</v>
      </c>
      <c r="F415" s="12" t="s">
        <v>1598</v>
      </c>
      <c r="G415" s="7" t="s">
        <v>1599</v>
      </c>
      <c r="H415" s="8" t="s">
        <v>90</v>
      </c>
      <c r="I415" s="42" t="s">
        <v>1600</v>
      </c>
      <c r="J415" s="13" t="str">
        <f t="shared" ref="J415:J435" si="19">CONCATENATE($M$1,$K415)</f>
        <v>https://inmapper.com/zorlucenter/img/logo/HARMANKARDON.png</v>
      </c>
      <c r="K415" s="7" t="s">
        <v>1601</v>
      </c>
      <c r="L415" s="8" t="s">
        <v>92</v>
      </c>
      <c r="M415" s="9"/>
      <c r="N415" s="10"/>
      <c r="O415" s="10"/>
      <c r="P415" s="10"/>
      <c r="Q415" s="10"/>
      <c r="R415" s="10"/>
      <c r="S415" s="10"/>
      <c r="T415" s="10"/>
      <c r="U415" s="10"/>
      <c r="V415" s="10"/>
      <c r="W415" s="10"/>
      <c r="X415" s="10"/>
      <c r="Y415" s="10"/>
      <c r="Z415" s="10"/>
    </row>
    <row r="416" ht="15.75" customHeight="1">
      <c r="A416" s="6" t="s">
        <v>1602</v>
      </c>
      <c r="B416" s="7" t="s">
        <v>1603</v>
      </c>
      <c r="C416" s="7"/>
      <c r="D416" s="7"/>
      <c r="E416" s="7">
        <v>1.0</v>
      </c>
      <c r="F416" s="12" t="s">
        <v>1604</v>
      </c>
      <c r="G416" s="7" t="s">
        <v>1605</v>
      </c>
      <c r="H416" s="43" t="s">
        <v>1606</v>
      </c>
      <c r="I416" s="8" t="s">
        <v>1607</v>
      </c>
      <c r="J416" s="13" t="str">
        <f t="shared" si="19"/>
        <v>https://inmapper.com/zorlucenter/img/logo/EATALY.png</v>
      </c>
      <c r="K416" s="7" t="s">
        <v>1608</v>
      </c>
      <c r="L416" s="43" t="s">
        <v>1609</v>
      </c>
      <c r="M416" s="9"/>
      <c r="N416" s="10"/>
      <c r="O416" s="10"/>
      <c r="P416" s="10"/>
      <c r="Q416" s="10"/>
      <c r="R416" s="10"/>
      <c r="S416" s="10"/>
      <c r="T416" s="10"/>
      <c r="U416" s="10"/>
      <c r="V416" s="10"/>
      <c r="W416" s="10"/>
      <c r="X416" s="10"/>
      <c r="Y416" s="10"/>
      <c r="Z416" s="10"/>
    </row>
    <row r="417" ht="15.75" customHeight="1">
      <c r="A417" s="21" t="s">
        <v>1610</v>
      </c>
      <c r="B417" s="18" t="s">
        <v>1611</v>
      </c>
      <c r="C417" s="7"/>
      <c r="D417" s="7"/>
      <c r="E417" s="18">
        <v>1.0</v>
      </c>
      <c r="F417" s="17" t="s">
        <v>1612</v>
      </c>
      <c r="G417" s="7"/>
      <c r="H417" s="8" t="s">
        <v>184</v>
      </c>
      <c r="I417" s="41" t="s">
        <v>1613</v>
      </c>
      <c r="J417" s="13" t="str">
        <f t="shared" si="19"/>
        <v>https://inmapper.com/zorlucenter/img/logo/TERRAZZAITALIA.png</v>
      </c>
      <c r="K417" s="18" t="s">
        <v>1614</v>
      </c>
      <c r="L417" s="43" t="s">
        <v>187</v>
      </c>
      <c r="M417" s="9"/>
      <c r="N417" s="10"/>
      <c r="O417" s="10"/>
      <c r="P417" s="10"/>
      <c r="Q417" s="10"/>
      <c r="R417" s="10"/>
      <c r="S417" s="10"/>
      <c r="T417" s="10"/>
      <c r="U417" s="10"/>
      <c r="V417" s="10"/>
      <c r="W417" s="10"/>
      <c r="X417" s="10"/>
      <c r="Y417" s="10"/>
      <c r="Z417" s="10"/>
    </row>
    <row r="418" ht="15.75" customHeight="1">
      <c r="A418" s="21" t="s">
        <v>1615</v>
      </c>
      <c r="B418" s="18" t="s">
        <v>1616</v>
      </c>
      <c r="C418" s="7"/>
      <c r="D418" s="7"/>
      <c r="E418" s="18">
        <v>1.0</v>
      </c>
      <c r="F418" s="18" t="s">
        <v>15</v>
      </c>
      <c r="G418" s="18" t="s">
        <v>1617</v>
      </c>
      <c r="H418" s="8" t="s">
        <v>122</v>
      </c>
      <c r="I418" s="41" t="s">
        <v>1618</v>
      </c>
      <c r="J418" s="13" t="str">
        <f t="shared" si="19"/>
        <v>https://inmapper.com/zorlucenter/img/logo/ENPLUS.png</v>
      </c>
      <c r="K418" s="19" t="s">
        <v>1619</v>
      </c>
      <c r="L418" s="62" t="s">
        <v>125</v>
      </c>
      <c r="M418" s="19"/>
      <c r="N418" s="10"/>
      <c r="O418" s="10"/>
      <c r="P418" s="10"/>
      <c r="Q418" s="10"/>
      <c r="R418" s="10"/>
      <c r="S418" s="10"/>
      <c r="T418" s="10"/>
      <c r="U418" s="10"/>
      <c r="V418" s="10"/>
      <c r="W418" s="10"/>
      <c r="X418" s="10"/>
      <c r="Y418" s="10"/>
      <c r="Z418" s="10"/>
    </row>
    <row r="419" ht="15.75" customHeight="1">
      <c r="A419" s="21" t="s">
        <v>1620</v>
      </c>
      <c r="B419" s="18" t="s">
        <v>1621</v>
      </c>
      <c r="C419" s="7"/>
      <c r="D419" s="7"/>
      <c r="E419" s="18">
        <v>1.0</v>
      </c>
      <c r="F419" s="17" t="s">
        <v>1622</v>
      </c>
      <c r="G419" s="18" t="s">
        <v>1623</v>
      </c>
      <c r="H419" s="8" t="s">
        <v>184</v>
      </c>
      <c r="I419" s="8"/>
      <c r="J419" s="13" t="str">
        <f t="shared" si="19"/>
        <v>https://inmapper.com/zorlucenter/img/logo/CONICO.png</v>
      </c>
      <c r="K419" s="19" t="s">
        <v>1624</v>
      </c>
      <c r="L419" s="8" t="s">
        <v>187</v>
      </c>
      <c r="M419" s="19"/>
      <c r="N419" s="10"/>
      <c r="O419" s="10"/>
      <c r="P419" s="10"/>
      <c r="Q419" s="10"/>
      <c r="R419" s="10"/>
      <c r="S419" s="10"/>
      <c r="T419" s="10"/>
      <c r="U419" s="10"/>
      <c r="V419" s="10"/>
      <c r="W419" s="10"/>
      <c r="X419" s="10"/>
      <c r="Y419" s="10"/>
      <c r="Z419" s="10"/>
    </row>
    <row r="420" ht="15.75" customHeight="1">
      <c r="A420" s="6" t="s">
        <v>1625</v>
      </c>
      <c r="B420" s="7" t="s">
        <v>1626</v>
      </c>
      <c r="C420" s="7"/>
      <c r="D420" s="7"/>
      <c r="E420" s="7">
        <v>1.0</v>
      </c>
      <c r="F420" s="12" t="s">
        <v>1627</v>
      </c>
      <c r="G420" s="7" t="s">
        <v>1628</v>
      </c>
      <c r="H420" s="8" t="s">
        <v>1629</v>
      </c>
      <c r="I420" s="8" t="s">
        <v>1630</v>
      </c>
      <c r="J420" s="13" t="str">
        <f t="shared" si="19"/>
        <v>https://inmapper.com/zorlucenter/img/logo/FUNLOFT.png</v>
      </c>
      <c r="K420" s="7" t="s">
        <v>1631</v>
      </c>
      <c r="L420" s="8" t="s">
        <v>1632</v>
      </c>
      <c r="M420" s="9"/>
      <c r="N420" s="10"/>
      <c r="O420" s="10"/>
      <c r="P420" s="10"/>
      <c r="Q420" s="10"/>
      <c r="R420" s="10"/>
      <c r="S420" s="10"/>
      <c r="T420" s="10"/>
      <c r="U420" s="10"/>
      <c r="V420" s="10"/>
      <c r="W420" s="10"/>
      <c r="X420" s="10"/>
      <c r="Y420" s="10"/>
      <c r="Z420" s="10"/>
    </row>
    <row r="421" ht="15.75" customHeight="1">
      <c r="A421" s="6" t="s">
        <v>1633</v>
      </c>
      <c r="B421" s="7" t="s">
        <v>1634</v>
      </c>
      <c r="C421" s="7"/>
      <c r="D421" s="7"/>
      <c r="E421" s="7">
        <v>1.0</v>
      </c>
      <c r="F421" s="12" t="s">
        <v>1635</v>
      </c>
      <c r="G421" s="7" t="s">
        <v>1636</v>
      </c>
      <c r="H421" s="43" t="s">
        <v>1121</v>
      </c>
      <c r="I421" s="8" t="s">
        <v>1637</v>
      </c>
      <c r="J421" s="8" t="str">
        <f t="shared" si="19"/>
        <v>https://inmapper.com/zorlucenter/img/logo/HANDEHALUKKUAFÖR.png</v>
      </c>
      <c r="K421" s="7" t="s">
        <v>1638</v>
      </c>
      <c r="L421" s="8" t="s">
        <v>24</v>
      </c>
      <c r="M421" s="9"/>
      <c r="N421" s="15"/>
      <c r="O421" s="10"/>
      <c r="P421" s="10"/>
      <c r="Q421" s="10"/>
      <c r="R421" s="16"/>
      <c r="S421" s="10"/>
      <c r="T421" s="10"/>
      <c r="U421" s="10"/>
      <c r="V421" s="10"/>
      <c r="W421" s="10"/>
      <c r="X421" s="10"/>
      <c r="Y421" s="10"/>
      <c r="Z421" s="10"/>
    </row>
    <row r="422" ht="15.75" customHeight="1">
      <c r="A422" s="6" t="s">
        <v>1639</v>
      </c>
      <c r="B422" s="7" t="s">
        <v>1640</v>
      </c>
      <c r="C422" s="7"/>
      <c r="D422" s="7"/>
      <c r="E422" s="7">
        <v>1.0</v>
      </c>
      <c r="F422" s="12" t="s">
        <v>1641</v>
      </c>
      <c r="G422" s="7" t="s">
        <v>1642</v>
      </c>
      <c r="H422" s="8" t="s">
        <v>122</v>
      </c>
      <c r="I422" s="13" t="s">
        <v>1643</v>
      </c>
      <c r="J422" s="13" t="str">
        <f t="shared" si="19"/>
        <v>https://inmapper.com/zorlucenter/img/logo/DORYAHOME.png</v>
      </c>
      <c r="K422" s="7" t="s">
        <v>1644</v>
      </c>
      <c r="L422" s="8" t="s">
        <v>125</v>
      </c>
      <c r="M422" s="9"/>
      <c r="N422" s="10"/>
      <c r="O422" s="10"/>
      <c r="P422" s="10"/>
      <c r="Q422" s="10"/>
      <c r="R422" s="10"/>
      <c r="S422" s="10"/>
      <c r="T422" s="10"/>
      <c r="U422" s="10"/>
      <c r="V422" s="10"/>
      <c r="W422" s="10"/>
      <c r="X422" s="10"/>
      <c r="Y422" s="10"/>
      <c r="Z422" s="10"/>
    </row>
    <row r="423" ht="15.75" customHeight="1">
      <c r="A423" s="6" t="s">
        <v>1645</v>
      </c>
      <c r="B423" s="7" t="s">
        <v>1646</v>
      </c>
      <c r="C423" s="7"/>
      <c r="D423" s="7"/>
      <c r="E423" s="7">
        <v>1.0</v>
      </c>
      <c r="F423" s="12" t="s">
        <v>1647</v>
      </c>
      <c r="G423" s="7" t="s">
        <v>1648</v>
      </c>
      <c r="H423" s="8" t="s">
        <v>152</v>
      </c>
      <c r="I423" s="42" t="s">
        <v>1649</v>
      </c>
      <c r="J423" s="13" t="str">
        <f t="shared" si="19"/>
        <v>https://inmapper.com/zorlucenter/img/logo/GİLAN.png</v>
      </c>
      <c r="K423" s="7" t="s">
        <v>1650</v>
      </c>
      <c r="L423" s="8" t="s">
        <v>155</v>
      </c>
      <c r="M423" s="9"/>
      <c r="N423" s="10"/>
      <c r="O423" s="10"/>
      <c r="P423" s="10"/>
      <c r="Q423" s="10"/>
      <c r="R423" s="10"/>
      <c r="S423" s="10"/>
      <c r="T423" s="10"/>
      <c r="U423" s="10"/>
      <c r="V423" s="10"/>
      <c r="W423" s="10"/>
      <c r="X423" s="10"/>
      <c r="Y423" s="10"/>
      <c r="Z423" s="10"/>
    </row>
    <row r="424" ht="15.75" customHeight="1">
      <c r="A424" s="63" t="s">
        <v>1651</v>
      </c>
      <c r="B424" s="39" t="s">
        <v>1652</v>
      </c>
      <c r="C424" s="28"/>
      <c r="D424" s="28"/>
      <c r="E424" s="64">
        <v>1.0</v>
      </c>
      <c r="F424" s="39" t="s">
        <v>15</v>
      </c>
      <c r="G424" s="39" t="s">
        <v>1653</v>
      </c>
      <c r="H424" s="65" t="s">
        <v>160</v>
      </c>
      <c r="I424" s="66" t="s">
        <v>1654</v>
      </c>
      <c r="J424" s="37" t="str">
        <f t="shared" si="19"/>
        <v>https://inmapper.com/zorlucenter/img/logo/TAJI.png</v>
      </c>
      <c r="K424" s="39" t="s">
        <v>1655</v>
      </c>
      <c r="L424" s="65" t="s">
        <v>163</v>
      </c>
      <c r="M424" s="65"/>
      <c r="N424" s="67"/>
      <c r="O424" s="28"/>
      <c r="P424" s="28"/>
      <c r="Q424" s="28"/>
      <c r="R424" s="28"/>
      <c r="S424" s="28"/>
      <c r="T424" s="28"/>
      <c r="U424" s="28"/>
      <c r="V424" s="28"/>
      <c r="W424" s="28"/>
      <c r="X424" s="28"/>
      <c r="Y424" s="28"/>
      <c r="Z424" s="28"/>
    </row>
    <row r="425" ht="15.75" customHeight="1">
      <c r="A425" s="6" t="s">
        <v>1656</v>
      </c>
      <c r="B425" s="7" t="s">
        <v>1657</v>
      </c>
      <c r="C425" s="7"/>
      <c r="D425" s="7"/>
      <c r="E425" s="7">
        <v>1.0</v>
      </c>
      <c r="F425" s="12" t="s">
        <v>1658</v>
      </c>
      <c r="G425" s="7" t="s">
        <v>1648</v>
      </c>
      <c r="H425" s="8" t="s">
        <v>152</v>
      </c>
      <c r="I425" s="8" t="s">
        <v>1659</v>
      </c>
      <c r="J425" s="13" t="str">
        <f t="shared" si="19"/>
        <v>https://inmapper.com/zorlucenter/img/logo/KISMETBYMILKA.png</v>
      </c>
      <c r="K425" s="7" t="s">
        <v>1660</v>
      </c>
      <c r="L425" s="8" t="s">
        <v>155</v>
      </c>
      <c r="M425" s="9"/>
      <c r="N425" s="10"/>
      <c r="O425" s="10"/>
      <c r="P425" s="10"/>
      <c r="Q425" s="10"/>
      <c r="R425" s="10"/>
      <c r="S425" s="10"/>
      <c r="T425" s="10"/>
      <c r="U425" s="10"/>
      <c r="V425" s="10"/>
      <c r="W425" s="10"/>
      <c r="X425" s="10"/>
      <c r="Y425" s="10"/>
      <c r="Z425" s="10"/>
    </row>
    <row r="426" ht="15.75" customHeight="1">
      <c r="A426" s="6" t="s">
        <v>1661</v>
      </c>
      <c r="B426" s="7" t="s">
        <v>1662</v>
      </c>
      <c r="C426" s="7"/>
      <c r="D426" s="7"/>
      <c r="E426" s="7">
        <v>1.0</v>
      </c>
      <c r="F426" s="12" t="s">
        <v>1663</v>
      </c>
      <c r="G426" s="7" t="s">
        <v>1664</v>
      </c>
      <c r="H426" s="8" t="s">
        <v>160</v>
      </c>
      <c r="I426" s="14" t="s">
        <v>1665</v>
      </c>
      <c r="J426" s="13" t="str">
        <f t="shared" si="19"/>
        <v>https://inmapper.com/zorlucenter/img/logo/1290SQM.png</v>
      </c>
      <c r="K426" s="7" t="s">
        <v>1666</v>
      </c>
      <c r="L426" s="8" t="s">
        <v>163</v>
      </c>
      <c r="M426" s="9"/>
      <c r="N426" s="10"/>
      <c r="O426" s="10"/>
      <c r="P426" s="10"/>
      <c r="Q426" s="10"/>
      <c r="R426" s="10"/>
      <c r="S426" s="10"/>
      <c r="T426" s="10"/>
      <c r="U426" s="10"/>
      <c r="V426" s="10"/>
      <c r="W426" s="10"/>
      <c r="X426" s="10"/>
      <c r="Y426" s="10"/>
      <c r="Z426" s="10"/>
    </row>
    <row r="427" ht="15.75" customHeight="1">
      <c r="A427" s="6" t="s">
        <v>1667</v>
      </c>
      <c r="B427" s="7" t="s">
        <v>1668</v>
      </c>
      <c r="C427" s="7"/>
      <c r="D427" s="7"/>
      <c r="E427" s="7">
        <v>1.0</v>
      </c>
      <c r="F427" s="12" t="s">
        <v>1669</v>
      </c>
      <c r="G427" s="7" t="s">
        <v>1670</v>
      </c>
      <c r="H427" s="8" t="s">
        <v>184</v>
      </c>
      <c r="I427" s="8"/>
      <c r="J427" s="13" t="str">
        <f t="shared" si="19"/>
        <v>https://inmapper.com/zorlucenter/img/logo/ZULA.png</v>
      </c>
      <c r="K427" s="7" t="s">
        <v>1671</v>
      </c>
      <c r="L427" s="8" t="s">
        <v>187</v>
      </c>
      <c r="M427" s="9"/>
      <c r="N427" s="10"/>
      <c r="O427" s="10"/>
      <c r="P427" s="10"/>
      <c r="Q427" s="10"/>
      <c r="R427" s="10"/>
      <c r="S427" s="10"/>
      <c r="T427" s="10"/>
      <c r="U427" s="10"/>
      <c r="V427" s="10"/>
      <c r="W427" s="10"/>
      <c r="X427" s="10"/>
      <c r="Y427" s="10"/>
      <c r="Z427" s="10"/>
    </row>
    <row r="428" ht="15.75" customHeight="1">
      <c r="A428" s="6" t="s">
        <v>1672</v>
      </c>
      <c r="B428" s="7" t="s">
        <v>1673</v>
      </c>
      <c r="C428" s="7"/>
      <c r="D428" s="7"/>
      <c r="E428" s="7">
        <v>1.0</v>
      </c>
      <c r="F428" s="12" t="s">
        <v>1674</v>
      </c>
      <c r="G428" s="7" t="s">
        <v>1599</v>
      </c>
      <c r="H428" s="8" t="s">
        <v>90</v>
      </c>
      <c r="I428" s="13" t="s">
        <v>1675</v>
      </c>
      <c r="J428" s="13" t="str">
        <f t="shared" si="19"/>
        <v>https://inmapper.com/zorlucenter/img/logo/JBL.png</v>
      </c>
      <c r="K428" s="7" t="s">
        <v>1676</v>
      </c>
      <c r="L428" s="8" t="s">
        <v>92</v>
      </c>
      <c r="M428" s="9"/>
      <c r="N428" s="10"/>
      <c r="O428" s="10"/>
      <c r="P428" s="10"/>
      <c r="Q428" s="10"/>
      <c r="R428" s="10"/>
      <c r="S428" s="10"/>
      <c r="T428" s="10"/>
      <c r="U428" s="10"/>
      <c r="V428" s="10"/>
      <c r="W428" s="10"/>
      <c r="X428" s="10"/>
      <c r="Y428" s="10"/>
      <c r="Z428" s="10"/>
    </row>
    <row r="429" ht="15.75" customHeight="1">
      <c r="A429" s="6" t="s">
        <v>1677</v>
      </c>
      <c r="B429" s="7" t="s">
        <v>1678</v>
      </c>
      <c r="C429" s="7"/>
      <c r="D429" s="7"/>
      <c r="E429" s="7">
        <v>1.0</v>
      </c>
      <c r="F429" s="12" t="s">
        <v>1021</v>
      </c>
      <c r="G429" s="7" t="s">
        <v>1679</v>
      </c>
      <c r="H429" s="7" t="s">
        <v>122</v>
      </c>
      <c r="I429" s="7" t="s">
        <v>1023</v>
      </c>
      <c r="J429" s="13" t="str">
        <f t="shared" si="19"/>
        <v>https://inmapper.com/zorlucenter/img/logo/VAKKOHOME.png</v>
      </c>
      <c r="K429" s="9" t="s">
        <v>1680</v>
      </c>
      <c r="L429" s="7" t="s">
        <v>125</v>
      </c>
      <c r="M429" s="9"/>
      <c r="N429" s="10"/>
      <c r="O429" s="10"/>
      <c r="P429" s="10"/>
      <c r="Q429" s="10"/>
      <c r="R429" s="10"/>
      <c r="S429" s="10"/>
      <c r="T429" s="10"/>
      <c r="U429" s="10"/>
      <c r="V429" s="10"/>
      <c r="W429" s="10"/>
      <c r="X429" s="10"/>
      <c r="Y429" s="10"/>
      <c r="Z429" s="10"/>
    </row>
    <row r="430" ht="15.75" customHeight="1">
      <c r="A430" s="21" t="s">
        <v>1681</v>
      </c>
      <c r="B430" s="18" t="s">
        <v>1682</v>
      </c>
      <c r="C430" s="7"/>
      <c r="D430" s="7"/>
      <c r="E430" s="18">
        <v>1.0</v>
      </c>
      <c r="F430" s="17" t="s">
        <v>1683</v>
      </c>
      <c r="G430" s="18" t="s">
        <v>1684</v>
      </c>
      <c r="H430" s="18" t="s">
        <v>184</v>
      </c>
      <c r="I430" s="68" t="s">
        <v>1685</v>
      </c>
      <c r="J430" s="13" t="str">
        <f t="shared" si="19"/>
        <v>https://inmapper.com/zorlucenter/img/logo/VAKKOLATELIER.png</v>
      </c>
      <c r="K430" s="19" t="s">
        <v>1686</v>
      </c>
      <c r="L430" s="7" t="s">
        <v>187</v>
      </c>
      <c r="M430" s="9"/>
      <c r="N430" s="10"/>
      <c r="O430" s="10"/>
      <c r="P430" s="10"/>
      <c r="Q430" s="10"/>
      <c r="R430" s="10"/>
      <c r="S430" s="10"/>
      <c r="T430" s="10"/>
      <c r="U430" s="10"/>
      <c r="V430" s="10"/>
      <c r="W430" s="10"/>
      <c r="X430" s="10"/>
      <c r="Y430" s="10"/>
      <c r="Z430" s="10"/>
    </row>
    <row r="431" ht="15.75" customHeight="1">
      <c r="A431" s="21" t="s">
        <v>1677</v>
      </c>
      <c r="B431" s="18" t="s">
        <v>1687</v>
      </c>
      <c r="C431" s="7"/>
      <c r="D431" s="7"/>
      <c r="E431" s="18">
        <v>1.0</v>
      </c>
      <c r="F431" s="17" t="s">
        <v>1688</v>
      </c>
      <c r="G431" s="18" t="s">
        <v>1689</v>
      </c>
      <c r="H431" s="18" t="s">
        <v>160</v>
      </c>
      <c r="I431" s="69" t="s">
        <v>1690</v>
      </c>
      <c r="J431" s="13" t="str">
        <f t="shared" si="19"/>
        <v>https://inmapper.com/zorlucenter/img/logo/VAKKO.png</v>
      </c>
      <c r="K431" s="19" t="s">
        <v>1024</v>
      </c>
      <c r="L431" s="8" t="s">
        <v>163</v>
      </c>
      <c r="M431" s="9"/>
      <c r="N431" s="10"/>
      <c r="O431" s="10"/>
      <c r="P431" s="10"/>
      <c r="Q431" s="10"/>
      <c r="R431" s="10"/>
      <c r="S431" s="10"/>
      <c r="T431" s="10"/>
      <c r="U431" s="10"/>
      <c r="V431" s="10"/>
      <c r="W431" s="10"/>
      <c r="X431" s="10"/>
      <c r="Y431" s="10"/>
      <c r="Z431" s="10"/>
    </row>
    <row r="432" ht="15.75" customHeight="1">
      <c r="A432" s="6" t="s">
        <v>1691</v>
      </c>
      <c r="B432" s="7" t="s">
        <v>1692</v>
      </c>
      <c r="C432" s="7"/>
      <c r="D432" s="7"/>
      <c r="E432" s="7">
        <v>1.0</v>
      </c>
      <c r="F432" s="18" t="s">
        <v>15</v>
      </c>
      <c r="G432" s="7" t="s">
        <v>1593</v>
      </c>
      <c r="H432" s="7" t="s">
        <v>184</v>
      </c>
      <c r="I432" s="7" t="s">
        <v>1693</v>
      </c>
      <c r="J432" s="13" t="str">
        <f t="shared" si="19"/>
        <v>https://inmapper.com/zorlucenter/img/logo/VOICOFFEECOMPANY.png</v>
      </c>
      <c r="K432" s="7" t="s">
        <v>1694</v>
      </c>
      <c r="L432" s="7" t="s">
        <v>187</v>
      </c>
      <c r="M432" s="9"/>
      <c r="N432" s="10"/>
      <c r="O432" s="10"/>
      <c r="P432" s="10"/>
      <c r="Q432" s="10"/>
      <c r="R432" s="10"/>
      <c r="S432" s="10"/>
      <c r="T432" s="10"/>
      <c r="U432" s="10"/>
      <c r="V432" s="10"/>
      <c r="W432" s="10"/>
      <c r="X432" s="10"/>
      <c r="Y432" s="10"/>
      <c r="Z432" s="10"/>
    </row>
    <row r="433" ht="15.75" customHeight="1">
      <c r="A433" s="6" t="s">
        <v>1695</v>
      </c>
      <c r="B433" s="7" t="s">
        <v>1696</v>
      </c>
      <c r="C433" s="7"/>
      <c r="D433" s="7"/>
      <c r="E433" s="7">
        <v>1.0</v>
      </c>
      <c r="F433" s="12" t="s">
        <v>1697</v>
      </c>
      <c r="G433" s="7" t="s">
        <v>1698</v>
      </c>
      <c r="H433" s="7" t="s">
        <v>184</v>
      </c>
      <c r="I433" s="7" t="s">
        <v>1699</v>
      </c>
      <c r="J433" s="8" t="str">
        <f t="shared" si="19"/>
        <v>https://inmapper.com/zorlucenter/img/logo/MOCCOFFEE ROASTERY.png</v>
      </c>
      <c r="K433" s="7" t="s">
        <v>1700</v>
      </c>
      <c r="L433" s="7" t="s">
        <v>187</v>
      </c>
      <c r="M433" s="9"/>
      <c r="N433" s="10"/>
      <c r="O433" s="10"/>
      <c r="P433" s="10"/>
      <c r="Q433" s="10"/>
      <c r="R433" s="10"/>
      <c r="S433" s="10"/>
      <c r="T433" s="10"/>
      <c r="U433" s="10"/>
      <c r="V433" s="10"/>
      <c r="W433" s="10"/>
      <c r="X433" s="10"/>
      <c r="Y433" s="10"/>
      <c r="Z433" s="10"/>
    </row>
    <row r="434" ht="15.75" customHeight="1">
      <c r="A434" s="63" t="s">
        <v>1701</v>
      </c>
      <c r="B434" s="39" t="s">
        <v>1702</v>
      </c>
      <c r="C434" s="18"/>
      <c r="D434" s="28"/>
      <c r="E434" s="64">
        <v>1.0</v>
      </c>
      <c r="F434" s="70" t="s">
        <v>1703</v>
      </c>
      <c r="G434" s="39" t="s">
        <v>1704</v>
      </c>
      <c r="H434" s="8" t="s">
        <v>122</v>
      </c>
      <c r="I434" s="71" t="s">
        <v>1705</v>
      </c>
      <c r="J434" s="37" t="str">
        <f t="shared" si="19"/>
        <v>https://inmapper.com/zorlucenter/img/logo/ZWILLING.png</v>
      </c>
      <c r="K434" s="39" t="s">
        <v>1706</v>
      </c>
      <c r="L434" s="62" t="s">
        <v>125</v>
      </c>
      <c r="M434" s="39"/>
      <c r="N434" s="67"/>
      <c r="O434" s="39"/>
      <c r="P434" s="28"/>
      <c r="Q434" s="28"/>
      <c r="R434" s="28"/>
      <c r="S434" s="28"/>
      <c r="T434" s="28"/>
      <c r="U434" s="28"/>
      <c r="V434" s="28"/>
      <c r="W434" s="28"/>
      <c r="X434" s="28"/>
      <c r="Y434" s="28"/>
      <c r="Z434" s="28"/>
    </row>
    <row r="435" ht="15.75" customHeight="1">
      <c r="A435" s="6" t="s">
        <v>1707</v>
      </c>
      <c r="B435" s="7" t="s">
        <v>1708</v>
      </c>
      <c r="C435" s="7"/>
      <c r="D435" s="7"/>
      <c r="E435" s="7">
        <v>1.0</v>
      </c>
      <c r="F435" s="12" t="s">
        <v>1709</v>
      </c>
      <c r="G435" s="7" t="s">
        <v>1710</v>
      </c>
      <c r="H435" s="8" t="s">
        <v>122</v>
      </c>
      <c r="I435" s="8" t="s">
        <v>1711</v>
      </c>
      <c r="J435" s="13" t="str">
        <f t="shared" si="19"/>
        <v>https://inmapper.com/zorlucenter/img/logo/CHAKRA.png</v>
      </c>
      <c r="K435" s="7" t="s">
        <v>1712</v>
      </c>
      <c r="L435" s="8" t="s">
        <v>125</v>
      </c>
      <c r="M435" s="9"/>
      <c r="N435" s="10"/>
      <c r="O435" s="10"/>
      <c r="P435" s="10"/>
      <c r="Q435" s="10"/>
      <c r="R435" s="10"/>
      <c r="S435" s="10"/>
      <c r="T435" s="10"/>
      <c r="U435" s="10"/>
      <c r="V435" s="10"/>
      <c r="W435" s="10"/>
      <c r="X435" s="10"/>
      <c r="Y435" s="10"/>
      <c r="Z435" s="10"/>
    </row>
    <row r="436" ht="15.75" hidden="1" customHeight="1">
      <c r="A436" s="6" t="s">
        <v>1713</v>
      </c>
      <c r="B436" s="7" t="s">
        <v>1714</v>
      </c>
      <c r="C436" s="7"/>
      <c r="D436" s="7"/>
      <c r="E436" s="7">
        <v>1.0</v>
      </c>
      <c r="F436" s="7" t="s">
        <v>15</v>
      </c>
      <c r="G436" s="7" t="s">
        <v>1715</v>
      </c>
      <c r="H436" s="8" t="s">
        <v>900</v>
      </c>
      <c r="I436" s="8"/>
      <c r="J436" s="8"/>
      <c r="K436" s="7"/>
      <c r="L436" s="8" t="s">
        <v>901</v>
      </c>
      <c r="M436" s="9"/>
      <c r="N436" s="10"/>
      <c r="O436" s="10"/>
      <c r="P436" s="10"/>
      <c r="Q436" s="10"/>
      <c r="R436" s="10"/>
      <c r="S436" s="10"/>
      <c r="T436" s="10"/>
      <c r="U436" s="10"/>
      <c r="V436" s="10"/>
      <c r="W436" s="10"/>
      <c r="X436" s="10"/>
      <c r="Y436" s="10"/>
      <c r="Z436" s="10"/>
    </row>
    <row r="437" ht="15.75" customHeight="1">
      <c r="A437" s="6" t="s">
        <v>1716</v>
      </c>
      <c r="B437" s="7" t="s">
        <v>1717</v>
      </c>
      <c r="C437" s="7"/>
      <c r="D437" s="7"/>
      <c r="E437" s="7">
        <v>1.0</v>
      </c>
      <c r="F437" s="7" t="s">
        <v>15</v>
      </c>
      <c r="G437" s="7" t="s">
        <v>1718</v>
      </c>
      <c r="H437" s="8" t="s">
        <v>129</v>
      </c>
      <c r="I437" s="8"/>
      <c r="J437" s="8"/>
      <c r="K437" s="7"/>
      <c r="L437" s="8" t="s">
        <v>459</v>
      </c>
      <c r="M437" s="9"/>
      <c r="N437" s="10"/>
      <c r="O437" s="10"/>
      <c r="P437" s="10"/>
      <c r="Q437" s="10"/>
      <c r="R437" s="10"/>
      <c r="S437" s="10"/>
      <c r="T437" s="10"/>
      <c r="U437" s="10"/>
      <c r="V437" s="10"/>
      <c r="W437" s="10"/>
      <c r="X437" s="10"/>
      <c r="Y437" s="10"/>
      <c r="Z437" s="10"/>
    </row>
    <row r="438" ht="15.75" customHeight="1">
      <c r="A438" s="6" t="s">
        <v>1719</v>
      </c>
      <c r="B438" s="7" t="s">
        <v>466</v>
      </c>
      <c r="C438" s="7"/>
      <c r="D438" s="7"/>
      <c r="E438" s="7">
        <v>1.0</v>
      </c>
      <c r="F438" s="7" t="s">
        <v>15</v>
      </c>
      <c r="G438" s="7" t="s">
        <v>467</v>
      </c>
      <c r="H438" s="8"/>
      <c r="I438" s="8"/>
      <c r="J438" s="8"/>
      <c r="K438" s="7"/>
      <c r="L438" s="8"/>
      <c r="M438" s="9"/>
      <c r="N438" s="10"/>
      <c r="O438" s="10"/>
      <c r="P438" s="10"/>
      <c r="Q438" s="10"/>
      <c r="R438" s="10"/>
      <c r="S438" s="10"/>
      <c r="T438" s="10"/>
      <c r="U438" s="10"/>
      <c r="V438" s="10"/>
      <c r="W438" s="10"/>
      <c r="X438" s="10"/>
      <c r="Y438" s="10"/>
      <c r="Z438" s="10"/>
    </row>
    <row r="439" ht="15.75" customHeight="1">
      <c r="A439" s="21" t="s">
        <v>1720</v>
      </c>
      <c r="B439" s="18" t="s">
        <v>968</v>
      </c>
      <c r="C439" s="7"/>
      <c r="D439" s="7"/>
      <c r="E439" s="7">
        <v>1.0</v>
      </c>
      <c r="F439" s="7" t="s">
        <v>15</v>
      </c>
      <c r="G439" s="18" t="s">
        <v>969</v>
      </c>
      <c r="H439" s="8"/>
      <c r="I439" s="8"/>
      <c r="J439" s="8"/>
      <c r="K439" s="7"/>
      <c r="L439" s="8"/>
      <c r="M439" s="9"/>
      <c r="N439" s="10"/>
      <c r="O439" s="10"/>
      <c r="P439" s="10"/>
      <c r="Q439" s="10"/>
      <c r="R439" s="10"/>
      <c r="S439" s="10"/>
      <c r="T439" s="10"/>
      <c r="U439" s="10"/>
      <c r="V439" s="10"/>
      <c r="W439" s="10"/>
      <c r="X439" s="10"/>
      <c r="Y439" s="10"/>
      <c r="Z439" s="10"/>
    </row>
    <row r="440" ht="15.75" customHeight="1">
      <c r="A440" s="6" t="s">
        <v>1721</v>
      </c>
      <c r="B440" s="7" t="s">
        <v>466</v>
      </c>
      <c r="C440" s="7"/>
      <c r="D440" s="7"/>
      <c r="E440" s="7">
        <v>1.0</v>
      </c>
      <c r="F440" s="7" t="s">
        <v>15</v>
      </c>
      <c r="G440" s="7" t="s">
        <v>467</v>
      </c>
      <c r="H440" s="8"/>
      <c r="I440" s="8"/>
      <c r="J440" s="8"/>
      <c r="K440" s="7"/>
      <c r="L440" s="8"/>
      <c r="M440" s="9"/>
      <c r="N440" s="10"/>
      <c r="O440" s="10"/>
      <c r="P440" s="10"/>
      <c r="Q440" s="10"/>
      <c r="R440" s="10"/>
      <c r="S440" s="10"/>
      <c r="T440" s="10"/>
      <c r="U440" s="10"/>
      <c r="V440" s="10"/>
      <c r="W440" s="10"/>
      <c r="X440" s="10"/>
      <c r="Y440" s="10"/>
      <c r="Z440" s="10"/>
    </row>
    <row r="441" ht="15.75" customHeight="1">
      <c r="A441" s="56"/>
      <c r="B441" s="58"/>
      <c r="C441" s="58"/>
      <c r="D441" s="58"/>
      <c r="E441" s="58"/>
      <c r="F441" s="58"/>
      <c r="G441" s="58"/>
      <c r="H441" s="72"/>
      <c r="I441" s="72"/>
      <c r="J441" s="72"/>
      <c r="K441" s="10"/>
      <c r="L441" s="72"/>
      <c r="N441" s="10"/>
      <c r="O441" s="10"/>
      <c r="P441" s="10"/>
      <c r="Q441" s="10"/>
      <c r="R441" s="10"/>
      <c r="S441" s="10"/>
      <c r="T441" s="10"/>
      <c r="U441" s="10"/>
      <c r="V441" s="10"/>
      <c r="W441" s="10"/>
      <c r="X441" s="10"/>
      <c r="Y441" s="10"/>
      <c r="Z441" s="10"/>
    </row>
    <row r="442" ht="15.75" customHeight="1">
      <c r="A442" s="56"/>
      <c r="B442" s="58"/>
      <c r="C442" s="58"/>
      <c r="D442" s="58"/>
      <c r="E442" s="58"/>
      <c r="F442" s="58"/>
      <c r="G442" s="58"/>
      <c r="H442" s="72"/>
      <c r="I442" s="72"/>
      <c r="J442" s="72"/>
      <c r="K442" s="10"/>
      <c r="L442" s="72"/>
      <c r="N442" s="10"/>
      <c r="O442" s="10"/>
      <c r="P442" s="10"/>
      <c r="Q442" s="10"/>
      <c r="R442" s="10"/>
      <c r="S442" s="10"/>
      <c r="T442" s="10"/>
      <c r="U442" s="10"/>
      <c r="V442" s="10"/>
      <c r="W442" s="10"/>
      <c r="X442" s="10"/>
      <c r="Y442" s="10"/>
      <c r="Z442" s="10"/>
    </row>
    <row r="443" ht="15.75" customHeight="1">
      <c r="A443" s="56"/>
      <c r="B443" s="58"/>
      <c r="C443" s="58"/>
      <c r="D443" s="58"/>
      <c r="E443" s="58"/>
      <c r="F443" s="58"/>
      <c r="G443" s="58"/>
      <c r="H443" s="72"/>
      <c r="I443" s="72"/>
      <c r="J443" s="72"/>
      <c r="K443" s="10"/>
      <c r="L443" s="72"/>
      <c r="N443" s="10"/>
      <c r="O443" s="10"/>
      <c r="P443" s="10"/>
      <c r="Q443" s="10"/>
      <c r="R443" s="10"/>
      <c r="S443" s="10"/>
      <c r="T443" s="10"/>
      <c r="U443" s="10"/>
      <c r="V443" s="10"/>
      <c r="W443" s="10"/>
      <c r="X443" s="10"/>
      <c r="Y443" s="10"/>
      <c r="Z443" s="10"/>
    </row>
    <row r="444" ht="15.75" customHeight="1">
      <c r="A444" s="56"/>
      <c r="B444" s="58"/>
      <c r="C444" s="58"/>
      <c r="D444" s="58"/>
      <c r="E444" s="58"/>
      <c r="F444" s="58"/>
      <c r="G444" s="58"/>
      <c r="H444" s="72"/>
      <c r="I444" s="72"/>
      <c r="J444" s="72"/>
      <c r="K444" s="10"/>
      <c r="L444" s="72"/>
      <c r="N444" s="10"/>
      <c r="O444" s="10"/>
      <c r="P444" s="10"/>
      <c r="Q444" s="10"/>
      <c r="R444" s="10"/>
      <c r="S444" s="10"/>
      <c r="T444" s="10"/>
      <c r="U444" s="10"/>
      <c r="V444" s="10"/>
      <c r="W444" s="10"/>
      <c r="X444" s="10"/>
      <c r="Y444" s="10"/>
      <c r="Z444" s="10"/>
    </row>
    <row r="445" ht="15.75" customHeight="1">
      <c r="A445" s="16"/>
      <c r="B445" s="10"/>
      <c r="C445" s="10"/>
      <c r="D445" s="10"/>
      <c r="E445" s="10"/>
      <c r="F445" s="10"/>
      <c r="G445" s="10"/>
      <c r="H445" s="73"/>
      <c r="I445" s="73"/>
      <c r="J445" s="73"/>
      <c r="K445" s="73"/>
      <c r="L445" s="73"/>
      <c r="M445" s="10"/>
      <c r="N445" s="10"/>
      <c r="O445" s="10"/>
      <c r="P445" s="10"/>
      <c r="Q445" s="10"/>
      <c r="R445" s="10"/>
      <c r="S445" s="10"/>
      <c r="T445" s="10"/>
      <c r="U445" s="10"/>
      <c r="V445" s="10"/>
      <c r="W445" s="10"/>
      <c r="X445" s="10"/>
      <c r="Y445" s="10"/>
      <c r="Z445" s="10"/>
    </row>
    <row r="446" ht="15.75" customHeight="1">
      <c r="A446" s="16"/>
      <c r="B446" s="10"/>
      <c r="C446" s="10"/>
      <c r="D446" s="10"/>
      <c r="E446" s="10"/>
      <c r="F446" s="10"/>
      <c r="G446" s="10"/>
      <c r="H446" s="73"/>
      <c r="I446" s="73"/>
      <c r="J446" s="73"/>
      <c r="K446" s="73"/>
      <c r="L446" s="73"/>
      <c r="M446" s="10"/>
      <c r="N446" s="10"/>
      <c r="O446" s="10"/>
      <c r="P446" s="10"/>
      <c r="Q446" s="10"/>
      <c r="R446" s="10"/>
      <c r="S446" s="10"/>
      <c r="T446" s="10"/>
      <c r="U446" s="10"/>
      <c r="V446" s="10"/>
      <c r="W446" s="10"/>
      <c r="X446" s="10"/>
      <c r="Y446" s="10"/>
      <c r="Z446" s="10"/>
    </row>
    <row r="447" ht="15.75" customHeight="1">
      <c r="A447" s="16"/>
      <c r="B447" s="10"/>
      <c r="C447" s="10"/>
      <c r="D447" s="10"/>
      <c r="E447" s="10"/>
      <c r="F447" s="10"/>
      <c r="G447" s="10"/>
      <c r="H447" s="73"/>
      <c r="I447" s="73"/>
      <c r="J447" s="73"/>
      <c r="K447" s="73"/>
      <c r="L447" s="73"/>
      <c r="M447" s="10"/>
      <c r="N447" s="10"/>
      <c r="O447" s="10"/>
      <c r="P447" s="10"/>
      <c r="Q447" s="10"/>
      <c r="R447" s="10"/>
      <c r="S447" s="10"/>
      <c r="T447" s="10"/>
      <c r="U447" s="10"/>
      <c r="V447" s="10"/>
      <c r="W447" s="10"/>
      <c r="X447" s="10"/>
      <c r="Y447" s="10"/>
      <c r="Z447" s="10"/>
    </row>
    <row r="448" ht="15.75" customHeight="1">
      <c r="A448" s="16"/>
      <c r="B448" s="10"/>
      <c r="C448" s="10"/>
      <c r="D448" s="10"/>
      <c r="E448" s="10"/>
      <c r="F448" s="10"/>
      <c r="G448" s="10"/>
      <c r="H448" s="73"/>
      <c r="I448" s="73"/>
      <c r="J448" s="73"/>
      <c r="K448" s="73"/>
      <c r="L448" s="73"/>
      <c r="M448" s="10"/>
      <c r="N448" s="10"/>
      <c r="O448" s="10"/>
      <c r="P448" s="10"/>
      <c r="Q448" s="10"/>
      <c r="R448" s="10"/>
      <c r="S448" s="10"/>
      <c r="T448" s="10"/>
      <c r="U448" s="10"/>
      <c r="V448" s="10"/>
      <c r="W448" s="10"/>
      <c r="X448" s="10"/>
      <c r="Y448" s="10"/>
      <c r="Z448" s="10"/>
    </row>
    <row r="449" ht="15.75" customHeight="1">
      <c r="A449" s="16"/>
      <c r="B449" s="10"/>
      <c r="C449" s="10"/>
      <c r="D449" s="10"/>
      <c r="E449" s="10"/>
      <c r="F449" s="10"/>
      <c r="G449" s="10"/>
      <c r="H449" s="73"/>
      <c r="I449" s="73"/>
      <c r="J449" s="73"/>
      <c r="K449" s="73"/>
      <c r="L449" s="73"/>
      <c r="M449" s="10"/>
      <c r="N449" s="10"/>
      <c r="O449" s="10"/>
      <c r="P449" s="10"/>
      <c r="Q449" s="10"/>
      <c r="R449" s="10"/>
      <c r="S449" s="10"/>
      <c r="T449" s="10"/>
      <c r="U449" s="10"/>
      <c r="V449" s="10"/>
      <c r="W449" s="10"/>
      <c r="X449" s="10"/>
      <c r="Y449" s="10"/>
      <c r="Z449" s="10"/>
    </row>
    <row r="450" ht="15.75" customHeight="1">
      <c r="A450" s="16"/>
      <c r="B450" s="10"/>
      <c r="C450" s="10"/>
      <c r="D450" s="10"/>
      <c r="E450" s="10"/>
      <c r="F450" s="10"/>
      <c r="G450" s="10"/>
      <c r="H450" s="73"/>
      <c r="I450" s="73"/>
      <c r="J450" s="73"/>
      <c r="K450" s="73"/>
      <c r="L450" s="73"/>
      <c r="M450" s="10"/>
      <c r="N450" s="10"/>
      <c r="O450" s="10"/>
      <c r="P450" s="10"/>
      <c r="Q450" s="10"/>
      <c r="R450" s="10"/>
      <c r="S450" s="10"/>
      <c r="T450" s="10"/>
      <c r="U450" s="10"/>
      <c r="V450" s="10"/>
      <c r="W450" s="10"/>
      <c r="X450" s="10"/>
      <c r="Y450" s="10"/>
      <c r="Z450" s="10"/>
    </row>
    <row r="451" ht="15.75" customHeight="1">
      <c r="A451" s="16"/>
      <c r="B451" s="10"/>
      <c r="C451" s="10"/>
      <c r="D451" s="10"/>
      <c r="E451" s="10"/>
      <c r="F451" s="10"/>
      <c r="G451" s="10"/>
      <c r="H451" s="73"/>
      <c r="I451" s="73"/>
      <c r="J451" s="73"/>
      <c r="K451" s="73"/>
      <c r="L451" s="73"/>
      <c r="M451" s="10"/>
      <c r="N451" s="10"/>
      <c r="O451" s="10"/>
      <c r="P451" s="10"/>
      <c r="Q451" s="10"/>
      <c r="R451" s="10"/>
      <c r="S451" s="10"/>
      <c r="T451" s="10"/>
      <c r="U451" s="10"/>
      <c r="V451" s="10"/>
      <c r="W451" s="10"/>
      <c r="X451" s="10"/>
      <c r="Y451" s="10"/>
      <c r="Z451" s="10"/>
    </row>
    <row r="452" ht="15.75" customHeight="1">
      <c r="A452" s="16"/>
      <c r="B452" s="10"/>
      <c r="C452" s="10"/>
      <c r="D452" s="10"/>
      <c r="E452" s="10"/>
      <c r="F452" s="10"/>
      <c r="G452" s="10"/>
      <c r="H452" s="73"/>
      <c r="I452" s="73"/>
      <c r="J452" s="73"/>
      <c r="K452" s="73"/>
      <c r="L452" s="73"/>
      <c r="M452" s="10"/>
      <c r="N452" s="10"/>
      <c r="O452" s="10"/>
      <c r="P452" s="10"/>
      <c r="Q452" s="10"/>
      <c r="R452" s="10"/>
      <c r="S452" s="10"/>
      <c r="T452" s="10"/>
      <c r="U452" s="10"/>
      <c r="V452" s="10"/>
      <c r="W452" s="10"/>
      <c r="X452" s="10"/>
      <c r="Y452" s="10"/>
      <c r="Z452" s="10"/>
    </row>
    <row r="453" ht="15.75" customHeight="1">
      <c r="A453" s="16"/>
      <c r="B453" s="10"/>
      <c r="C453" s="10"/>
      <c r="D453" s="10"/>
      <c r="E453" s="10"/>
      <c r="F453" s="10"/>
      <c r="G453" s="10"/>
      <c r="H453" s="73"/>
      <c r="I453" s="73"/>
      <c r="J453" s="73"/>
      <c r="K453" s="73"/>
      <c r="L453" s="73"/>
      <c r="M453" s="10"/>
      <c r="N453" s="10"/>
      <c r="O453" s="10"/>
      <c r="P453" s="10"/>
      <c r="Q453" s="10"/>
      <c r="R453" s="10"/>
      <c r="S453" s="10"/>
      <c r="T453" s="10"/>
      <c r="U453" s="10"/>
      <c r="V453" s="10"/>
      <c r="W453" s="10"/>
      <c r="X453" s="10"/>
      <c r="Y453" s="10"/>
      <c r="Z453" s="10"/>
    </row>
    <row r="454" ht="15.75" customHeight="1">
      <c r="A454" s="16"/>
      <c r="B454" s="10"/>
      <c r="C454" s="10"/>
      <c r="D454" s="10"/>
      <c r="E454" s="10"/>
      <c r="F454" s="10"/>
      <c r="G454" s="10"/>
      <c r="H454" s="73"/>
      <c r="I454" s="73"/>
      <c r="J454" s="73"/>
      <c r="K454" s="73"/>
      <c r="L454" s="73"/>
      <c r="M454" s="10"/>
      <c r="N454" s="10"/>
      <c r="O454" s="10"/>
      <c r="P454" s="10"/>
      <c r="Q454" s="10"/>
      <c r="R454" s="10"/>
      <c r="S454" s="10"/>
      <c r="T454" s="10"/>
      <c r="U454" s="10"/>
      <c r="V454" s="10"/>
      <c r="W454" s="10"/>
      <c r="X454" s="10"/>
      <c r="Y454" s="10"/>
      <c r="Z454" s="10"/>
    </row>
    <row r="455" ht="15.75" customHeight="1">
      <c r="A455" s="16"/>
      <c r="B455" s="10"/>
      <c r="C455" s="10"/>
      <c r="D455" s="10"/>
      <c r="E455" s="10"/>
      <c r="F455" s="10"/>
      <c r="G455" s="10"/>
      <c r="H455" s="73"/>
      <c r="I455" s="73"/>
      <c r="J455" s="73"/>
      <c r="K455" s="73"/>
      <c r="L455" s="73"/>
      <c r="M455" s="10"/>
      <c r="N455" s="10"/>
      <c r="O455" s="10"/>
      <c r="P455" s="10"/>
      <c r="Q455" s="10"/>
      <c r="R455" s="10"/>
      <c r="S455" s="10"/>
      <c r="T455" s="10"/>
      <c r="U455" s="10"/>
      <c r="V455" s="10"/>
      <c r="W455" s="10"/>
      <c r="X455" s="10"/>
      <c r="Y455" s="10"/>
      <c r="Z455" s="10"/>
    </row>
    <row r="456" ht="15.75" customHeight="1">
      <c r="A456" s="16"/>
      <c r="B456" s="10"/>
      <c r="C456" s="10"/>
      <c r="D456" s="10"/>
      <c r="E456" s="10"/>
      <c r="F456" s="10"/>
      <c r="G456" s="10"/>
      <c r="H456" s="73"/>
      <c r="I456" s="73"/>
      <c r="J456" s="73"/>
      <c r="K456" s="73"/>
      <c r="L456" s="73"/>
      <c r="M456" s="10"/>
      <c r="N456" s="10"/>
      <c r="O456" s="10"/>
      <c r="P456" s="10"/>
      <c r="Q456" s="10"/>
      <c r="R456" s="10"/>
      <c r="S456" s="10"/>
      <c r="T456" s="10"/>
      <c r="U456" s="10"/>
      <c r="V456" s="10"/>
      <c r="W456" s="10"/>
      <c r="X456" s="10"/>
      <c r="Y456" s="10"/>
      <c r="Z456" s="10"/>
    </row>
    <row r="457" ht="15.75" customHeight="1">
      <c r="A457" s="16"/>
      <c r="B457" s="10"/>
      <c r="C457" s="10"/>
      <c r="D457" s="10"/>
      <c r="E457" s="10"/>
      <c r="F457" s="10"/>
      <c r="G457" s="10"/>
      <c r="H457" s="73"/>
      <c r="I457" s="73"/>
      <c r="J457" s="73"/>
      <c r="K457" s="73"/>
      <c r="L457" s="73"/>
      <c r="M457" s="10"/>
      <c r="N457" s="10"/>
      <c r="O457" s="10"/>
      <c r="P457" s="10"/>
      <c r="Q457" s="10"/>
      <c r="R457" s="10"/>
      <c r="S457" s="10"/>
      <c r="T457" s="10"/>
      <c r="U457" s="10"/>
      <c r="V457" s="10"/>
      <c r="W457" s="10"/>
      <c r="X457" s="10"/>
      <c r="Y457" s="10"/>
      <c r="Z457" s="10"/>
    </row>
    <row r="458" ht="15.75" customHeight="1">
      <c r="A458" s="16"/>
      <c r="B458" s="10"/>
      <c r="C458" s="10"/>
      <c r="D458" s="10"/>
      <c r="E458" s="10"/>
      <c r="F458" s="10"/>
      <c r="G458" s="10"/>
      <c r="H458" s="73"/>
      <c r="I458" s="73"/>
      <c r="J458" s="73"/>
      <c r="K458" s="73"/>
      <c r="L458" s="73"/>
      <c r="M458" s="10"/>
      <c r="N458" s="10"/>
      <c r="O458" s="10"/>
      <c r="P458" s="10"/>
      <c r="Q458" s="10"/>
      <c r="R458" s="10"/>
      <c r="S458" s="10"/>
      <c r="T458" s="10"/>
      <c r="U458" s="10"/>
      <c r="V458" s="10"/>
      <c r="W458" s="10"/>
      <c r="X458" s="10"/>
      <c r="Y458" s="10"/>
      <c r="Z458" s="10"/>
    </row>
    <row r="459" ht="15.75" customHeight="1">
      <c r="A459" s="16"/>
      <c r="B459" s="10"/>
      <c r="C459" s="10"/>
      <c r="D459" s="10"/>
      <c r="E459" s="10"/>
      <c r="F459" s="10"/>
      <c r="G459" s="10"/>
      <c r="H459" s="73"/>
      <c r="I459" s="73"/>
      <c r="J459" s="73"/>
      <c r="K459" s="73"/>
      <c r="L459" s="73"/>
      <c r="M459" s="10"/>
      <c r="N459" s="10"/>
      <c r="O459" s="10"/>
      <c r="P459" s="10"/>
      <c r="Q459" s="10"/>
      <c r="R459" s="10"/>
      <c r="S459" s="10"/>
      <c r="T459" s="10"/>
      <c r="U459" s="10"/>
      <c r="V459" s="10"/>
      <c r="W459" s="10"/>
      <c r="X459" s="10"/>
      <c r="Y459" s="10"/>
      <c r="Z459" s="10"/>
    </row>
    <row r="460" ht="15.75" customHeight="1">
      <c r="A460" s="16"/>
      <c r="B460" s="10"/>
      <c r="C460" s="10"/>
      <c r="D460" s="10"/>
      <c r="E460" s="10"/>
      <c r="F460" s="10"/>
      <c r="G460" s="10"/>
      <c r="H460" s="73"/>
      <c r="I460" s="73"/>
      <c r="J460" s="73"/>
      <c r="K460" s="73"/>
      <c r="L460" s="73"/>
      <c r="M460" s="10"/>
      <c r="N460" s="10"/>
      <c r="O460" s="10"/>
      <c r="P460" s="10"/>
      <c r="Q460" s="10"/>
      <c r="R460" s="10"/>
      <c r="S460" s="10"/>
      <c r="T460" s="10"/>
      <c r="U460" s="10"/>
      <c r="V460" s="10"/>
      <c r="W460" s="10"/>
      <c r="X460" s="10"/>
      <c r="Y460" s="10"/>
      <c r="Z460" s="10"/>
    </row>
    <row r="461" ht="15.75" customHeight="1">
      <c r="A461" s="16"/>
      <c r="B461" s="10"/>
      <c r="C461" s="10"/>
      <c r="D461" s="10"/>
      <c r="E461" s="10"/>
      <c r="F461" s="10"/>
      <c r="G461" s="10"/>
      <c r="H461" s="73"/>
      <c r="I461" s="73"/>
      <c r="J461" s="73"/>
      <c r="K461" s="73"/>
      <c r="L461" s="73"/>
      <c r="M461" s="10"/>
      <c r="N461" s="10"/>
      <c r="O461" s="10"/>
      <c r="P461" s="10"/>
      <c r="Q461" s="10"/>
      <c r="R461" s="10"/>
      <c r="S461" s="10"/>
      <c r="T461" s="10"/>
      <c r="U461" s="10"/>
      <c r="V461" s="10"/>
      <c r="W461" s="10"/>
      <c r="X461" s="10"/>
      <c r="Y461" s="10"/>
      <c r="Z461" s="10"/>
    </row>
    <row r="462" ht="15.75" customHeight="1">
      <c r="A462" s="16"/>
      <c r="B462" s="10"/>
      <c r="C462" s="10"/>
      <c r="D462" s="10"/>
      <c r="E462" s="10"/>
      <c r="F462" s="10"/>
      <c r="G462" s="10"/>
      <c r="H462" s="73"/>
      <c r="I462" s="73"/>
      <c r="J462" s="73"/>
      <c r="K462" s="73"/>
      <c r="L462" s="73"/>
      <c r="M462" s="10"/>
      <c r="N462" s="10"/>
      <c r="O462" s="10"/>
      <c r="P462" s="10"/>
      <c r="Q462" s="10"/>
      <c r="R462" s="10"/>
      <c r="S462" s="10"/>
      <c r="T462" s="10"/>
      <c r="U462" s="10"/>
      <c r="V462" s="10"/>
      <c r="W462" s="10"/>
      <c r="X462" s="10"/>
      <c r="Y462" s="10"/>
      <c r="Z462" s="10"/>
    </row>
    <row r="463" ht="15.75" customHeight="1">
      <c r="A463" s="16"/>
      <c r="B463" s="10"/>
      <c r="C463" s="10"/>
      <c r="D463" s="10"/>
      <c r="E463" s="10"/>
      <c r="F463" s="10"/>
      <c r="G463" s="10"/>
      <c r="H463" s="73"/>
      <c r="I463" s="73"/>
      <c r="J463" s="73"/>
      <c r="K463" s="73"/>
      <c r="L463" s="73"/>
      <c r="M463" s="10"/>
      <c r="N463" s="10"/>
      <c r="O463" s="10"/>
      <c r="P463" s="10"/>
      <c r="Q463" s="10"/>
      <c r="R463" s="10"/>
      <c r="S463" s="10"/>
      <c r="T463" s="10"/>
      <c r="U463" s="10"/>
      <c r="V463" s="10"/>
      <c r="W463" s="10"/>
      <c r="X463" s="10"/>
      <c r="Y463" s="10"/>
      <c r="Z463" s="10"/>
    </row>
    <row r="464" ht="15.75" customHeight="1">
      <c r="A464" s="16"/>
      <c r="B464" s="10"/>
      <c r="C464" s="10"/>
      <c r="D464" s="10"/>
      <c r="E464" s="10"/>
      <c r="F464" s="10"/>
      <c r="G464" s="10"/>
      <c r="H464" s="73"/>
      <c r="I464" s="73"/>
      <c r="J464" s="73"/>
      <c r="K464" s="73"/>
      <c r="L464" s="73"/>
      <c r="M464" s="10"/>
      <c r="N464" s="10"/>
      <c r="O464" s="10"/>
      <c r="P464" s="10"/>
      <c r="Q464" s="10"/>
      <c r="R464" s="10"/>
      <c r="S464" s="10"/>
      <c r="T464" s="10"/>
      <c r="U464" s="10"/>
      <c r="V464" s="10"/>
      <c r="W464" s="10"/>
      <c r="X464" s="10"/>
      <c r="Y464" s="10"/>
      <c r="Z464" s="10"/>
    </row>
    <row r="465" ht="15.75" customHeight="1">
      <c r="A465" s="16"/>
      <c r="B465" s="10"/>
      <c r="C465" s="10"/>
      <c r="D465" s="10"/>
      <c r="E465" s="10"/>
      <c r="F465" s="10"/>
      <c r="G465" s="10"/>
      <c r="H465" s="73"/>
      <c r="I465" s="73"/>
      <c r="J465" s="73"/>
      <c r="K465" s="73"/>
      <c r="L465" s="73"/>
      <c r="M465" s="10"/>
      <c r="N465" s="10"/>
      <c r="O465" s="10"/>
      <c r="P465" s="10"/>
      <c r="Q465" s="10"/>
      <c r="R465" s="10"/>
      <c r="S465" s="10"/>
      <c r="T465" s="10"/>
      <c r="U465" s="10"/>
      <c r="V465" s="10"/>
      <c r="W465" s="10"/>
      <c r="X465" s="10"/>
      <c r="Y465" s="10"/>
      <c r="Z465" s="10"/>
    </row>
    <row r="466" ht="15.75" customHeight="1">
      <c r="A466" s="16"/>
      <c r="B466" s="10"/>
      <c r="C466" s="10"/>
      <c r="D466" s="10"/>
      <c r="E466" s="10"/>
      <c r="F466" s="10"/>
      <c r="G466" s="10"/>
      <c r="H466" s="73"/>
      <c r="I466" s="73"/>
      <c r="J466" s="73"/>
      <c r="K466" s="73"/>
      <c r="L466" s="73"/>
      <c r="M466" s="10"/>
      <c r="N466" s="10"/>
      <c r="O466" s="10"/>
      <c r="P466" s="10"/>
      <c r="Q466" s="10"/>
      <c r="R466" s="10"/>
      <c r="S466" s="10"/>
      <c r="T466" s="10"/>
      <c r="U466" s="10"/>
      <c r="V466" s="10"/>
      <c r="W466" s="10"/>
      <c r="X466" s="10"/>
      <c r="Y466" s="10"/>
      <c r="Z466" s="10"/>
    </row>
    <row r="467" ht="15.75" customHeight="1">
      <c r="A467" s="16"/>
      <c r="B467" s="10"/>
      <c r="C467" s="10"/>
      <c r="D467" s="10"/>
      <c r="E467" s="10"/>
      <c r="F467" s="10"/>
      <c r="G467" s="10"/>
      <c r="H467" s="73"/>
      <c r="I467" s="73"/>
      <c r="J467" s="73"/>
      <c r="K467" s="73"/>
      <c r="L467" s="73"/>
      <c r="M467" s="10"/>
      <c r="N467" s="10"/>
      <c r="O467" s="10"/>
      <c r="P467" s="10"/>
      <c r="Q467" s="10"/>
      <c r="R467" s="10"/>
      <c r="S467" s="10"/>
      <c r="T467" s="10"/>
      <c r="U467" s="10"/>
      <c r="V467" s="10"/>
      <c r="W467" s="10"/>
      <c r="X467" s="10"/>
      <c r="Y467" s="10"/>
      <c r="Z467" s="10"/>
    </row>
    <row r="468" ht="15.75" customHeight="1">
      <c r="A468" s="16"/>
      <c r="B468" s="10"/>
      <c r="C468" s="10"/>
      <c r="D468" s="10"/>
      <c r="E468" s="10"/>
      <c r="F468" s="10"/>
      <c r="G468" s="10"/>
      <c r="H468" s="73"/>
      <c r="I468" s="73"/>
      <c r="J468" s="73"/>
      <c r="K468" s="73"/>
      <c r="L468" s="73"/>
      <c r="M468" s="10"/>
      <c r="N468" s="10"/>
      <c r="O468" s="10"/>
      <c r="P468" s="10"/>
      <c r="Q468" s="10"/>
      <c r="R468" s="10"/>
      <c r="S468" s="10"/>
      <c r="T468" s="10"/>
      <c r="U468" s="10"/>
      <c r="V468" s="10"/>
      <c r="W468" s="10"/>
      <c r="X468" s="10"/>
      <c r="Y468" s="10"/>
      <c r="Z468" s="10"/>
    </row>
    <row r="469" ht="15.75" customHeight="1">
      <c r="A469" s="16"/>
      <c r="B469" s="10"/>
      <c r="C469" s="10"/>
      <c r="D469" s="10"/>
      <c r="E469" s="10"/>
      <c r="F469" s="10"/>
      <c r="G469" s="10"/>
      <c r="H469" s="73"/>
      <c r="I469" s="73"/>
      <c r="J469" s="73"/>
      <c r="K469" s="73"/>
      <c r="L469" s="73"/>
      <c r="M469" s="10"/>
      <c r="N469" s="10"/>
      <c r="O469" s="10"/>
      <c r="P469" s="10"/>
      <c r="Q469" s="10"/>
      <c r="R469" s="10"/>
      <c r="S469" s="10"/>
      <c r="T469" s="10"/>
      <c r="U469" s="10"/>
      <c r="V469" s="10"/>
      <c r="W469" s="10"/>
      <c r="X469" s="10"/>
      <c r="Y469" s="10"/>
      <c r="Z469" s="10"/>
    </row>
    <row r="470" ht="15.75" customHeight="1">
      <c r="A470" s="16"/>
      <c r="B470" s="10"/>
      <c r="C470" s="10"/>
      <c r="D470" s="10"/>
      <c r="E470" s="10"/>
      <c r="F470" s="10"/>
      <c r="G470" s="10"/>
      <c r="H470" s="73"/>
      <c r="I470" s="73"/>
      <c r="J470" s="73"/>
      <c r="K470" s="73"/>
      <c r="L470" s="73"/>
      <c r="M470" s="10"/>
      <c r="N470" s="10"/>
      <c r="O470" s="10"/>
      <c r="P470" s="10"/>
      <c r="Q470" s="10"/>
      <c r="R470" s="10"/>
      <c r="S470" s="10"/>
      <c r="T470" s="10"/>
      <c r="U470" s="10"/>
      <c r="V470" s="10"/>
      <c r="W470" s="10"/>
      <c r="X470" s="10"/>
      <c r="Y470" s="10"/>
      <c r="Z470" s="10"/>
    </row>
    <row r="471" ht="15.75" customHeight="1">
      <c r="A471" s="16"/>
      <c r="B471" s="10"/>
      <c r="C471" s="10"/>
      <c r="D471" s="10"/>
      <c r="E471" s="10"/>
      <c r="F471" s="10"/>
      <c r="G471" s="10"/>
      <c r="H471" s="73"/>
      <c r="I471" s="73"/>
      <c r="J471" s="73"/>
      <c r="K471" s="73"/>
      <c r="L471" s="73"/>
      <c r="M471" s="10"/>
      <c r="N471" s="10"/>
      <c r="O471" s="10"/>
      <c r="P471" s="10"/>
      <c r="Q471" s="10"/>
      <c r="R471" s="10"/>
      <c r="S471" s="10"/>
      <c r="T471" s="10"/>
      <c r="U471" s="10"/>
      <c r="V471" s="10"/>
      <c r="W471" s="10"/>
      <c r="X471" s="10"/>
      <c r="Y471" s="10"/>
      <c r="Z471" s="10"/>
    </row>
    <row r="472" ht="15.75" customHeight="1">
      <c r="A472" s="16"/>
      <c r="B472" s="10"/>
      <c r="C472" s="10"/>
      <c r="D472" s="10"/>
      <c r="E472" s="10"/>
      <c r="F472" s="10"/>
      <c r="G472" s="10"/>
      <c r="H472" s="73"/>
      <c r="I472" s="73"/>
      <c r="J472" s="73"/>
      <c r="K472" s="73"/>
      <c r="L472" s="73"/>
      <c r="M472" s="10"/>
      <c r="N472" s="10"/>
      <c r="O472" s="10"/>
      <c r="P472" s="10"/>
      <c r="Q472" s="10"/>
      <c r="R472" s="10"/>
      <c r="S472" s="10"/>
      <c r="T472" s="10"/>
      <c r="U472" s="10"/>
      <c r="V472" s="10"/>
      <c r="W472" s="10"/>
      <c r="X472" s="10"/>
      <c r="Y472" s="10"/>
      <c r="Z472" s="10"/>
    </row>
    <row r="473" ht="15.75" customHeight="1">
      <c r="A473" s="16"/>
      <c r="B473" s="10"/>
      <c r="C473" s="10"/>
      <c r="D473" s="10"/>
      <c r="E473" s="10"/>
      <c r="F473" s="10"/>
      <c r="G473" s="10"/>
      <c r="H473" s="73"/>
      <c r="I473" s="73"/>
      <c r="J473" s="73"/>
      <c r="K473" s="73"/>
      <c r="L473" s="73"/>
      <c r="M473" s="10"/>
      <c r="N473" s="10"/>
      <c r="O473" s="10"/>
      <c r="P473" s="10"/>
      <c r="Q473" s="10"/>
      <c r="R473" s="10"/>
      <c r="S473" s="10"/>
      <c r="T473" s="10"/>
      <c r="U473" s="10"/>
      <c r="V473" s="10"/>
      <c r="W473" s="10"/>
      <c r="X473" s="10"/>
      <c r="Y473" s="10"/>
      <c r="Z473" s="10"/>
    </row>
    <row r="474" ht="15.75" customHeight="1">
      <c r="A474" s="16"/>
      <c r="B474" s="10"/>
      <c r="C474" s="10"/>
      <c r="D474" s="10"/>
      <c r="E474" s="10"/>
      <c r="F474" s="10"/>
      <c r="G474" s="10"/>
      <c r="H474" s="73"/>
      <c r="I474" s="73"/>
      <c r="J474" s="73"/>
      <c r="K474" s="73"/>
      <c r="L474" s="73"/>
      <c r="M474" s="10"/>
      <c r="N474" s="10"/>
      <c r="O474" s="10"/>
      <c r="P474" s="10"/>
      <c r="Q474" s="10"/>
      <c r="R474" s="10"/>
      <c r="S474" s="10"/>
      <c r="T474" s="10"/>
      <c r="U474" s="10"/>
      <c r="V474" s="10"/>
      <c r="W474" s="10"/>
      <c r="X474" s="10"/>
      <c r="Y474" s="10"/>
      <c r="Z474" s="10"/>
    </row>
    <row r="475" ht="15.75" customHeight="1">
      <c r="A475" s="16"/>
      <c r="B475" s="10"/>
      <c r="C475" s="10"/>
      <c r="D475" s="10"/>
      <c r="E475" s="10"/>
      <c r="F475" s="10"/>
      <c r="G475" s="10"/>
      <c r="H475" s="73"/>
      <c r="I475" s="73"/>
      <c r="J475" s="73"/>
      <c r="K475" s="73"/>
      <c r="L475" s="73"/>
      <c r="M475" s="10"/>
      <c r="N475" s="10"/>
      <c r="O475" s="10"/>
      <c r="P475" s="10"/>
      <c r="Q475" s="10"/>
      <c r="R475" s="10"/>
      <c r="S475" s="10"/>
      <c r="T475" s="10"/>
      <c r="U475" s="10"/>
      <c r="V475" s="10"/>
      <c r="W475" s="10"/>
      <c r="X475" s="10"/>
      <c r="Y475" s="10"/>
      <c r="Z475" s="10"/>
    </row>
    <row r="476" ht="15.75" customHeight="1">
      <c r="A476" s="16"/>
      <c r="B476" s="10"/>
      <c r="C476" s="10"/>
      <c r="D476" s="10"/>
      <c r="E476" s="10"/>
      <c r="F476" s="10"/>
      <c r="G476" s="10"/>
      <c r="H476" s="73"/>
      <c r="I476" s="73"/>
      <c r="J476" s="73"/>
      <c r="K476" s="73"/>
      <c r="L476" s="73"/>
      <c r="M476" s="10"/>
      <c r="N476" s="10"/>
      <c r="O476" s="10"/>
      <c r="P476" s="10"/>
      <c r="Q476" s="10"/>
      <c r="R476" s="10"/>
      <c r="S476" s="10"/>
      <c r="T476" s="10"/>
      <c r="U476" s="10"/>
      <c r="V476" s="10"/>
      <c r="W476" s="10"/>
      <c r="X476" s="10"/>
      <c r="Y476" s="10"/>
      <c r="Z476" s="10"/>
    </row>
    <row r="477" ht="15.75" customHeight="1">
      <c r="A477" s="16"/>
      <c r="B477" s="10"/>
      <c r="C477" s="10"/>
      <c r="D477" s="10"/>
      <c r="E477" s="10"/>
      <c r="F477" s="10"/>
      <c r="G477" s="10"/>
      <c r="H477" s="73"/>
      <c r="I477" s="73"/>
      <c r="J477" s="73"/>
      <c r="K477" s="73"/>
      <c r="L477" s="73"/>
      <c r="M477" s="10"/>
      <c r="N477" s="10"/>
      <c r="O477" s="10"/>
      <c r="P477" s="10"/>
      <c r="Q477" s="10"/>
      <c r="R477" s="10"/>
      <c r="S477" s="10"/>
      <c r="T477" s="10"/>
      <c r="U477" s="10"/>
      <c r="V477" s="10"/>
      <c r="W477" s="10"/>
      <c r="X477" s="10"/>
      <c r="Y477" s="10"/>
      <c r="Z477" s="10"/>
    </row>
    <row r="478" ht="15.75" customHeight="1">
      <c r="A478" s="16"/>
      <c r="B478" s="10"/>
      <c r="C478" s="10"/>
      <c r="D478" s="10"/>
      <c r="E478" s="10"/>
      <c r="F478" s="10"/>
      <c r="G478" s="10"/>
      <c r="H478" s="73"/>
      <c r="I478" s="73"/>
      <c r="J478" s="73"/>
      <c r="K478" s="73"/>
      <c r="L478" s="73"/>
      <c r="M478" s="10"/>
      <c r="N478" s="10"/>
      <c r="O478" s="10"/>
      <c r="P478" s="10"/>
      <c r="Q478" s="10"/>
      <c r="R478" s="10"/>
      <c r="S478" s="10"/>
      <c r="T478" s="10"/>
      <c r="U478" s="10"/>
      <c r="V478" s="10"/>
      <c r="W478" s="10"/>
      <c r="X478" s="10"/>
      <c r="Y478" s="10"/>
      <c r="Z478" s="10"/>
    </row>
    <row r="479" ht="15.75" customHeight="1">
      <c r="A479" s="16"/>
      <c r="B479" s="10"/>
      <c r="C479" s="10"/>
      <c r="D479" s="10"/>
      <c r="E479" s="10"/>
      <c r="F479" s="10"/>
      <c r="G479" s="10"/>
      <c r="H479" s="73"/>
      <c r="I479" s="73"/>
      <c r="J479" s="73"/>
      <c r="K479" s="73"/>
      <c r="L479" s="73"/>
      <c r="M479" s="10"/>
      <c r="N479" s="10"/>
      <c r="O479" s="10"/>
      <c r="P479" s="10"/>
      <c r="Q479" s="10"/>
      <c r="R479" s="10"/>
      <c r="S479" s="10"/>
      <c r="T479" s="10"/>
      <c r="U479" s="10"/>
      <c r="V479" s="10"/>
      <c r="W479" s="10"/>
      <c r="X479" s="10"/>
      <c r="Y479" s="10"/>
      <c r="Z479" s="10"/>
    </row>
    <row r="480" ht="15.75" customHeight="1">
      <c r="A480" s="16"/>
      <c r="B480" s="10"/>
      <c r="C480" s="10"/>
      <c r="D480" s="10"/>
      <c r="E480" s="10"/>
      <c r="F480" s="10"/>
      <c r="G480" s="10"/>
      <c r="H480" s="73"/>
      <c r="I480" s="73"/>
      <c r="J480" s="73"/>
      <c r="K480" s="73"/>
      <c r="L480" s="73"/>
      <c r="M480" s="10"/>
      <c r="N480" s="10"/>
      <c r="O480" s="10"/>
      <c r="P480" s="10"/>
      <c r="Q480" s="10"/>
      <c r="R480" s="10"/>
      <c r="S480" s="10"/>
      <c r="T480" s="10"/>
      <c r="U480" s="10"/>
      <c r="V480" s="10"/>
      <c r="W480" s="10"/>
      <c r="X480" s="10"/>
      <c r="Y480" s="10"/>
      <c r="Z480" s="10"/>
    </row>
    <row r="481" ht="15.75" customHeight="1">
      <c r="A481" s="16"/>
      <c r="B481" s="10"/>
      <c r="C481" s="10"/>
      <c r="D481" s="10"/>
      <c r="E481" s="10"/>
      <c r="F481" s="10"/>
      <c r="G481" s="10"/>
      <c r="H481" s="73"/>
      <c r="I481" s="73"/>
      <c r="J481" s="73"/>
      <c r="K481" s="73"/>
      <c r="L481" s="73"/>
      <c r="M481" s="10"/>
      <c r="N481" s="10"/>
      <c r="O481" s="10"/>
      <c r="P481" s="10"/>
      <c r="Q481" s="10"/>
      <c r="R481" s="10"/>
      <c r="S481" s="10"/>
      <c r="T481" s="10"/>
      <c r="U481" s="10"/>
      <c r="V481" s="10"/>
      <c r="W481" s="10"/>
      <c r="X481" s="10"/>
      <c r="Y481" s="10"/>
      <c r="Z481" s="10"/>
    </row>
    <row r="482" ht="15.75" customHeight="1">
      <c r="A482" s="16"/>
      <c r="B482" s="10"/>
      <c r="C482" s="10"/>
      <c r="D482" s="10"/>
      <c r="E482" s="10"/>
      <c r="F482" s="10"/>
      <c r="G482" s="10"/>
      <c r="H482" s="73"/>
      <c r="I482" s="73"/>
      <c r="J482" s="73"/>
      <c r="K482" s="73"/>
      <c r="L482" s="73"/>
      <c r="M482" s="10"/>
      <c r="N482" s="10"/>
      <c r="O482" s="10"/>
      <c r="P482" s="10"/>
      <c r="Q482" s="10"/>
      <c r="R482" s="10"/>
      <c r="S482" s="10"/>
      <c r="T482" s="10"/>
      <c r="U482" s="10"/>
      <c r="V482" s="10"/>
      <c r="W482" s="10"/>
      <c r="X482" s="10"/>
      <c r="Y482" s="10"/>
      <c r="Z482" s="10"/>
    </row>
    <row r="483" ht="15.75" customHeight="1">
      <c r="A483" s="16"/>
      <c r="B483" s="10"/>
      <c r="C483" s="10"/>
      <c r="D483" s="10"/>
      <c r="E483" s="10"/>
      <c r="F483" s="10"/>
      <c r="G483" s="10"/>
      <c r="H483" s="73"/>
      <c r="I483" s="73"/>
      <c r="J483" s="73"/>
      <c r="K483" s="73"/>
      <c r="L483" s="73"/>
      <c r="M483" s="10"/>
      <c r="N483" s="10"/>
      <c r="O483" s="10"/>
      <c r="P483" s="10"/>
      <c r="Q483" s="10"/>
      <c r="R483" s="10"/>
      <c r="S483" s="10"/>
      <c r="T483" s="10"/>
      <c r="U483" s="10"/>
      <c r="V483" s="10"/>
      <c r="W483" s="10"/>
      <c r="X483" s="10"/>
      <c r="Y483" s="10"/>
      <c r="Z483" s="10"/>
    </row>
    <row r="484" ht="15.75" customHeight="1">
      <c r="A484" s="16"/>
      <c r="B484" s="10"/>
      <c r="C484" s="10"/>
      <c r="D484" s="10"/>
      <c r="E484" s="10"/>
      <c r="F484" s="10"/>
      <c r="G484" s="10"/>
      <c r="H484" s="73"/>
      <c r="I484" s="73"/>
      <c r="J484" s="73"/>
      <c r="K484" s="73"/>
      <c r="L484" s="73"/>
      <c r="M484" s="10"/>
      <c r="N484" s="10"/>
      <c r="O484" s="10"/>
      <c r="P484" s="10"/>
      <c r="Q484" s="10"/>
      <c r="R484" s="10"/>
      <c r="S484" s="10"/>
      <c r="T484" s="10"/>
      <c r="U484" s="10"/>
      <c r="V484" s="10"/>
      <c r="W484" s="10"/>
      <c r="X484" s="10"/>
      <c r="Y484" s="10"/>
      <c r="Z484" s="10"/>
    </row>
    <row r="485" ht="15.75" customHeight="1">
      <c r="A485" s="16"/>
      <c r="B485" s="10"/>
      <c r="C485" s="10"/>
      <c r="D485" s="10"/>
      <c r="E485" s="10"/>
      <c r="F485" s="10"/>
      <c r="G485" s="10"/>
      <c r="H485" s="73"/>
      <c r="I485" s="73"/>
      <c r="J485" s="73"/>
      <c r="K485" s="73"/>
      <c r="L485" s="73"/>
      <c r="M485" s="10"/>
      <c r="N485" s="10"/>
      <c r="O485" s="10"/>
      <c r="P485" s="10"/>
      <c r="Q485" s="10"/>
      <c r="R485" s="10"/>
      <c r="S485" s="10"/>
      <c r="T485" s="10"/>
      <c r="U485" s="10"/>
      <c r="V485" s="10"/>
      <c r="W485" s="10"/>
      <c r="X485" s="10"/>
      <c r="Y485" s="10"/>
      <c r="Z485" s="10"/>
    </row>
    <row r="486" ht="15.75" customHeight="1">
      <c r="A486" s="16"/>
      <c r="B486" s="10"/>
      <c r="C486" s="10"/>
      <c r="D486" s="10"/>
      <c r="E486" s="10"/>
      <c r="F486" s="10"/>
      <c r="G486" s="10"/>
      <c r="H486" s="73"/>
      <c r="I486" s="73"/>
      <c r="J486" s="73"/>
      <c r="K486" s="73"/>
      <c r="L486" s="73"/>
      <c r="M486" s="10"/>
      <c r="N486" s="10"/>
      <c r="O486" s="10"/>
      <c r="P486" s="10"/>
      <c r="Q486" s="10"/>
      <c r="R486" s="10"/>
      <c r="S486" s="10"/>
      <c r="T486" s="10"/>
      <c r="U486" s="10"/>
      <c r="V486" s="10"/>
      <c r="W486" s="10"/>
      <c r="X486" s="10"/>
      <c r="Y486" s="10"/>
      <c r="Z486" s="10"/>
    </row>
    <row r="487" ht="15.75" customHeight="1">
      <c r="A487" s="16"/>
      <c r="B487" s="10"/>
      <c r="C487" s="10"/>
      <c r="D487" s="10"/>
      <c r="E487" s="10"/>
      <c r="F487" s="10"/>
      <c r="G487" s="10"/>
      <c r="H487" s="73"/>
      <c r="I487" s="73"/>
      <c r="J487" s="73"/>
      <c r="K487" s="73"/>
      <c r="L487" s="73"/>
      <c r="M487" s="10"/>
      <c r="N487" s="10"/>
      <c r="O487" s="10"/>
      <c r="P487" s="10"/>
      <c r="Q487" s="10"/>
      <c r="R487" s="10"/>
      <c r="S487" s="10"/>
      <c r="T487" s="10"/>
      <c r="U487" s="10"/>
      <c r="V487" s="10"/>
      <c r="W487" s="10"/>
      <c r="X487" s="10"/>
      <c r="Y487" s="10"/>
      <c r="Z487" s="10"/>
    </row>
    <row r="488" ht="15.75" customHeight="1">
      <c r="A488" s="16"/>
      <c r="B488" s="10"/>
      <c r="C488" s="10"/>
      <c r="D488" s="10"/>
      <c r="E488" s="10"/>
      <c r="F488" s="10"/>
      <c r="G488" s="10"/>
      <c r="H488" s="73"/>
      <c r="I488" s="73"/>
      <c r="J488" s="73"/>
      <c r="K488" s="73"/>
      <c r="L488" s="73"/>
      <c r="M488" s="10"/>
      <c r="N488" s="10"/>
      <c r="O488" s="10"/>
      <c r="P488" s="10"/>
      <c r="Q488" s="10"/>
      <c r="R488" s="10"/>
      <c r="S488" s="10"/>
      <c r="T488" s="10"/>
      <c r="U488" s="10"/>
      <c r="V488" s="10"/>
      <c r="W488" s="10"/>
      <c r="X488" s="10"/>
      <c r="Y488" s="10"/>
      <c r="Z488" s="10"/>
    </row>
    <row r="489" ht="15.75" customHeight="1">
      <c r="A489" s="16"/>
      <c r="B489" s="10"/>
      <c r="C489" s="10"/>
      <c r="D489" s="10"/>
      <c r="E489" s="10"/>
      <c r="F489" s="10"/>
      <c r="G489" s="10"/>
      <c r="H489" s="73"/>
      <c r="I489" s="73"/>
      <c r="J489" s="73"/>
      <c r="K489" s="73"/>
      <c r="L489" s="73"/>
      <c r="M489" s="10"/>
      <c r="N489" s="10"/>
      <c r="O489" s="10"/>
      <c r="P489" s="10"/>
      <c r="Q489" s="10"/>
      <c r="R489" s="10"/>
      <c r="S489" s="10"/>
      <c r="T489" s="10"/>
      <c r="U489" s="10"/>
      <c r="V489" s="10"/>
      <c r="W489" s="10"/>
      <c r="X489" s="10"/>
      <c r="Y489" s="10"/>
      <c r="Z489" s="10"/>
    </row>
    <row r="490" ht="15.75" customHeight="1">
      <c r="A490" s="16"/>
      <c r="B490" s="10"/>
      <c r="C490" s="10"/>
      <c r="D490" s="10"/>
      <c r="E490" s="10"/>
      <c r="F490" s="10"/>
      <c r="G490" s="10"/>
      <c r="H490" s="73"/>
      <c r="I490" s="73"/>
      <c r="J490" s="73"/>
      <c r="K490" s="73"/>
      <c r="L490" s="73"/>
      <c r="M490" s="10"/>
      <c r="N490" s="10"/>
      <c r="O490" s="10"/>
      <c r="P490" s="10"/>
      <c r="Q490" s="10"/>
      <c r="R490" s="10"/>
      <c r="S490" s="10"/>
      <c r="T490" s="10"/>
      <c r="U490" s="10"/>
      <c r="V490" s="10"/>
      <c r="W490" s="10"/>
      <c r="X490" s="10"/>
      <c r="Y490" s="10"/>
      <c r="Z490" s="10"/>
    </row>
    <row r="491" ht="15.75" customHeight="1">
      <c r="A491" s="16"/>
      <c r="B491" s="10"/>
      <c r="C491" s="10"/>
      <c r="D491" s="10"/>
      <c r="E491" s="10"/>
      <c r="F491" s="10"/>
      <c r="G491" s="10"/>
      <c r="H491" s="73"/>
      <c r="I491" s="73"/>
      <c r="J491" s="73"/>
      <c r="K491" s="73"/>
      <c r="L491" s="73"/>
      <c r="M491" s="10"/>
      <c r="N491" s="10"/>
      <c r="O491" s="10"/>
      <c r="P491" s="10"/>
      <c r="Q491" s="10"/>
      <c r="R491" s="10"/>
      <c r="S491" s="10"/>
      <c r="T491" s="10"/>
      <c r="U491" s="10"/>
      <c r="V491" s="10"/>
      <c r="W491" s="10"/>
      <c r="X491" s="10"/>
      <c r="Y491" s="10"/>
      <c r="Z491" s="10"/>
    </row>
    <row r="492" ht="15.75" customHeight="1">
      <c r="A492" s="16"/>
      <c r="B492" s="10"/>
      <c r="C492" s="10"/>
      <c r="D492" s="10"/>
      <c r="E492" s="10"/>
      <c r="F492" s="10"/>
      <c r="G492" s="10"/>
      <c r="H492" s="73"/>
      <c r="I492" s="73"/>
      <c r="J492" s="73"/>
      <c r="K492" s="73"/>
      <c r="L492" s="73"/>
      <c r="M492" s="10"/>
      <c r="N492" s="10"/>
      <c r="O492" s="10"/>
      <c r="P492" s="10"/>
      <c r="Q492" s="10"/>
      <c r="R492" s="10"/>
      <c r="S492" s="10"/>
      <c r="T492" s="10"/>
      <c r="U492" s="10"/>
      <c r="V492" s="10"/>
      <c r="W492" s="10"/>
      <c r="X492" s="10"/>
      <c r="Y492" s="10"/>
      <c r="Z492" s="10"/>
    </row>
    <row r="493" ht="15.75" customHeight="1">
      <c r="A493" s="16"/>
      <c r="B493" s="10"/>
      <c r="C493" s="10"/>
      <c r="D493" s="10"/>
      <c r="E493" s="10"/>
      <c r="F493" s="10"/>
      <c r="G493" s="10"/>
      <c r="H493" s="73"/>
      <c r="I493" s="73"/>
      <c r="J493" s="73"/>
      <c r="K493" s="73"/>
      <c r="L493" s="73"/>
      <c r="M493" s="10"/>
      <c r="N493" s="10"/>
      <c r="O493" s="10"/>
      <c r="P493" s="10"/>
      <c r="Q493" s="10"/>
      <c r="R493" s="10"/>
      <c r="S493" s="10"/>
      <c r="T493" s="10"/>
      <c r="U493" s="10"/>
      <c r="V493" s="10"/>
      <c r="W493" s="10"/>
      <c r="X493" s="10"/>
      <c r="Y493" s="10"/>
      <c r="Z493" s="10"/>
    </row>
    <row r="494" ht="15.75" customHeight="1">
      <c r="A494" s="16"/>
      <c r="B494" s="10"/>
      <c r="C494" s="10"/>
      <c r="D494" s="10"/>
      <c r="E494" s="10"/>
      <c r="F494" s="10"/>
      <c r="G494" s="10"/>
      <c r="H494" s="73"/>
      <c r="I494" s="73"/>
      <c r="J494" s="73"/>
      <c r="K494" s="73"/>
      <c r="L494" s="73"/>
      <c r="M494" s="10"/>
      <c r="N494" s="10"/>
      <c r="O494" s="10"/>
      <c r="P494" s="10"/>
      <c r="Q494" s="10"/>
      <c r="R494" s="10"/>
      <c r="S494" s="10"/>
      <c r="T494" s="10"/>
      <c r="U494" s="10"/>
      <c r="V494" s="10"/>
      <c r="W494" s="10"/>
      <c r="X494" s="10"/>
      <c r="Y494" s="10"/>
      <c r="Z494" s="10"/>
    </row>
    <row r="495" ht="15.75" customHeight="1">
      <c r="A495" s="16"/>
      <c r="B495" s="10"/>
      <c r="C495" s="10"/>
      <c r="D495" s="10"/>
      <c r="E495" s="10"/>
      <c r="F495" s="10"/>
      <c r="G495" s="10"/>
      <c r="H495" s="73"/>
      <c r="I495" s="73"/>
      <c r="J495" s="73"/>
      <c r="K495" s="73"/>
      <c r="L495" s="73"/>
      <c r="M495" s="10"/>
      <c r="N495" s="10"/>
      <c r="O495" s="10"/>
      <c r="P495" s="10"/>
      <c r="Q495" s="10"/>
      <c r="R495" s="10"/>
      <c r="S495" s="10"/>
      <c r="T495" s="10"/>
      <c r="U495" s="10"/>
      <c r="V495" s="10"/>
      <c r="W495" s="10"/>
      <c r="X495" s="10"/>
      <c r="Y495" s="10"/>
      <c r="Z495" s="10"/>
    </row>
    <row r="496" ht="15.75" customHeight="1">
      <c r="A496" s="16"/>
      <c r="B496" s="10"/>
      <c r="C496" s="10"/>
      <c r="D496" s="10"/>
      <c r="E496" s="10"/>
      <c r="F496" s="10"/>
      <c r="G496" s="10"/>
      <c r="H496" s="73"/>
      <c r="I496" s="73"/>
      <c r="J496" s="73"/>
      <c r="K496" s="73"/>
      <c r="L496" s="73"/>
      <c r="M496" s="10"/>
      <c r="N496" s="10"/>
      <c r="O496" s="10"/>
      <c r="P496" s="10"/>
      <c r="Q496" s="10"/>
      <c r="R496" s="10"/>
      <c r="S496" s="10"/>
      <c r="T496" s="10"/>
      <c r="U496" s="10"/>
      <c r="V496" s="10"/>
      <c r="W496" s="10"/>
      <c r="X496" s="10"/>
      <c r="Y496" s="10"/>
      <c r="Z496" s="10"/>
    </row>
    <row r="497" ht="15.75" customHeight="1">
      <c r="A497" s="16"/>
      <c r="B497" s="10"/>
      <c r="C497" s="10"/>
      <c r="D497" s="10"/>
      <c r="E497" s="10"/>
      <c r="F497" s="10"/>
      <c r="G497" s="10"/>
      <c r="H497" s="73"/>
      <c r="I497" s="73"/>
      <c r="J497" s="73"/>
      <c r="K497" s="73"/>
      <c r="L497" s="73"/>
      <c r="M497" s="10"/>
      <c r="N497" s="10"/>
      <c r="O497" s="10"/>
      <c r="P497" s="10"/>
      <c r="Q497" s="10"/>
      <c r="R497" s="10"/>
      <c r="S497" s="10"/>
      <c r="T497" s="10"/>
      <c r="U497" s="10"/>
      <c r="V497" s="10"/>
      <c r="W497" s="10"/>
      <c r="X497" s="10"/>
      <c r="Y497" s="10"/>
      <c r="Z497" s="10"/>
    </row>
    <row r="498" ht="15.75" customHeight="1">
      <c r="A498" s="16"/>
      <c r="B498" s="10"/>
      <c r="C498" s="10"/>
      <c r="D498" s="10"/>
      <c r="E498" s="10"/>
      <c r="F498" s="10"/>
      <c r="G498" s="10"/>
      <c r="H498" s="73"/>
      <c r="I498" s="73"/>
      <c r="J498" s="73"/>
      <c r="K498" s="73"/>
      <c r="L498" s="73"/>
      <c r="M498" s="10"/>
      <c r="N498" s="10"/>
      <c r="O498" s="10"/>
      <c r="P498" s="10"/>
      <c r="Q498" s="10"/>
      <c r="R498" s="10"/>
      <c r="S498" s="10"/>
      <c r="T498" s="10"/>
      <c r="U498" s="10"/>
      <c r="V498" s="10"/>
      <c r="W498" s="10"/>
      <c r="X498" s="10"/>
      <c r="Y498" s="10"/>
      <c r="Z498" s="10"/>
    </row>
    <row r="499" ht="15.75" customHeight="1">
      <c r="A499" s="16"/>
      <c r="B499" s="10"/>
      <c r="C499" s="10"/>
      <c r="D499" s="10"/>
      <c r="E499" s="10"/>
      <c r="F499" s="10"/>
      <c r="G499" s="10"/>
      <c r="H499" s="73"/>
      <c r="I499" s="73"/>
      <c r="J499" s="73"/>
      <c r="K499" s="73"/>
      <c r="L499" s="73"/>
      <c r="M499" s="10"/>
      <c r="N499" s="10"/>
      <c r="O499" s="10"/>
      <c r="P499" s="10"/>
      <c r="Q499" s="10"/>
      <c r="R499" s="10"/>
      <c r="S499" s="10"/>
      <c r="T499" s="10"/>
      <c r="U499" s="10"/>
      <c r="V499" s="10"/>
      <c r="W499" s="10"/>
      <c r="X499" s="10"/>
      <c r="Y499" s="10"/>
      <c r="Z499" s="10"/>
    </row>
    <row r="500" ht="15.75" customHeight="1">
      <c r="A500" s="16"/>
      <c r="B500" s="10"/>
      <c r="C500" s="10"/>
      <c r="D500" s="10"/>
      <c r="E500" s="10"/>
      <c r="F500" s="10"/>
      <c r="G500" s="10"/>
      <c r="H500" s="73"/>
      <c r="I500" s="73"/>
      <c r="J500" s="73"/>
      <c r="K500" s="73"/>
      <c r="L500" s="73"/>
      <c r="M500" s="10"/>
      <c r="N500" s="10"/>
      <c r="O500" s="10"/>
      <c r="P500" s="10"/>
      <c r="Q500" s="10"/>
      <c r="R500" s="10"/>
      <c r="S500" s="10"/>
      <c r="T500" s="10"/>
      <c r="U500" s="10"/>
      <c r="V500" s="10"/>
      <c r="W500" s="10"/>
      <c r="X500" s="10"/>
      <c r="Y500" s="10"/>
      <c r="Z500" s="10"/>
    </row>
    <row r="501" ht="15.75" customHeight="1">
      <c r="A501" s="16"/>
      <c r="B501" s="10"/>
      <c r="C501" s="10"/>
      <c r="D501" s="10"/>
      <c r="E501" s="10"/>
      <c r="F501" s="10"/>
      <c r="G501" s="10"/>
      <c r="H501" s="73"/>
      <c r="I501" s="73"/>
      <c r="J501" s="73"/>
      <c r="K501" s="73"/>
      <c r="L501" s="73"/>
      <c r="M501" s="10"/>
      <c r="N501" s="10"/>
      <c r="O501" s="10"/>
      <c r="P501" s="10"/>
      <c r="Q501" s="10"/>
      <c r="R501" s="10"/>
      <c r="S501" s="10"/>
      <c r="T501" s="10"/>
      <c r="U501" s="10"/>
      <c r="V501" s="10"/>
      <c r="W501" s="10"/>
      <c r="X501" s="10"/>
      <c r="Y501" s="10"/>
      <c r="Z501" s="10"/>
    </row>
    <row r="502" ht="15.75" customHeight="1">
      <c r="A502" s="16"/>
      <c r="B502" s="10"/>
      <c r="C502" s="10"/>
      <c r="D502" s="10"/>
      <c r="E502" s="10"/>
      <c r="F502" s="10"/>
      <c r="G502" s="10"/>
      <c r="H502" s="73"/>
      <c r="I502" s="73"/>
      <c r="J502" s="73"/>
      <c r="K502" s="73"/>
      <c r="L502" s="73"/>
      <c r="M502" s="10"/>
      <c r="N502" s="10"/>
      <c r="O502" s="10"/>
      <c r="P502" s="10"/>
      <c r="Q502" s="10"/>
      <c r="R502" s="10"/>
      <c r="S502" s="10"/>
      <c r="T502" s="10"/>
      <c r="U502" s="10"/>
      <c r="V502" s="10"/>
      <c r="W502" s="10"/>
      <c r="X502" s="10"/>
      <c r="Y502" s="10"/>
      <c r="Z502" s="10"/>
    </row>
    <row r="503" ht="15.75" customHeight="1">
      <c r="A503" s="16"/>
      <c r="B503" s="10"/>
      <c r="C503" s="10"/>
      <c r="D503" s="10"/>
      <c r="E503" s="10"/>
      <c r="F503" s="10"/>
      <c r="G503" s="10"/>
      <c r="H503" s="73"/>
      <c r="I503" s="73"/>
      <c r="J503" s="73"/>
      <c r="K503" s="73"/>
      <c r="L503" s="73"/>
      <c r="M503" s="10"/>
      <c r="N503" s="10"/>
      <c r="O503" s="10"/>
      <c r="P503" s="10"/>
      <c r="Q503" s="10"/>
      <c r="R503" s="10"/>
      <c r="S503" s="10"/>
      <c r="T503" s="10"/>
      <c r="U503" s="10"/>
      <c r="V503" s="10"/>
      <c r="W503" s="10"/>
      <c r="X503" s="10"/>
      <c r="Y503" s="10"/>
      <c r="Z503" s="10"/>
    </row>
    <row r="504" ht="15.75" customHeight="1">
      <c r="A504" s="16"/>
      <c r="B504" s="10"/>
      <c r="C504" s="10"/>
      <c r="D504" s="10"/>
      <c r="E504" s="10"/>
      <c r="F504" s="10"/>
      <c r="G504" s="10"/>
      <c r="H504" s="73"/>
      <c r="I504" s="73"/>
      <c r="J504" s="73"/>
      <c r="K504" s="73"/>
      <c r="L504" s="73"/>
      <c r="M504" s="10"/>
      <c r="N504" s="10"/>
      <c r="O504" s="10"/>
      <c r="P504" s="10"/>
      <c r="Q504" s="10"/>
      <c r="R504" s="10"/>
      <c r="S504" s="10"/>
      <c r="T504" s="10"/>
      <c r="U504" s="10"/>
      <c r="V504" s="10"/>
      <c r="W504" s="10"/>
      <c r="X504" s="10"/>
      <c r="Y504" s="10"/>
      <c r="Z504" s="10"/>
    </row>
    <row r="505" ht="15.75" customHeight="1">
      <c r="A505" s="16"/>
      <c r="B505" s="10"/>
      <c r="C505" s="10"/>
      <c r="D505" s="10"/>
      <c r="E505" s="10"/>
      <c r="F505" s="10"/>
      <c r="G505" s="10"/>
      <c r="H505" s="73"/>
      <c r="I505" s="73"/>
      <c r="J505" s="73"/>
      <c r="K505" s="73"/>
      <c r="L505" s="73"/>
      <c r="M505" s="10"/>
      <c r="N505" s="10"/>
      <c r="O505" s="10"/>
      <c r="P505" s="10"/>
      <c r="Q505" s="10"/>
      <c r="R505" s="10"/>
      <c r="S505" s="10"/>
      <c r="T505" s="10"/>
      <c r="U505" s="10"/>
      <c r="V505" s="10"/>
      <c r="W505" s="10"/>
      <c r="X505" s="10"/>
      <c r="Y505" s="10"/>
      <c r="Z505" s="10"/>
    </row>
    <row r="506" ht="15.75" customHeight="1">
      <c r="A506" s="16"/>
      <c r="B506" s="10"/>
      <c r="C506" s="10"/>
      <c r="D506" s="10"/>
      <c r="E506" s="10"/>
      <c r="F506" s="10"/>
      <c r="G506" s="10"/>
      <c r="H506" s="73"/>
      <c r="I506" s="73"/>
      <c r="J506" s="73"/>
      <c r="K506" s="73"/>
      <c r="L506" s="73"/>
      <c r="M506" s="10"/>
      <c r="N506" s="10"/>
      <c r="O506" s="10"/>
      <c r="P506" s="10"/>
      <c r="Q506" s="10"/>
      <c r="R506" s="10"/>
      <c r="S506" s="10"/>
      <c r="T506" s="10"/>
      <c r="U506" s="10"/>
      <c r="V506" s="10"/>
      <c r="W506" s="10"/>
      <c r="X506" s="10"/>
      <c r="Y506" s="10"/>
      <c r="Z506" s="10"/>
    </row>
    <row r="507" ht="15.75" customHeight="1">
      <c r="A507" s="16"/>
      <c r="B507" s="10"/>
      <c r="C507" s="10"/>
      <c r="D507" s="10"/>
      <c r="E507" s="10"/>
      <c r="F507" s="10"/>
      <c r="G507" s="10"/>
      <c r="H507" s="73"/>
      <c r="I507" s="73"/>
      <c r="J507" s="73"/>
      <c r="K507" s="73"/>
      <c r="L507" s="73"/>
      <c r="M507" s="10"/>
      <c r="N507" s="10"/>
      <c r="O507" s="10"/>
      <c r="P507" s="10"/>
      <c r="Q507" s="10"/>
      <c r="R507" s="10"/>
      <c r="S507" s="10"/>
      <c r="T507" s="10"/>
      <c r="U507" s="10"/>
      <c r="V507" s="10"/>
      <c r="W507" s="10"/>
      <c r="X507" s="10"/>
      <c r="Y507" s="10"/>
      <c r="Z507" s="10"/>
    </row>
    <row r="508" ht="15.75" customHeight="1">
      <c r="A508" s="16"/>
      <c r="B508" s="10"/>
      <c r="C508" s="10"/>
      <c r="D508" s="10"/>
      <c r="E508" s="10"/>
      <c r="F508" s="10"/>
      <c r="G508" s="10"/>
      <c r="H508" s="73"/>
      <c r="I508" s="73"/>
      <c r="J508" s="73"/>
      <c r="K508" s="73"/>
      <c r="L508" s="73"/>
      <c r="M508" s="10"/>
      <c r="N508" s="10"/>
      <c r="O508" s="10"/>
      <c r="P508" s="10"/>
      <c r="Q508" s="10"/>
      <c r="R508" s="10"/>
      <c r="S508" s="10"/>
      <c r="T508" s="10"/>
      <c r="U508" s="10"/>
      <c r="V508" s="10"/>
      <c r="W508" s="10"/>
      <c r="X508" s="10"/>
      <c r="Y508" s="10"/>
      <c r="Z508" s="10"/>
    </row>
    <row r="509" ht="15.75" customHeight="1">
      <c r="A509" s="16"/>
      <c r="B509" s="10"/>
      <c r="C509" s="10"/>
      <c r="D509" s="10"/>
      <c r="E509" s="10"/>
      <c r="F509" s="10"/>
      <c r="G509" s="10"/>
      <c r="H509" s="73"/>
      <c r="I509" s="73"/>
      <c r="J509" s="73"/>
      <c r="K509" s="73"/>
      <c r="L509" s="73"/>
      <c r="M509" s="10"/>
      <c r="N509" s="10"/>
      <c r="O509" s="10"/>
      <c r="P509" s="10"/>
      <c r="Q509" s="10"/>
      <c r="R509" s="10"/>
      <c r="S509" s="10"/>
      <c r="T509" s="10"/>
      <c r="U509" s="10"/>
      <c r="V509" s="10"/>
      <c r="W509" s="10"/>
      <c r="X509" s="10"/>
      <c r="Y509" s="10"/>
      <c r="Z509" s="10"/>
    </row>
    <row r="510" ht="15.75" customHeight="1">
      <c r="A510" s="16"/>
      <c r="B510" s="10"/>
      <c r="C510" s="10"/>
      <c r="D510" s="10"/>
      <c r="E510" s="10"/>
      <c r="F510" s="10"/>
      <c r="G510" s="10"/>
      <c r="H510" s="73"/>
      <c r="I510" s="73"/>
      <c r="J510" s="73"/>
      <c r="K510" s="73"/>
      <c r="L510" s="73"/>
      <c r="M510" s="10"/>
      <c r="N510" s="10"/>
      <c r="O510" s="10"/>
      <c r="P510" s="10"/>
      <c r="Q510" s="10"/>
      <c r="R510" s="10"/>
      <c r="S510" s="10"/>
      <c r="T510" s="10"/>
      <c r="U510" s="10"/>
      <c r="V510" s="10"/>
      <c r="W510" s="10"/>
      <c r="X510" s="10"/>
      <c r="Y510" s="10"/>
      <c r="Z510" s="10"/>
    </row>
    <row r="511" ht="15.75" customHeight="1">
      <c r="A511" s="16"/>
      <c r="B511" s="10"/>
      <c r="C511" s="10"/>
      <c r="D511" s="10"/>
      <c r="E511" s="10"/>
      <c r="F511" s="10"/>
      <c r="G511" s="10"/>
      <c r="H511" s="73"/>
      <c r="I511" s="73"/>
      <c r="J511" s="73"/>
      <c r="K511" s="73"/>
      <c r="L511" s="73"/>
      <c r="M511" s="10"/>
      <c r="N511" s="10"/>
      <c r="O511" s="10"/>
      <c r="P511" s="10"/>
      <c r="Q511" s="10"/>
      <c r="R511" s="10"/>
      <c r="S511" s="10"/>
      <c r="T511" s="10"/>
      <c r="U511" s="10"/>
      <c r="V511" s="10"/>
      <c r="W511" s="10"/>
      <c r="X511" s="10"/>
      <c r="Y511" s="10"/>
      <c r="Z511" s="10"/>
    </row>
    <row r="512" ht="15.75" customHeight="1">
      <c r="A512" s="16"/>
      <c r="B512" s="10"/>
      <c r="C512" s="10"/>
      <c r="D512" s="10"/>
      <c r="E512" s="10"/>
      <c r="F512" s="10"/>
      <c r="G512" s="10"/>
      <c r="H512" s="73"/>
      <c r="I512" s="73"/>
      <c r="J512" s="73"/>
      <c r="K512" s="73"/>
      <c r="L512" s="73"/>
      <c r="M512" s="10"/>
      <c r="N512" s="10"/>
      <c r="O512" s="10"/>
      <c r="P512" s="10"/>
      <c r="Q512" s="10"/>
      <c r="R512" s="10"/>
      <c r="S512" s="10"/>
      <c r="T512" s="10"/>
      <c r="U512" s="10"/>
      <c r="V512" s="10"/>
      <c r="W512" s="10"/>
      <c r="X512" s="10"/>
      <c r="Y512" s="10"/>
      <c r="Z512" s="10"/>
    </row>
    <row r="513" ht="15.75" customHeight="1">
      <c r="A513" s="16"/>
      <c r="B513" s="10"/>
      <c r="C513" s="10"/>
      <c r="D513" s="10"/>
      <c r="E513" s="10"/>
      <c r="F513" s="10"/>
      <c r="G513" s="10"/>
      <c r="H513" s="73"/>
      <c r="I513" s="73"/>
      <c r="J513" s="73"/>
      <c r="K513" s="73"/>
      <c r="L513" s="73"/>
      <c r="M513" s="10"/>
      <c r="N513" s="10"/>
      <c r="O513" s="10"/>
      <c r="P513" s="10"/>
      <c r="Q513" s="10"/>
      <c r="R513" s="10"/>
      <c r="S513" s="10"/>
      <c r="T513" s="10"/>
      <c r="U513" s="10"/>
      <c r="V513" s="10"/>
      <c r="W513" s="10"/>
      <c r="X513" s="10"/>
      <c r="Y513" s="10"/>
      <c r="Z513" s="10"/>
    </row>
    <row r="514" ht="15.75" customHeight="1">
      <c r="A514" s="16"/>
      <c r="B514" s="10"/>
      <c r="C514" s="10"/>
      <c r="D514" s="10"/>
      <c r="E514" s="10"/>
      <c r="F514" s="10"/>
      <c r="G514" s="10"/>
      <c r="H514" s="73"/>
      <c r="I514" s="73"/>
      <c r="J514" s="73"/>
      <c r="K514" s="73"/>
      <c r="L514" s="73"/>
      <c r="M514" s="10"/>
      <c r="N514" s="10"/>
      <c r="O514" s="10"/>
      <c r="P514" s="10"/>
      <c r="Q514" s="10"/>
      <c r="R514" s="10"/>
      <c r="S514" s="10"/>
      <c r="T514" s="10"/>
      <c r="U514" s="10"/>
      <c r="V514" s="10"/>
      <c r="W514" s="10"/>
      <c r="X514" s="10"/>
      <c r="Y514" s="10"/>
      <c r="Z514" s="10"/>
    </row>
    <row r="515" ht="15.75" customHeight="1">
      <c r="A515" s="16"/>
      <c r="B515" s="10"/>
      <c r="C515" s="10"/>
      <c r="D515" s="10"/>
      <c r="E515" s="10"/>
      <c r="F515" s="10"/>
      <c r="G515" s="10"/>
      <c r="H515" s="73"/>
      <c r="I515" s="73"/>
      <c r="J515" s="73"/>
      <c r="K515" s="73"/>
      <c r="L515" s="73"/>
      <c r="M515" s="10"/>
      <c r="N515" s="10"/>
      <c r="O515" s="10"/>
      <c r="P515" s="10"/>
      <c r="Q515" s="10"/>
      <c r="R515" s="10"/>
      <c r="S515" s="10"/>
      <c r="T515" s="10"/>
      <c r="U515" s="10"/>
      <c r="V515" s="10"/>
      <c r="W515" s="10"/>
      <c r="X515" s="10"/>
      <c r="Y515" s="10"/>
      <c r="Z515" s="10"/>
    </row>
    <row r="516" ht="15.75" customHeight="1">
      <c r="A516" s="16"/>
      <c r="B516" s="10"/>
      <c r="C516" s="10"/>
      <c r="D516" s="10"/>
      <c r="E516" s="10"/>
      <c r="F516" s="10"/>
      <c r="G516" s="10"/>
      <c r="H516" s="73"/>
      <c r="I516" s="73"/>
      <c r="J516" s="73"/>
      <c r="K516" s="73"/>
      <c r="L516" s="73"/>
      <c r="M516" s="10"/>
      <c r="N516" s="10"/>
      <c r="O516" s="10"/>
      <c r="P516" s="10"/>
      <c r="Q516" s="10"/>
      <c r="R516" s="10"/>
      <c r="S516" s="10"/>
      <c r="T516" s="10"/>
      <c r="U516" s="10"/>
      <c r="V516" s="10"/>
      <c r="W516" s="10"/>
      <c r="X516" s="10"/>
      <c r="Y516" s="10"/>
      <c r="Z516" s="10"/>
    </row>
    <row r="517" ht="15.75" customHeight="1">
      <c r="A517" s="16"/>
      <c r="B517" s="10"/>
      <c r="C517" s="10"/>
      <c r="D517" s="10"/>
      <c r="E517" s="10"/>
      <c r="F517" s="10"/>
      <c r="G517" s="10"/>
      <c r="H517" s="73"/>
      <c r="I517" s="73"/>
      <c r="J517" s="73"/>
      <c r="K517" s="73"/>
      <c r="L517" s="73"/>
      <c r="M517" s="10"/>
      <c r="N517" s="10"/>
      <c r="O517" s="10"/>
      <c r="P517" s="10"/>
      <c r="Q517" s="10"/>
      <c r="R517" s="10"/>
      <c r="S517" s="10"/>
      <c r="T517" s="10"/>
      <c r="U517" s="10"/>
      <c r="V517" s="10"/>
      <c r="W517" s="10"/>
      <c r="X517" s="10"/>
      <c r="Y517" s="10"/>
      <c r="Z517" s="10"/>
    </row>
    <row r="518" ht="15.75" customHeight="1">
      <c r="A518" s="16"/>
      <c r="B518" s="10"/>
      <c r="C518" s="10"/>
      <c r="D518" s="10"/>
      <c r="E518" s="10"/>
      <c r="F518" s="10"/>
      <c r="G518" s="10"/>
      <c r="H518" s="73"/>
      <c r="I518" s="73"/>
      <c r="J518" s="73"/>
      <c r="K518" s="73"/>
      <c r="L518" s="73"/>
      <c r="M518" s="10"/>
      <c r="N518" s="10"/>
      <c r="O518" s="10"/>
      <c r="P518" s="10"/>
      <c r="Q518" s="10"/>
      <c r="R518" s="10"/>
      <c r="S518" s="10"/>
      <c r="T518" s="10"/>
      <c r="U518" s="10"/>
      <c r="V518" s="10"/>
      <c r="W518" s="10"/>
      <c r="X518" s="10"/>
      <c r="Y518" s="10"/>
      <c r="Z518" s="10"/>
    </row>
    <row r="519" ht="15.75" customHeight="1">
      <c r="A519" s="16"/>
      <c r="B519" s="10"/>
      <c r="C519" s="10"/>
      <c r="D519" s="10"/>
      <c r="E519" s="10"/>
      <c r="F519" s="10"/>
      <c r="G519" s="10"/>
      <c r="H519" s="73"/>
      <c r="I519" s="73"/>
      <c r="J519" s="73"/>
      <c r="K519" s="73"/>
      <c r="L519" s="73"/>
      <c r="M519" s="10"/>
      <c r="N519" s="10"/>
      <c r="O519" s="10"/>
      <c r="P519" s="10"/>
      <c r="Q519" s="10"/>
      <c r="R519" s="10"/>
      <c r="S519" s="10"/>
      <c r="T519" s="10"/>
      <c r="U519" s="10"/>
      <c r="V519" s="10"/>
      <c r="W519" s="10"/>
      <c r="X519" s="10"/>
      <c r="Y519" s="10"/>
      <c r="Z519" s="10"/>
    </row>
    <row r="520" ht="15.75" customHeight="1">
      <c r="A520" s="16"/>
      <c r="B520" s="10"/>
      <c r="C520" s="10"/>
      <c r="D520" s="10"/>
      <c r="E520" s="10"/>
      <c r="F520" s="10"/>
      <c r="G520" s="10"/>
      <c r="H520" s="73"/>
      <c r="I520" s="73"/>
      <c r="J520" s="73"/>
      <c r="K520" s="73"/>
      <c r="L520" s="73"/>
      <c r="M520" s="10"/>
      <c r="N520" s="10"/>
      <c r="O520" s="10"/>
      <c r="P520" s="10"/>
      <c r="Q520" s="10"/>
      <c r="R520" s="10"/>
      <c r="S520" s="10"/>
      <c r="T520" s="10"/>
      <c r="U520" s="10"/>
      <c r="V520" s="10"/>
      <c r="W520" s="10"/>
      <c r="X520" s="10"/>
      <c r="Y520" s="10"/>
      <c r="Z520" s="10"/>
    </row>
    <row r="521" ht="15.75" customHeight="1">
      <c r="A521" s="16"/>
      <c r="B521" s="10"/>
      <c r="C521" s="10"/>
      <c r="D521" s="10"/>
      <c r="E521" s="10"/>
      <c r="F521" s="10"/>
      <c r="G521" s="10"/>
      <c r="H521" s="73"/>
      <c r="I521" s="73"/>
      <c r="J521" s="73"/>
      <c r="K521" s="73"/>
      <c r="L521" s="73"/>
      <c r="M521" s="10"/>
      <c r="N521" s="10"/>
      <c r="O521" s="10"/>
      <c r="P521" s="10"/>
      <c r="Q521" s="10"/>
      <c r="R521" s="10"/>
      <c r="S521" s="10"/>
      <c r="T521" s="10"/>
      <c r="U521" s="10"/>
      <c r="V521" s="10"/>
      <c r="W521" s="10"/>
      <c r="X521" s="10"/>
      <c r="Y521" s="10"/>
      <c r="Z521" s="10"/>
    </row>
    <row r="522" ht="15.75" customHeight="1">
      <c r="A522" s="16"/>
      <c r="B522" s="10"/>
      <c r="C522" s="10"/>
      <c r="D522" s="10"/>
      <c r="E522" s="10"/>
      <c r="F522" s="10"/>
      <c r="G522" s="10"/>
      <c r="H522" s="73"/>
      <c r="I522" s="73"/>
      <c r="J522" s="73"/>
      <c r="K522" s="73"/>
      <c r="L522" s="73"/>
      <c r="M522" s="10"/>
      <c r="N522" s="10"/>
      <c r="O522" s="10"/>
      <c r="P522" s="10"/>
      <c r="Q522" s="10"/>
      <c r="R522" s="10"/>
      <c r="S522" s="10"/>
      <c r="T522" s="10"/>
      <c r="U522" s="10"/>
      <c r="V522" s="10"/>
      <c r="W522" s="10"/>
      <c r="X522" s="10"/>
      <c r="Y522" s="10"/>
      <c r="Z522" s="10"/>
    </row>
    <row r="523" ht="15.75" customHeight="1">
      <c r="A523" s="16"/>
      <c r="B523" s="10"/>
      <c r="C523" s="10"/>
      <c r="D523" s="10"/>
      <c r="E523" s="10"/>
      <c r="F523" s="10"/>
      <c r="G523" s="10"/>
      <c r="H523" s="73"/>
      <c r="I523" s="73"/>
      <c r="J523" s="73"/>
      <c r="K523" s="73"/>
      <c r="L523" s="73"/>
      <c r="M523" s="10"/>
      <c r="N523" s="10"/>
      <c r="O523" s="10"/>
      <c r="P523" s="10"/>
      <c r="Q523" s="10"/>
      <c r="R523" s="10"/>
      <c r="S523" s="10"/>
      <c r="T523" s="10"/>
      <c r="U523" s="10"/>
      <c r="V523" s="10"/>
      <c r="W523" s="10"/>
      <c r="X523" s="10"/>
      <c r="Y523" s="10"/>
      <c r="Z523" s="10"/>
    </row>
    <row r="524" ht="15.75" customHeight="1">
      <c r="A524" s="16"/>
      <c r="B524" s="10"/>
      <c r="C524" s="10"/>
      <c r="D524" s="10"/>
      <c r="E524" s="10"/>
      <c r="F524" s="10"/>
      <c r="G524" s="10"/>
      <c r="H524" s="73"/>
      <c r="I524" s="73"/>
      <c r="J524" s="73"/>
      <c r="K524" s="73"/>
      <c r="L524" s="73"/>
      <c r="M524" s="10"/>
      <c r="N524" s="10"/>
      <c r="O524" s="10"/>
      <c r="P524" s="10"/>
      <c r="Q524" s="10"/>
      <c r="R524" s="10"/>
      <c r="S524" s="10"/>
      <c r="T524" s="10"/>
      <c r="U524" s="10"/>
      <c r="V524" s="10"/>
      <c r="W524" s="10"/>
      <c r="X524" s="10"/>
      <c r="Y524" s="10"/>
      <c r="Z524" s="10"/>
    </row>
    <row r="525" ht="15.75" customHeight="1">
      <c r="A525" s="16"/>
      <c r="B525" s="10"/>
      <c r="C525" s="10"/>
      <c r="D525" s="10"/>
      <c r="E525" s="10"/>
      <c r="F525" s="10"/>
      <c r="G525" s="10"/>
      <c r="H525" s="73"/>
      <c r="I525" s="73"/>
      <c r="J525" s="73"/>
      <c r="K525" s="73"/>
      <c r="L525" s="73"/>
      <c r="M525" s="10"/>
      <c r="N525" s="10"/>
      <c r="O525" s="10"/>
      <c r="P525" s="10"/>
      <c r="Q525" s="10"/>
      <c r="R525" s="10"/>
      <c r="S525" s="10"/>
      <c r="T525" s="10"/>
      <c r="U525" s="10"/>
      <c r="V525" s="10"/>
      <c r="W525" s="10"/>
      <c r="X525" s="10"/>
      <c r="Y525" s="10"/>
      <c r="Z525" s="10"/>
    </row>
    <row r="526" ht="15.75" customHeight="1">
      <c r="A526" s="16"/>
      <c r="B526" s="10"/>
      <c r="C526" s="10"/>
      <c r="D526" s="10"/>
      <c r="E526" s="10"/>
      <c r="F526" s="10"/>
      <c r="G526" s="10"/>
      <c r="H526" s="73"/>
      <c r="I526" s="73"/>
      <c r="J526" s="73"/>
      <c r="K526" s="73"/>
      <c r="L526" s="73"/>
      <c r="M526" s="10"/>
      <c r="N526" s="10"/>
      <c r="O526" s="10"/>
      <c r="P526" s="10"/>
      <c r="Q526" s="10"/>
      <c r="R526" s="10"/>
      <c r="S526" s="10"/>
      <c r="T526" s="10"/>
      <c r="U526" s="10"/>
      <c r="V526" s="10"/>
      <c r="W526" s="10"/>
      <c r="X526" s="10"/>
      <c r="Y526" s="10"/>
      <c r="Z526" s="10"/>
    </row>
    <row r="527" ht="15.75" customHeight="1">
      <c r="A527" s="16"/>
      <c r="B527" s="10"/>
      <c r="C527" s="10"/>
      <c r="D527" s="10"/>
      <c r="E527" s="10"/>
      <c r="F527" s="10"/>
      <c r="G527" s="10"/>
      <c r="H527" s="73"/>
      <c r="I527" s="73"/>
      <c r="J527" s="73"/>
      <c r="K527" s="73"/>
      <c r="L527" s="73"/>
      <c r="M527" s="10"/>
      <c r="N527" s="10"/>
      <c r="O527" s="10"/>
      <c r="P527" s="10"/>
      <c r="Q527" s="10"/>
      <c r="R527" s="10"/>
      <c r="S527" s="10"/>
      <c r="T527" s="10"/>
      <c r="U527" s="10"/>
      <c r="V527" s="10"/>
      <c r="W527" s="10"/>
      <c r="X527" s="10"/>
      <c r="Y527" s="10"/>
      <c r="Z527" s="10"/>
    </row>
    <row r="528" ht="15.75" customHeight="1">
      <c r="A528" s="16"/>
      <c r="B528" s="10"/>
      <c r="C528" s="10"/>
      <c r="D528" s="10"/>
      <c r="E528" s="10"/>
      <c r="F528" s="10"/>
      <c r="G528" s="10"/>
      <c r="H528" s="73"/>
      <c r="I528" s="73"/>
      <c r="J528" s="73"/>
      <c r="K528" s="73"/>
      <c r="L528" s="73"/>
      <c r="M528" s="10"/>
      <c r="N528" s="10"/>
      <c r="O528" s="10"/>
      <c r="P528" s="10"/>
      <c r="Q528" s="10"/>
      <c r="R528" s="10"/>
      <c r="S528" s="10"/>
      <c r="T528" s="10"/>
      <c r="U528" s="10"/>
      <c r="V528" s="10"/>
      <c r="W528" s="10"/>
      <c r="X528" s="10"/>
      <c r="Y528" s="10"/>
      <c r="Z528" s="10"/>
    </row>
    <row r="529" ht="15.75" customHeight="1">
      <c r="A529" s="16"/>
      <c r="B529" s="10"/>
      <c r="C529" s="10"/>
      <c r="D529" s="10"/>
      <c r="E529" s="10"/>
      <c r="F529" s="10"/>
      <c r="G529" s="10"/>
      <c r="H529" s="73"/>
      <c r="I529" s="73"/>
      <c r="J529" s="73"/>
      <c r="K529" s="73"/>
      <c r="L529" s="73"/>
      <c r="M529" s="10"/>
      <c r="N529" s="10"/>
      <c r="O529" s="10"/>
      <c r="P529" s="10"/>
      <c r="Q529" s="10"/>
      <c r="R529" s="10"/>
      <c r="S529" s="10"/>
      <c r="T529" s="10"/>
      <c r="U529" s="10"/>
      <c r="V529" s="10"/>
      <c r="W529" s="10"/>
      <c r="X529" s="10"/>
      <c r="Y529" s="10"/>
      <c r="Z529" s="10"/>
    </row>
    <row r="530" ht="15.75" customHeight="1">
      <c r="A530" s="16"/>
      <c r="B530" s="10"/>
      <c r="C530" s="10"/>
      <c r="D530" s="10"/>
      <c r="E530" s="10"/>
      <c r="F530" s="10"/>
      <c r="G530" s="10"/>
      <c r="H530" s="73"/>
      <c r="I530" s="73"/>
      <c r="J530" s="73"/>
      <c r="K530" s="73"/>
      <c r="L530" s="73"/>
      <c r="M530" s="10"/>
      <c r="N530" s="10"/>
      <c r="O530" s="10"/>
      <c r="P530" s="10"/>
      <c r="Q530" s="10"/>
      <c r="R530" s="10"/>
      <c r="S530" s="10"/>
      <c r="T530" s="10"/>
      <c r="U530" s="10"/>
      <c r="V530" s="10"/>
      <c r="W530" s="10"/>
      <c r="X530" s="10"/>
      <c r="Y530" s="10"/>
      <c r="Z530" s="10"/>
    </row>
    <row r="531" ht="15.75" customHeight="1">
      <c r="A531" s="16"/>
      <c r="B531" s="10"/>
      <c r="C531" s="10"/>
      <c r="D531" s="10"/>
      <c r="E531" s="10"/>
      <c r="F531" s="10"/>
      <c r="G531" s="10"/>
      <c r="H531" s="73"/>
      <c r="I531" s="73"/>
      <c r="J531" s="73"/>
      <c r="K531" s="73"/>
      <c r="L531" s="73"/>
      <c r="M531" s="10"/>
      <c r="N531" s="10"/>
      <c r="O531" s="10"/>
      <c r="P531" s="10"/>
      <c r="Q531" s="10"/>
      <c r="R531" s="10"/>
      <c r="S531" s="10"/>
      <c r="T531" s="10"/>
      <c r="U531" s="10"/>
      <c r="V531" s="10"/>
      <c r="W531" s="10"/>
      <c r="X531" s="10"/>
      <c r="Y531" s="10"/>
      <c r="Z531" s="10"/>
    </row>
    <row r="532" ht="15.75" customHeight="1">
      <c r="A532" s="16"/>
      <c r="B532" s="10"/>
      <c r="C532" s="10"/>
      <c r="D532" s="10"/>
      <c r="E532" s="10"/>
      <c r="F532" s="10"/>
      <c r="G532" s="10"/>
      <c r="H532" s="73"/>
      <c r="I532" s="73"/>
      <c r="J532" s="73"/>
      <c r="K532" s="73"/>
      <c r="L532" s="73"/>
      <c r="M532" s="10"/>
      <c r="N532" s="10"/>
      <c r="O532" s="10"/>
      <c r="P532" s="10"/>
      <c r="Q532" s="10"/>
      <c r="R532" s="10"/>
      <c r="S532" s="10"/>
      <c r="T532" s="10"/>
      <c r="U532" s="10"/>
      <c r="V532" s="10"/>
      <c r="W532" s="10"/>
      <c r="X532" s="10"/>
      <c r="Y532" s="10"/>
      <c r="Z532" s="10"/>
    </row>
    <row r="533" ht="15.75" customHeight="1">
      <c r="A533" s="16"/>
      <c r="B533" s="10"/>
      <c r="C533" s="10"/>
      <c r="D533" s="10"/>
      <c r="E533" s="10"/>
      <c r="F533" s="10"/>
      <c r="G533" s="10"/>
      <c r="H533" s="73"/>
      <c r="I533" s="73"/>
      <c r="J533" s="73"/>
      <c r="K533" s="73"/>
      <c r="L533" s="73"/>
      <c r="M533" s="10"/>
      <c r="N533" s="10"/>
      <c r="O533" s="10"/>
      <c r="P533" s="10"/>
      <c r="Q533" s="10"/>
      <c r="R533" s="10"/>
      <c r="S533" s="10"/>
      <c r="T533" s="10"/>
      <c r="U533" s="10"/>
      <c r="V533" s="10"/>
      <c r="W533" s="10"/>
      <c r="X533" s="10"/>
      <c r="Y533" s="10"/>
      <c r="Z533" s="10"/>
    </row>
    <row r="534" ht="15.75" customHeight="1">
      <c r="A534" s="16"/>
      <c r="B534" s="10"/>
      <c r="C534" s="10"/>
      <c r="D534" s="10"/>
      <c r="E534" s="10"/>
      <c r="F534" s="10"/>
      <c r="G534" s="10"/>
      <c r="H534" s="73"/>
      <c r="I534" s="73"/>
      <c r="J534" s="73"/>
      <c r="K534" s="73"/>
      <c r="L534" s="73"/>
      <c r="M534" s="10"/>
      <c r="N534" s="10"/>
      <c r="O534" s="10"/>
      <c r="P534" s="10"/>
      <c r="Q534" s="10"/>
      <c r="R534" s="10"/>
      <c r="S534" s="10"/>
      <c r="T534" s="10"/>
      <c r="U534" s="10"/>
      <c r="V534" s="10"/>
      <c r="W534" s="10"/>
      <c r="X534" s="10"/>
      <c r="Y534" s="10"/>
      <c r="Z534" s="10"/>
    </row>
    <row r="535" ht="15.75" customHeight="1">
      <c r="A535" s="16"/>
      <c r="B535" s="10"/>
      <c r="C535" s="10"/>
      <c r="D535" s="10"/>
      <c r="E535" s="10"/>
      <c r="F535" s="10"/>
      <c r="G535" s="10"/>
      <c r="H535" s="73"/>
      <c r="I535" s="73"/>
      <c r="J535" s="73"/>
      <c r="K535" s="73"/>
      <c r="L535" s="73"/>
      <c r="M535" s="10"/>
      <c r="N535" s="10"/>
      <c r="O535" s="10"/>
      <c r="P535" s="10"/>
      <c r="Q535" s="10"/>
      <c r="R535" s="10"/>
      <c r="S535" s="10"/>
      <c r="T535" s="10"/>
      <c r="U535" s="10"/>
      <c r="V535" s="10"/>
      <c r="W535" s="10"/>
      <c r="X535" s="10"/>
      <c r="Y535" s="10"/>
      <c r="Z535" s="10"/>
    </row>
    <row r="536" ht="15.75" customHeight="1">
      <c r="A536" s="16"/>
      <c r="B536" s="10"/>
      <c r="C536" s="10"/>
      <c r="D536" s="10"/>
      <c r="E536" s="10"/>
      <c r="F536" s="10"/>
      <c r="G536" s="10"/>
      <c r="H536" s="73"/>
      <c r="I536" s="73"/>
      <c r="J536" s="73"/>
      <c r="K536" s="73"/>
      <c r="L536" s="73"/>
      <c r="M536" s="10"/>
      <c r="N536" s="10"/>
      <c r="O536" s="10"/>
      <c r="P536" s="10"/>
      <c r="Q536" s="10"/>
      <c r="R536" s="10"/>
      <c r="S536" s="10"/>
      <c r="T536" s="10"/>
      <c r="U536" s="10"/>
      <c r="V536" s="10"/>
      <c r="W536" s="10"/>
      <c r="X536" s="10"/>
      <c r="Y536" s="10"/>
      <c r="Z536" s="10"/>
    </row>
    <row r="537" ht="15.75" customHeight="1">
      <c r="A537" s="16"/>
      <c r="B537" s="10"/>
      <c r="C537" s="10"/>
      <c r="D537" s="10"/>
      <c r="E537" s="10"/>
      <c r="F537" s="10"/>
      <c r="G537" s="10"/>
      <c r="H537" s="73"/>
      <c r="I537" s="73"/>
      <c r="J537" s="73"/>
      <c r="K537" s="73"/>
      <c r="L537" s="73"/>
      <c r="M537" s="10"/>
      <c r="N537" s="10"/>
      <c r="O537" s="10"/>
      <c r="P537" s="10"/>
      <c r="Q537" s="10"/>
      <c r="R537" s="10"/>
      <c r="S537" s="10"/>
      <c r="T537" s="10"/>
      <c r="U537" s="10"/>
      <c r="V537" s="10"/>
      <c r="W537" s="10"/>
      <c r="X537" s="10"/>
      <c r="Y537" s="10"/>
      <c r="Z537" s="10"/>
    </row>
    <row r="538" ht="15.75" customHeight="1">
      <c r="A538" s="16"/>
      <c r="B538" s="10"/>
      <c r="C538" s="10"/>
      <c r="D538" s="10"/>
      <c r="E538" s="10"/>
      <c r="F538" s="10"/>
      <c r="G538" s="10"/>
      <c r="H538" s="73"/>
      <c r="I538" s="73"/>
      <c r="J538" s="73"/>
      <c r="K538" s="73"/>
      <c r="L538" s="73"/>
      <c r="M538" s="10"/>
      <c r="N538" s="10"/>
      <c r="O538" s="10"/>
      <c r="P538" s="10"/>
      <c r="Q538" s="10"/>
      <c r="R538" s="10"/>
      <c r="S538" s="10"/>
      <c r="T538" s="10"/>
      <c r="U538" s="10"/>
      <c r="V538" s="10"/>
      <c r="W538" s="10"/>
      <c r="X538" s="10"/>
      <c r="Y538" s="10"/>
      <c r="Z538" s="10"/>
    </row>
    <row r="539" ht="15.75" customHeight="1">
      <c r="A539" s="16"/>
      <c r="B539" s="10"/>
      <c r="C539" s="10"/>
      <c r="D539" s="10"/>
      <c r="E539" s="10"/>
      <c r="F539" s="10"/>
      <c r="G539" s="10"/>
      <c r="H539" s="73"/>
      <c r="I539" s="73"/>
      <c r="J539" s="73"/>
      <c r="K539" s="73"/>
      <c r="L539" s="73"/>
      <c r="M539" s="10"/>
      <c r="N539" s="10"/>
      <c r="O539" s="10"/>
      <c r="P539" s="10"/>
      <c r="Q539" s="10"/>
      <c r="R539" s="10"/>
      <c r="S539" s="10"/>
      <c r="T539" s="10"/>
      <c r="U539" s="10"/>
      <c r="V539" s="10"/>
      <c r="W539" s="10"/>
      <c r="X539" s="10"/>
      <c r="Y539" s="10"/>
      <c r="Z539" s="10"/>
    </row>
    <row r="540" ht="15.75" customHeight="1">
      <c r="A540" s="16"/>
      <c r="B540" s="10"/>
      <c r="C540" s="10"/>
      <c r="D540" s="10"/>
      <c r="E540" s="10"/>
      <c r="F540" s="10"/>
      <c r="G540" s="10"/>
      <c r="H540" s="73"/>
      <c r="I540" s="73"/>
      <c r="J540" s="73"/>
      <c r="K540" s="73"/>
      <c r="L540" s="73"/>
      <c r="M540" s="10"/>
      <c r="N540" s="10"/>
      <c r="O540" s="10"/>
      <c r="P540" s="10"/>
      <c r="Q540" s="10"/>
      <c r="R540" s="10"/>
      <c r="S540" s="10"/>
      <c r="T540" s="10"/>
      <c r="U540" s="10"/>
      <c r="V540" s="10"/>
      <c r="W540" s="10"/>
      <c r="X540" s="10"/>
      <c r="Y540" s="10"/>
      <c r="Z540" s="10"/>
    </row>
    <row r="541" ht="15.75" customHeight="1">
      <c r="A541" s="16"/>
      <c r="B541" s="10"/>
      <c r="C541" s="10"/>
      <c r="D541" s="10"/>
      <c r="E541" s="10"/>
      <c r="F541" s="10"/>
      <c r="G541" s="10"/>
      <c r="H541" s="73"/>
      <c r="I541" s="73"/>
      <c r="J541" s="73"/>
      <c r="K541" s="73"/>
      <c r="L541" s="73"/>
      <c r="M541" s="10"/>
      <c r="N541" s="10"/>
      <c r="O541" s="10"/>
      <c r="P541" s="10"/>
      <c r="Q541" s="10"/>
      <c r="R541" s="10"/>
      <c r="S541" s="10"/>
      <c r="T541" s="10"/>
      <c r="U541" s="10"/>
      <c r="V541" s="10"/>
      <c r="W541" s="10"/>
      <c r="X541" s="10"/>
      <c r="Y541" s="10"/>
      <c r="Z541" s="10"/>
    </row>
    <row r="542" ht="15.75" customHeight="1">
      <c r="A542" s="16"/>
      <c r="B542" s="10"/>
      <c r="C542" s="10"/>
      <c r="D542" s="10"/>
      <c r="E542" s="10"/>
      <c r="F542" s="10"/>
      <c r="G542" s="10"/>
      <c r="H542" s="73"/>
      <c r="I542" s="73"/>
      <c r="J542" s="73"/>
      <c r="K542" s="73"/>
      <c r="L542" s="73"/>
      <c r="M542" s="10"/>
      <c r="N542" s="10"/>
      <c r="O542" s="10"/>
      <c r="P542" s="10"/>
      <c r="Q542" s="10"/>
      <c r="R542" s="10"/>
      <c r="S542" s="10"/>
      <c r="T542" s="10"/>
      <c r="U542" s="10"/>
      <c r="V542" s="10"/>
      <c r="W542" s="10"/>
      <c r="X542" s="10"/>
      <c r="Y542" s="10"/>
      <c r="Z542" s="10"/>
    </row>
    <row r="543" ht="15.75" customHeight="1">
      <c r="A543" s="16"/>
      <c r="B543" s="10"/>
      <c r="C543" s="10"/>
      <c r="D543" s="10"/>
      <c r="E543" s="10"/>
      <c r="F543" s="10"/>
      <c r="G543" s="10"/>
      <c r="H543" s="73"/>
      <c r="I543" s="73"/>
      <c r="J543" s="73"/>
      <c r="K543" s="73"/>
      <c r="L543" s="73"/>
      <c r="M543" s="10"/>
      <c r="N543" s="10"/>
      <c r="O543" s="10"/>
      <c r="P543" s="10"/>
      <c r="Q543" s="10"/>
      <c r="R543" s="10"/>
      <c r="S543" s="10"/>
      <c r="T543" s="10"/>
      <c r="U543" s="10"/>
      <c r="V543" s="10"/>
      <c r="W543" s="10"/>
      <c r="X543" s="10"/>
      <c r="Y543" s="10"/>
      <c r="Z543" s="10"/>
    </row>
    <row r="544" ht="15.75" customHeight="1">
      <c r="A544" s="16"/>
      <c r="B544" s="10"/>
      <c r="C544" s="10"/>
      <c r="D544" s="10"/>
      <c r="E544" s="10"/>
      <c r="F544" s="10"/>
      <c r="G544" s="10"/>
      <c r="H544" s="73"/>
      <c r="I544" s="73"/>
      <c r="J544" s="73"/>
      <c r="K544" s="73"/>
      <c r="L544" s="73"/>
      <c r="M544" s="10"/>
      <c r="N544" s="10"/>
      <c r="O544" s="10"/>
      <c r="P544" s="10"/>
      <c r="Q544" s="10"/>
      <c r="R544" s="10"/>
      <c r="S544" s="10"/>
      <c r="T544" s="10"/>
      <c r="U544" s="10"/>
      <c r="V544" s="10"/>
      <c r="W544" s="10"/>
      <c r="X544" s="10"/>
      <c r="Y544" s="10"/>
      <c r="Z544" s="10"/>
    </row>
    <row r="545" ht="15.75" customHeight="1">
      <c r="A545" s="16"/>
      <c r="B545" s="10"/>
      <c r="C545" s="10"/>
      <c r="D545" s="10"/>
      <c r="E545" s="10"/>
      <c r="F545" s="10"/>
      <c r="G545" s="10"/>
      <c r="H545" s="73"/>
      <c r="I545" s="73"/>
      <c r="J545" s="73"/>
      <c r="K545" s="73"/>
      <c r="L545" s="73"/>
      <c r="M545" s="10"/>
      <c r="N545" s="10"/>
      <c r="O545" s="10"/>
      <c r="P545" s="10"/>
      <c r="Q545" s="10"/>
      <c r="R545" s="10"/>
      <c r="S545" s="10"/>
      <c r="T545" s="10"/>
      <c r="U545" s="10"/>
      <c r="V545" s="10"/>
      <c r="W545" s="10"/>
      <c r="X545" s="10"/>
      <c r="Y545" s="10"/>
      <c r="Z545" s="10"/>
    </row>
    <row r="546" ht="15.75" customHeight="1">
      <c r="A546" s="16"/>
      <c r="B546" s="10"/>
      <c r="C546" s="10"/>
      <c r="D546" s="10"/>
      <c r="E546" s="10"/>
      <c r="F546" s="10"/>
      <c r="G546" s="10"/>
      <c r="H546" s="73"/>
      <c r="I546" s="73"/>
      <c r="J546" s="73"/>
      <c r="K546" s="73"/>
      <c r="L546" s="73"/>
      <c r="M546" s="10"/>
      <c r="N546" s="10"/>
      <c r="O546" s="10"/>
      <c r="P546" s="10"/>
      <c r="Q546" s="10"/>
      <c r="R546" s="10"/>
      <c r="S546" s="10"/>
      <c r="T546" s="10"/>
      <c r="U546" s="10"/>
      <c r="V546" s="10"/>
      <c r="W546" s="10"/>
      <c r="X546" s="10"/>
      <c r="Y546" s="10"/>
      <c r="Z546" s="10"/>
    </row>
    <row r="547" ht="15.75" customHeight="1">
      <c r="A547" s="16"/>
      <c r="B547" s="10"/>
      <c r="C547" s="10"/>
      <c r="D547" s="10"/>
      <c r="E547" s="10"/>
      <c r="F547" s="10"/>
      <c r="G547" s="10"/>
      <c r="H547" s="73"/>
      <c r="I547" s="73"/>
      <c r="J547" s="73"/>
      <c r="K547" s="73"/>
      <c r="L547" s="73"/>
      <c r="M547" s="10"/>
      <c r="N547" s="10"/>
      <c r="O547" s="10"/>
      <c r="P547" s="10"/>
      <c r="Q547" s="10"/>
      <c r="R547" s="10"/>
      <c r="S547" s="10"/>
      <c r="T547" s="10"/>
      <c r="U547" s="10"/>
      <c r="V547" s="10"/>
      <c r="W547" s="10"/>
      <c r="X547" s="10"/>
      <c r="Y547" s="10"/>
      <c r="Z547" s="10"/>
    </row>
    <row r="548" ht="15.75" customHeight="1">
      <c r="A548" s="16"/>
      <c r="B548" s="10"/>
      <c r="C548" s="10"/>
      <c r="D548" s="10"/>
      <c r="E548" s="10"/>
      <c r="F548" s="10"/>
      <c r="G548" s="10"/>
      <c r="H548" s="73"/>
      <c r="I548" s="73"/>
      <c r="J548" s="73"/>
      <c r="K548" s="73"/>
      <c r="L548" s="73"/>
      <c r="M548" s="10"/>
      <c r="N548" s="10"/>
      <c r="O548" s="10"/>
      <c r="P548" s="10"/>
      <c r="Q548" s="10"/>
      <c r="R548" s="10"/>
      <c r="S548" s="10"/>
      <c r="T548" s="10"/>
      <c r="U548" s="10"/>
      <c r="V548" s="10"/>
      <c r="W548" s="10"/>
      <c r="X548" s="10"/>
      <c r="Y548" s="10"/>
      <c r="Z548" s="10"/>
    </row>
    <row r="549" ht="15.75" customHeight="1">
      <c r="A549" s="16"/>
      <c r="B549" s="10"/>
      <c r="C549" s="10"/>
      <c r="D549" s="10"/>
      <c r="E549" s="10"/>
      <c r="F549" s="10"/>
      <c r="G549" s="10"/>
      <c r="H549" s="73"/>
      <c r="I549" s="73"/>
      <c r="J549" s="73"/>
      <c r="K549" s="73"/>
      <c r="L549" s="73"/>
      <c r="M549" s="10"/>
      <c r="N549" s="10"/>
      <c r="O549" s="10"/>
      <c r="P549" s="10"/>
      <c r="Q549" s="10"/>
      <c r="R549" s="10"/>
      <c r="S549" s="10"/>
      <c r="T549" s="10"/>
      <c r="U549" s="10"/>
      <c r="V549" s="10"/>
      <c r="W549" s="10"/>
      <c r="X549" s="10"/>
      <c r="Y549" s="10"/>
      <c r="Z549" s="10"/>
    </row>
    <row r="550" ht="15.75" customHeight="1">
      <c r="A550" s="16"/>
      <c r="B550" s="10"/>
      <c r="C550" s="10"/>
      <c r="D550" s="10"/>
      <c r="E550" s="10"/>
      <c r="F550" s="10"/>
      <c r="G550" s="10"/>
      <c r="H550" s="73"/>
      <c r="I550" s="73"/>
      <c r="J550" s="73"/>
      <c r="K550" s="73"/>
      <c r="L550" s="73"/>
      <c r="M550" s="10"/>
      <c r="N550" s="10"/>
      <c r="O550" s="10"/>
      <c r="P550" s="10"/>
      <c r="Q550" s="10"/>
      <c r="R550" s="10"/>
      <c r="S550" s="10"/>
      <c r="T550" s="10"/>
      <c r="U550" s="10"/>
      <c r="V550" s="10"/>
      <c r="W550" s="10"/>
      <c r="X550" s="10"/>
      <c r="Y550" s="10"/>
      <c r="Z550" s="10"/>
    </row>
    <row r="551" ht="15.75" customHeight="1">
      <c r="A551" s="16"/>
      <c r="B551" s="10"/>
      <c r="C551" s="10"/>
      <c r="D551" s="10"/>
      <c r="E551" s="10"/>
      <c r="F551" s="10"/>
      <c r="G551" s="10"/>
      <c r="H551" s="73"/>
      <c r="I551" s="73"/>
      <c r="J551" s="73"/>
      <c r="K551" s="73"/>
      <c r="L551" s="73"/>
      <c r="M551" s="10"/>
      <c r="N551" s="10"/>
      <c r="O551" s="10"/>
      <c r="P551" s="10"/>
      <c r="Q551" s="10"/>
      <c r="R551" s="10"/>
      <c r="S551" s="10"/>
      <c r="T551" s="10"/>
      <c r="U551" s="10"/>
      <c r="V551" s="10"/>
      <c r="W551" s="10"/>
      <c r="X551" s="10"/>
      <c r="Y551" s="10"/>
      <c r="Z551" s="10"/>
    </row>
    <row r="552" ht="15.75" customHeight="1">
      <c r="A552" s="16"/>
      <c r="B552" s="10"/>
      <c r="C552" s="10"/>
      <c r="D552" s="10"/>
      <c r="E552" s="10"/>
      <c r="F552" s="10"/>
      <c r="G552" s="10"/>
      <c r="H552" s="73"/>
      <c r="I552" s="73"/>
      <c r="J552" s="73"/>
      <c r="K552" s="73"/>
      <c r="L552" s="73"/>
      <c r="M552" s="10"/>
      <c r="N552" s="10"/>
      <c r="O552" s="10"/>
      <c r="P552" s="10"/>
      <c r="Q552" s="10"/>
      <c r="R552" s="10"/>
      <c r="S552" s="10"/>
      <c r="T552" s="10"/>
      <c r="U552" s="10"/>
      <c r="V552" s="10"/>
      <c r="W552" s="10"/>
      <c r="X552" s="10"/>
      <c r="Y552" s="10"/>
      <c r="Z552" s="10"/>
    </row>
    <row r="553" ht="15.75" customHeight="1">
      <c r="A553" s="16"/>
      <c r="B553" s="10"/>
      <c r="C553" s="10"/>
      <c r="D553" s="10"/>
      <c r="E553" s="10"/>
      <c r="F553" s="10"/>
      <c r="G553" s="10"/>
      <c r="H553" s="73"/>
      <c r="I553" s="73"/>
      <c r="J553" s="73"/>
      <c r="K553" s="73"/>
      <c r="L553" s="73"/>
      <c r="M553" s="10"/>
      <c r="N553" s="10"/>
      <c r="O553" s="10"/>
      <c r="P553" s="10"/>
      <c r="Q553" s="10"/>
      <c r="R553" s="10"/>
      <c r="S553" s="10"/>
      <c r="T553" s="10"/>
      <c r="U553" s="10"/>
      <c r="V553" s="10"/>
      <c r="W553" s="10"/>
      <c r="X553" s="10"/>
      <c r="Y553" s="10"/>
      <c r="Z553" s="10"/>
    </row>
    <row r="554" ht="15.75" customHeight="1">
      <c r="A554" s="16"/>
      <c r="B554" s="10"/>
      <c r="C554" s="10"/>
      <c r="D554" s="10"/>
      <c r="E554" s="10"/>
      <c r="F554" s="10"/>
      <c r="G554" s="10"/>
      <c r="H554" s="73"/>
      <c r="I554" s="73"/>
      <c r="J554" s="73"/>
      <c r="K554" s="73"/>
      <c r="L554" s="73"/>
      <c r="M554" s="10"/>
      <c r="N554" s="10"/>
      <c r="O554" s="10"/>
      <c r="P554" s="10"/>
      <c r="Q554" s="10"/>
      <c r="R554" s="10"/>
      <c r="S554" s="10"/>
      <c r="T554" s="10"/>
      <c r="U554" s="10"/>
      <c r="V554" s="10"/>
      <c r="W554" s="10"/>
      <c r="X554" s="10"/>
      <c r="Y554" s="10"/>
      <c r="Z554" s="10"/>
    </row>
    <row r="555" ht="15.75" customHeight="1">
      <c r="A555" s="16"/>
      <c r="B555" s="10"/>
      <c r="C555" s="10"/>
      <c r="D555" s="10"/>
      <c r="E555" s="10"/>
      <c r="F555" s="10"/>
      <c r="G555" s="10"/>
      <c r="H555" s="73"/>
      <c r="I555" s="73"/>
      <c r="J555" s="73"/>
      <c r="K555" s="73"/>
      <c r="L555" s="73"/>
      <c r="M555" s="10"/>
      <c r="N555" s="10"/>
      <c r="O555" s="10"/>
      <c r="P555" s="10"/>
      <c r="Q555" s="10"/>
      <c r="R555" s="10"/>
      <c r="S555" s="10"/>
      <c r="T555" s="10"/>
      <c r="U555" s="10"/>
      <c r="V555" s="10"/>
      <c r="W555" s="10"/>
      <c r="X555" s="10"/>
      <c r="Y555" s="10"/>
      <c r="Z555" s="10"/>
    </row>
    <row r="556" ht="15.75" customHeight="1">
      <c r="A556" s="16"/>
      <c r="B556" s="10"/>
      <c r="C556" s="10"/>
      <c r="D556" s="10"/>
      <c r="E556" s="10"/>
      <c r="F556" s="10"/>
      <c r="G556" s="10"/>
      <c r="H556" s="73"/>
      <c r="I556" s="73"/>
      <c r="J556" s="73"/>
      <c r="K556" s="73"/>
      <c r="L556" s="73"/>
      <c r="M556" s="10"/>
      <c r="N556" s="10"/>
      <c r="O556" s="10"/>
      <c r="P556" s="10"/>
      <c r="Q556" s="10"/>
      <c r="R556" s="10"/>
      <c r="S556" s="10"/>
      <c r="T556" s="10"/>
      <c r="U556" s="10"/>
      <c r="V556" s="10"/>
      <c r="W556" s="10"/>
      <c r="X556" s="10"/>
      <c r="Y556" s="10"/>
      <c r="Z556" s="10"/>
    </row>
    <row r="557" ht="15.75" customHeight="1">
      <c r="A557" s="16"/>
      <c r="B557" s="10"/>
      <c r="C557" s="10"/>
      <c r="D557" s="10"/>
      <c r="E557" s="10"/>
      <c r="F557" s="10"/>
      <c r="G557" s="10"/>
      <c r="H557" s="73"/>
      <c r="I557" s="73"/>
      <c r="J557" s="73"/>
      <c r="K557" s="73"/>
      <c r="L557" s="73"/>
      <c r="M557" s="10"/>
      <c r="N557" s="10"/>
      <c r="O557" s="10"/>
      <c r="P557" s="10"/>
      <c r="Q557" s="10"/>
      <c r="R557" s="10"/>
      <c r="S557" s="10"/>
      <c r="T557" s="10"/>
      <c r="U557" s="10"/>
      <c r="V557" s="10"/>
      <c r="W557" s="10"/>
      <c r="X557" s="10"/>
      <c r="Y557" s="10"/>
      <c r="Z557" s="10"/>
    </row>
    <row r="558" ht="15.75" customHeight="1">
      <c r="A558" s="16"/>
      <c r="B558" s="10"/>
      <c r="C558" s="10"/>
      <c r="D558" s="10"/>
      <c r="E558" s="10"/>
      <c r="F558" s="10"/>
      <c r="G558" s="10"/>
      <c r="H558" s="73"/>
      <c r="I558" s="73"/>
      <c r="J558" s="73"/>
      <c r="K558" s="73"/>
      <c r="L558" s="73"/>
      <c r="M558" s="10"/>
      <c r="N558" s="10"/>
      <c r="O558" s="10"/>
      <c r="P558" s="10"/>
      <c r="Q558" s="10"/>
      <c r="R558" s="10"/>
      <c r="S558" s="10"/>
      <c r="T558" s="10"/>
      <c r="U558" s="10"/>
      <c r="V558" s="10"/>
      <c r="W558" s="10"/>
      <c r="X558" s="10"/>
      <c r="Y558" s="10"/>
      <c r="Z558" s="10"/>
    </row>
    <row r="559" ht="15.75" customHeight="1">
      <c r="A559" s="16"/>
      <c r="B559" s="10"/>
      <c r="C559" s="10"/>
      <c r="D559" s="10"/>
      <c r="E559" s="10"/>
      <c r="F559" s="10"/>
      <c r="G559" s="10"/>
      <c r="H559" s="73"/>
      <c r="I559" s="73"/>
      <c r="J559" s="73"/>
      <c r="K559" s="73"/>
      <c r="L559" s="73"/>
      <c r="M559" s="10"/>
      <c r="N559" s="10"/>
      <c r="O559" s="10"/>
      <c r="P559" s="10"/>
      <c r="Q559" s="10"/>
      <c r="R559" s="10"/>
      <c r="S559" s="10"/>
      <c r="T559" s="10"/>
      <c r="U559" s="10"/>
      <c r="V559" s="10"/>
      <c r="W559" s="10"/>
      <c r="X559" s="10"/>
      <c r="Y559" s="10"/>
      <c r="Z559" s="10"/>
    </row>
    <row r="560" ht="15.75" customHeight="1">
      <c r="A560" s="16"/>
      <c r="B560" s="10"/>
      <c r="C560" s="10"/>
      <c r="D560" s="10"/>
      <c r="E560" s="10"/>
      <c r="F560" s="10"/>
      <c r="G560" s="10"/>
      <c r="H560" s="73"/>
      <c r="I560" s="73"/>
      <c r="J560" s="73"/>
      <c r="K560" s="73"/>
      <c r="L560" s="73"/>
      <c r="M560" s="10"/>
      <c r="N560" s="10"/>
      <c r="O560" s="10"/>
      <c r="P560" s="10"/>
      <c r="Q560" s="10"/>
      <c r="R560" s="10"/>
      <c r="S560" s="10"/>
      <c r="T560" s="10"/>
      <c r="U560" s="10"/>
      <c r="V560" s="10"/>
      <c r="W560" s="10"/>
      <c r="X560" s="10"/>
      <c r="Y560" s="10"/>
      <c r="Z560" s="10"/>
    </row>
    <row r="561" ht="15.75" customHeight="1">
      <c r="A561" s="16"/>
      <c r="B561" s="10"/>
      <c r="C561" s="10"/>
      <c r="D561" s="10"/>
      <c r="E561" s="10"/>
      <c r="F561" s="10"/>
      <c r="G561" s="10"/>
      <c r="H561" s="73"/>
      <c r="I561" s="73"/>
      <c r="J561" s="73"/>
      <c r="K561" s="73"/>
      <c r="L561" s="73"/>
      <c r="M561" s="10"/>
      <c r="N561" s="10"/>
      <c r="O561" s="10"/>
      <c r="P561" s="10"/>
      <c r="Q561" s="10"/>
      <c r="R561" s="10"/>
      <c r="S561" s="10"/>
      <c r="T561" s="10"/>
      <c r="U561" s="10"/>
      <c r="V561" s="10"/>
      <c r="W561" s="10"/>
      <c r="X561" s="10"/>
      <c r="Y561" s="10"/>
      <c r="Z561" s="10"/>
    </row>
    <row r="562" ht="15.75" customHeight="1">
      <c r="A562" s="16"/>
      <c r="B562" s="10"/>
      <c r="C562" s="10"/>
      <c r="D562" s="10"/>
      <c r="E562" s="10"/>
      <c r="F562" s="10"/>
      <c r="G562" s="10"/>
      <c r="H562" s="73"/>
      <c r="I562" s="73"/>
      <c r="J562" s="73"/>
      <c r="K562" s="73"/>
      <c r="L562" s="73"/>
      <c r="M562" s="10"/>
      <c r="N562" s="10"/>
      <c r="O562" s="10"/>
      <c r="P562" s="10"/>
      <c r="Q562" s="10"/>
      <c r="R562" s="10"/>
      <c r="S562" s="10"/>
      <c r="T562" s="10"/>
      <c r="U562" s="10"/>
      <c r="V562" s="10"/>
      <c r="W562" s="10"/>
      <c r="X562" s="10"/>
      <c r="Y562" s="10"/>
      <c r="Z562" s="10"/>
    </row>
    <row r="563" ht="15.75" customHeight="1">
      <c r="A563" s="16"/>
      <c r="B563" s="10"/>
      <c r="C563" s="10"/>
      <c r="D563" s="10"/>
      <c r="E563" s="10"/>
      <c r="F563" s="10"/>
      <c r="G563" s="10"/>
      <c r="H563" s="73"/>
      <c r="I563" s="73"/>
      <c r="J563" s="73"/>
      <c r="K563" s="73"/>
      <c r="L563" s="73"/>
      <c r="M563" s="10"/>
      <c r="N563" s="10"/>
      <c r="O563" s="10"/>
      <c r="P563" s="10"/>
      <c r="Q563" s="10"/>
      <c r="R563" s="10"/>
      <c r="S563" s="10"/>
      <c r="T563" s="10"/>
      <c r="U563" s="10"/>
      <c r="V563" s="10"/>
      <c r="W563" s="10"/>
      <c r="X563" s="10"/>
      <c r="Y563" s="10"/>
      <c r="Z563" s="10"/>
    </row>
    <row r="564" ht="15.75" customHeight="1">
      <c r="A564" s="16"/>
      <c r="B564" s="10"/>
      <c r="C564" s="10"/>
      <c r="D564" s="10"/>
      <c r="E564" s="10"/>
      <c r="F564" s="10"/>
      <c r="G564" s="10"/>
      <c r="H564" s="73"/>
      <c r="I564" s="73"/>
      <c r="J564" s="73"/>
      <c r="K564" s="73"/>
      <c r="L564" s="73"/>
      <c r="M564" s="10"/>
      <c r="N564" s="10"/>
      <c r="O564" s="10"/>
      <c r="P564" s="10"/>
      <c r="Q564" s="10"/>
      <c r="R564" s="10"/>
      <c r="S564" s="10"/>
      <c r="T564" s="10"/>
      <c r="U564" s="10"/>
      <c r="V564" s="10"/>
      <c r="W564" s="10"/>
      <c r="X564" s="10"/>
      <c r="Y564" s="10"/>
      <c r="Z564" s="10"/>
    </row>
    <row r="565" ht="15.75" customHeight="1">
      <c r="A565" s="16"/>
      <c r="B565" s="10"/>
      <c r="C565" s="10"/>
      <c r="D565" s="10"/>
      <c r="E565" s="10"/>
      <c r="F565" s="10"/>
      <c r="G565" s="10"/>
      <c r="H565" s="73"/>
      <c r="I565" s="73"/>
      <c r="J565" s="73"/>
      <c r="K565" s="73"/>
      <c r="L565" s="73"/>
      <c r="M565" s="10"/>
      <c r="N565" s="10"/>
      <c r="O565" s="10"/>
      <c r="P565" s="10"/>
      <c r="Q565" s="10"/>
      <c r="R565" s="10"/>
      <c r="S565" s="10"/>
      <c r="T565" s="10"/>
      <c r="U565" s="10"/>
      <c r="V565" s="10"/>
      <c r="W565" s="10"/>
      <c r="X565" s="10"/>
      <c r="Y565" s="10"/>
      <c r="Z565" s="10"/>
    </row>
    <row r="566" ht="15.75" customHeight="1">
      <c r="A566" s="16"/>
      <c r="B566" s="10"/>
      <c r="C566" s="10"/>
      <c r="D566" s="10"/>
      <c r="E566" s="10"/>
      <c r="F566" s="10"/>
      <c r="G566" s="10"/>
      <c r="H566" s="73"/>
      <c r="I566" s="73"/>
      <c r="J566" s="73"/>
      <c r="K566" s="73"/>
      <c r="L566" s="73"/>
      <c r="M566" s="10"/>
      <c r="N566" s="10"/>
      <c r="O566" s="10"/>
      <c r="P566" s="10"/>
      <c r="Q566" s="10"/>
      <c r="R566" s="10"/>
      <c r="S566" s="10"/>
      <c r="T566" s="10"/>
      <c r="U566" s="10"/>
      <c r="V566" s="10"/>
      <c r="W566" s="10"/>
      <c r="X566" s="10"/>
      <c r="Y566" s="10"/>
      <c r="Z566" s="10"/>
    </row>
    <row r="567" ht="15.75" customHeight="1">
      <c r="A567" s="16"/>
      <c r="B567" s="10"/>
      <c r="C567" s="10"/>
      <c r="D567" s="10"/>
      <c r="E567" s="10"/>
      <c r="F567" s="10"/>
      <c r="G567" s="10"/>
      <c r="H567" s="73"/>
      <c r="I567" s="73"/>
      <c r="J567" s="73"/>
      <c r="K567" s="73"/>
      <c r="L567" s="73"/>
      <c r="M567" s="10"/>
      <c r="N567" s="10"/>
      <c r="O567" s="10"/>
      <c r="P567" s="10"/>
      <c r="Q567" s="10"/>
      <c r="R567" s="10"/>
      <c r="S567" s="10"/>
      <c r="T567" s="10"/>
      <c r="U567" s="10"/>
      <c r="V567" s="10"/>
      <c r="W567" s="10"/>
      <c r="X567" s="10"/>
      <c r="Y567" s="10"/>
      <c r="Z567" s="10"/>
    </row>
    <row r="568" ht="15.75" customHeight="1">
      <c r="A568" s="16"/>
      <c r="B568" s="10"/>
      <c r="C568" s="10"/>
      <c r="D568" s="10"/>
      <c r="E568" s="10"/>
      <c r="F568" s="10"/>
      <c r="G568" s="10"/>
      <c r="H568" s="73"/>
      <c r="I568" s="73"/>
      <c r="J568" s="73"/>
      <c r="K568" s="73"/>
      <c r="L568" s="73"/>
      <c r="M568" s="10"/>
      <c r="N568" s="10"/>
      <c r="O568" s="10"/>
      <c r="P568" s="10"/>
      <c r="Q568" s="10"/>
      <c r="R568" s="10"/>
      <c r="S568" s="10"/>
      <c r="T568" s="10"/>
      <c r="U568" s="10"/>
      <c r="V568" s="10"/>
      <c r="W568" s="10"/>
      <c r="X568" s="10"/>
      <c r="Y568" s="10"/>
      <c r="Z568" s="10"/>
    </row>
    <row r="569" ht="15.75" customHeight="1">
      <c r="A569" s="16"/>
      <c r="B569" s="10"/>
      <c r="C569" s="10"/>
      <c r="D569" s="10"/>
      <c r="E569" s="10"/>
      <c r="F569" s="10"/>
      <c r="G569" s="10"/>
      <c r="H569" s="73"/>
      <c r="I569" s="73"/>
      <c r="J569" s="73"/>
      <c r="K569" s="73"/>
      <c r="L569" s="73"/>
      <c r="M569" s="10"/>
      <c r="N569" s="10"/>
      <c r="O569" s="10"/>
      <c r="P569" s="10"/>
      <c r="Q569" s="10"/>
      <c r="R569" s="10"/>
      <c r="S569" s="10"/>
      <c r="T569" s="10"/>
      <c r="U569" s="10"/>
      <c r="V569" s="10"/>
      <c r="W569" s="10"/>
      <c r="X569" s="10"/>
      <c r="Y569" s="10"/>
      <c r="Z569" s="10"/>
    </row>
    <row r="570" ht="15.75" customHeight="1">
      <c r="A570" s="16"/>
      <c r="B570" s="10"/>
      <c r="C570" s="10"/>
      <c r="D570" s="10"/>
      <c r="E570" s="10"/>
      <c r="F570" s="10"/>
      <c r="G570" s="10"/>
      <c r="H570" s="73"/>
      <c r="I570" s="73"/>
      <c r="J570" s="73"/>
      <c r="K570" s="73"/>
      <c r="L570" s="73"/>
      <c r="M570" s="10"/>
      <c r="N570" s="10"/>
      <c r="O570" s="10"/>
      <c r="P570" s="10"/>
      <c r="Q570" s="10"/>
      <c r="R570" s="10"/>
      <c r="S570" s="10"/>
      <c r="T570" s="10"/>
      <c r="U570" s="10"/>
      <c r="V570" s="10"/>
      <c r="W570" s="10"/>
      <c r="X570" s="10"/>
      <c r="Y570" s="10"/>
      <c r="Z570" s="10"/>
    </row>
    <row r="571" ht="15.75" customHeight="1">
      <c r="A571" s="16"/>
      <c r="B571" s="10"/>
      <c r="C571" s="10"/>
      <c r="D571" s="10"/>
      <c r="E571" s="10"/>
      <c r="F571" s="10"/>
      <c r="G571" s="10"/>
      <c r="H571" s="73"/>
      <c r="I571" s="73"/>
      <c r="J571" s="73"/>
      <c r="K571" s="73"/>
      <c r="L571" s="73"/>
      <c r="M571" s="10"/>
      <c r="N571" s="10"/>
      <c r="O571" s="10"/>
      <c r="P571" s="10"/>
      <c r="Q571" s="10"/>
      <c r="R571" s="10"/>
      <c r="S571" s="10"/>
      <c r="T571" s="10"/>
      <c r="U571" s="10"/>
      <c r="V571" s="10"/>
      <c r="W571" s="10"/>
      <c r="X571" s="10"/>
      <c r="Y571" s="10"/>
      <c r="Z571" s="10"/>
    </row>
    <row r="572" ht="15.75" customHeight="1">
      <c r="A572" s="16"/>
      <c r="B572" s="10"/>
      <c r="C572" s="10"/>
      <c r="D572" s="10"/>
      <c r="E572" s="10"/>
      <c r="F572" s="10"/>
      <c r="G572" s="10"/>
      <c r="H572" s="73"/>
      <c r="I572" s="73"/>
      <c r="J572" s="73"/>
      <c r="K572" s="73"/>
      <c r="L572" s="73"/>
      <c r="M572" s="10"/>
      <c r="N572" s="10"/>
      <c r="O572" s="10"/>
      <c r="P572" s="10"/>
      <c r="Q572" s="10"/>
      <c r="R572" s="10"/>
      <c r="S572" s="10"/>
      <c r="T572" s="10"/>
      <c r="U572" s="10"/>
      <c r="V572" s="10"/>
      <c r="W572" s="10"/>
      <c r="X572" s="10"/>
      <c r="Y572" s="10"/>
      <c r="Z572" s="10"/>
    </row>
    <row r="573" ht="15.75" customHeight="1">
      <c r="A573" s="16"/>
      <c r="B573" s="10"/>
      <c r="C573" s="10"/>
      <c r="D573" s="10"/>
      <c r="E573" s="10"/>
      <c r="F573" s="10"/>
      <c r="G573" s="10"/>
      <c r="H573" s="73"/>
      <c r="I573" s="73"/>
      <c r="J573" s="73"/>
      <c r="K573" s="73"/>
      <c r="L573" s="73"/>
      <c r="M573" s="10"/>
      <c r="N573" s="10"/>
      <c r="O573" s="10"/>
      <c r="P573" s="10"/>
      <c r="Q573" s="10"/>
      <c r="R573" s="10"/>
      <c r="S573" s="10"/>
      <c r="T573" s="10"/>
      <c r="U573" s="10"/>
      <c r="V573" s="10"/>
      <c r="W573" s="10"/>
      <c r="X573" s="10"/>
      <c r="Y573" s="10"/>
      <c r="Z573" s="10"/>
    </row>
    <row r="574" ht="15.75" customHeight="1">
      <c r="A574" s="16"/>
      <c r="B574" s="10"/>
      <c r="C574" s="10"/>
      <c r="D574" s="10"/>
      <c r="E574" s="10"/>
      <c r="F574" s="10"/>
      <c r="G574" s="10"/>
      <c r="H574" s="73"/>
      <c r="I574" s="73"/>
      <c r="J574" s="73"/>
      <c r="K574" s="73"/>
      <c r="L574" s="73"/>
      <c r="M574" s="10"/>
      <c r="N574" s="10"/>
      <c r="O574" s="10"/>
      <c r="P574" s="10"/>
      <c r="Q574" s="10"/>
      <c r="R574" s="10"/>
      <c r="S574" s="10"/>
      <c r="T574" s="10"/>
      <c r="U574" s="10"/>
      <c r="V574" s="10"/>
      <c r="W574" s="10"/>
      <c r="X574" s="10"/>
      <c r="Y574" s="10"/>
      <c r="Z574" s="10"/>
    </row>
    <row r="575" ht="15.75" customHeight="1">
      <c r="A575" s="16"/>
      <c r="B575" s="10"/>
      <c r="C575" s="10"/>
      <c r="D575" s="10"/>
      <c r="E575" s="10"/>
      <c r="F575" s="10"/>
      <c r="G575" s="10"/>
      <c r="H575" s="73"/>
      <c r="I575" s="73"/>
      <c r="J575" s="73"/>
      <c r="K575" s="73"/>
      <c r="L575" s="73"/>
      <c r="M575" s="10"/>
      <c r="N575" s="10"/>
      <c r="O575" s="10"/>
      <c r="P575" s="10"/>
      <c r="Q575" s="10"/>
      <c r="R575" s="10"/>
      <c r="S575" s="10"/>
      <c r="T575" s="10"/>
      <c r="U575" s="10"/>
      <c r="V575" s="10"/>
      <c r="W575" s="10"/>
      <c r="X575" s="10"/>
      <c r="Y575" s="10"/>
      <c r="Z575" s="10"/>
    </row>
    <row r="576" ht="15.75" customHeight="1">
      <c r="A576" s="16"/>
      <c r="B576" s="10"/>
      <c r="C576" s="10"/>
      <c r="D576" s="10"/>
      <c r="E576" s="10"/>
      <c r="F576" s="10"/>
      <c r="G576" s="10"/>
      <c r="H576" s="73"/>
      <c r="I576" s="73"/>
      <c r="J576" s="73"/>
      <c r="K576" s="73"/>
      <c r="L576" s="73"/>
      <c r="M576" s="10"/>
      <c r="N576" s="10"/>
      <c r="O576" s="10"/>
      <c r="P576" s="10"/>
      <c r="Q576" s="10"/>
      <c r="R576" s="10"/>
      <c r="S576" s="10"/>
      <c r="T576" s="10"/>
      <c r="U576" s="10"/>
      <c r="V576" s="10"/>
      <c r="W576" s="10"/>
      <c r="X576" s="10"/>
      <c r="Y576" s="10"/>
      <c r="Z576" s="10"/>
    </row>
    <row r="577" ht="15.75" customHeight="1">
      <c r="A577" s="16"/>
      <c r="B577" s="10"/>
      <c r="C577" s="10"/>
      <c r="D577" s="10"/>
      <c r="E577" s="10"/>
      <c r="F577" s="10"/>
      <c r="G577" s="10"/>
      <c r="H577" s="73"/>
      <c r="I577" s="73"/>
      <c r="J577" s="73"/>
      <c r="K577" s="73"/>
      <c r="L577" s="73"/>
      <c r="M577" s="10"/>
      <c r="N577" s="10"/>
      <c r="O577" s="10"/>
      <c r="P577" s="10"/>
      <c r="Q577" s="10"/>
      <c r="R577" s="10"/>
      <c r="S577" s="10"/>
      <c r="T577" s="10"/>
      <c r="U577" s="10"/>
      <c r="V577" s="10"/>
      <c r="W577" s="10"/>
      <c r="X577" s="10"/>
      <c r="Y577" s="10"/>
      <c r="Z577" s="10"/>
    </row>
    <row r="578" ht="15.75" customHeight="1">
      <c r="A578" s="16"/>
      <c r="B578" s="10"/>
      <c r="C578" s="10"/>
      <c r="D578" s="10"/>
      <c r="E578" s="10"/>
      <c r="F578" s="10"/>
      <c r="G578" s="10"/>
      <c r="H578" s="73"/>
      <c r="I578" s="73"/>
      <c r="J578" s="73"/>
      <c r="K578" s="73"/>
      <c r="L578" s="73"/>
      <c r="M578" s="10"/>
      <c r="N578" s="10"/>
      <c r="O578" s="10"/>
      <c r="P578" s="10"/>
      <c r="Q578" s="10"/>
      <c r="R578" s="10"/>
      <c r="S578" s="10"/>
      <c r="T578" s="10"/>
      <c r="U578" s="10"/>
      <c r="V578" s="10"/>
      <c r="W578" s="10"/>
      <c r="X578" s="10"/>
      <c r="Y578" s="10"/>
      <c r="Z578" s="10"/>
    </row>
    <row r="579" ht="15.75" customHeight="1">
      <c r="A579" s="16"/>
      <c r="B579" s="10"/>
      <c r="C579" s="10"/>
      <c r="D579" s="10"/>
      <c r="E579" s="10"/>
      <c r="F579" s="10"/>
      <c r="G579" s="10"/>
      <c r="H579" s="73"/>
      <c r="I579" s="73"/>
      <c r="J579" s="73"/>
      <c r="K579" s="73"/>
      <c r="L579" s="73"/>
      <c r="M579" s="10"/>
      <c r="N579" s="10"/>
      <c r="O579" s="10"/>
      <c r="P579" s="10"/>
      <c r="Q579" s="10"/>
      <c r="R579" s="10"/>
      <c r="S579" s="10"/>
      <c r="T579" s="10"/>
      <c r="U579" s="10"/>
      <c r="V579" s="10"/>
      <c r="W579" s="10"/>
      <c r="X579" s="10"/>
      <c r="Y579" s="10"/>
      <c r="Z579" s="10"/>
    </row>
    <row r="580" ht="15.75" customHeight="1">
      <c r="A580" s="16"/>
      <c r="B580" s="10"/>
      <c r="C580" s="10"/>
      <c r="D580" s="10"/>
      <c r="E580" s="10"/>
      <c r="F580" s="10"/>
      <c r="G580" s="10"/>
      <c r="H580" s="73"/>
      <c r="I580" s="73"/>
      <c r="J580" s="73"/>
      <c r="K580" s="73"/>
      <c r="L580" s="73"/>
      <c r="M580" s="10"/>
      <c r="N580" s="10"/>
      <c r="O580" s="10"/>
      <c r="P580" s="10"/>
      <c r="Q580" s="10"/>
      <c r="R580" s="10"/>
      <c r="S580" s="10"/>
      <c r="T580" s="10"/>
      <c r="U580" s="10"/>
      <c r="V580" s="10"/>
      <c r="W580" s="10"/>
      <c r="X580" s="10"/>
      <c r="Y580" s="10"/>
      <c r="Z580" s="10"/>
    </row>
    <row r="581" ht="15.75" customHeight="1">
      <c r="A581" s="16"/>
      <c r="B581" s="10"/>
      <c r="C581" s="10"/>
      <c r="D581" s="10"/>
      <c r="E581" s="10"/>
      <c r="F581" s="10"/>
      <c r="G581" s="10"/>
      <c r="H581" s="73"/>
      <c r="I581" s="73"/>
      <c r="J581" s="73"/>
      <c r="K581" s="73"/>
      <c r="L581" s="73"/>
      <c r="M581" s="10"/>
      <c r="N581" s="10"/>
      <c r="O581" s="10"/>
      <c r="P581" s="10"/>
      <c r="Q581" s="10"/>
      <c r="R581" s="10"/>
      <c r="S581" s="10"/>
      <c r="T581" s="10"/>
      <c r="U581" s="10"/>
      <c r="V581" s="10"/>
      <c r="W581" s="10"/>
      <c r="X581" s="10"/>
      <c r="Y581" s="10"/>
      <c r="Z581" s="10"/>
    </row>
    <row r="582" ht="15.75" customHeight="1">
      <c r="A582" s="16"/>
      <c r="B582" s="10"/>
      <c r="C582" s="10"/>
      <c r="D582" s="10"/>
      <c r="E582" s="10"/>
      <c r="F582" s="10"/>
      <c r="G582" s="10"/>
      <c r="H582" s="73"/>
      <c r="I582" s="73"/>
      <c r="J582" s="73"/>
      <c r="K582" s="73"/>
      <c r="L582" s="73"/>
      <c r="M582" s="10"/>
      <c r="N582" s="10"/>
      <c r="O582" s="10"/>
      <c r="P582" s="10"/>
      <c r="Q582" s="10"/>
      <c r="R582" s="10"/>
      <c r="S582" s="10"/>
      <c r="T582" s="10"/>
      <c r="U582" s="10"/>
      <c r="V582" s="10"/>
      <c r="W582" s="10"/>
      <c r="X582" s="10"/>
      <c r="Y582" s="10"/>
      <c r="Z582" s="10"/>
    </row>
    <row r="583" ht="15.75" customHeight="1">
      <c r="A583" s="16"/>
      <c r="B583" s="10"/>
      <c r="C583" s="10"/>
      <c r="D583" s="10"/>
      <c r="E583" s="10"/>
      <c r="F583" s="10"/>
      <c r="G583" s="10"/>
      <c r="H583" s="73"/>
      <c r="I583" s="73"/>
      <c r="J583" s="73"/>
      <c r="K583" s="73"/>
      <c r="L583" s="73"/>
      <c r="M583" s="10"/>
      <c r="N583" s="10"/>
      <c r="O583" s="10"/>
      <c r="P583" s="10"/>
      <c r="Q583" s="10"/>
      <c r="R583" s="10"/>
      <c r="S583" s="10"/>
      <c r="T583" s="10"/>
      <c r="U583" s="10"/>
      <c r="V583" s="10"/>
      <c r="W583" s="10"/>
      <c r="X583" s="10"/>
      <c r="Y583" s="10"/>
      <c r="Z583" s="10"/>
    </row>
    <row r="584" ht="15.75" customHeight="1">
      <c r="A584" s="16"/>
      <c r="B584" s="10"/>
      <c r="C584" s="10"/>
      <c r="D584" s="10"/>
      <c r="E584" s="10"/>
      <c r="F584" s="10"/>
      <c r="G584" s="10"/>
      <c r="H584" s="73"/>
      <c r="I584" s="73"/>
      <c r="J584" s="73"/>
      <c r="K584" s="73"/>
      <c r="L584" s="73"/>
      <c r="M584" s="10"/>
      <c r="N584" s="10"/>
      <c r="O584" s="10"/>
      <c r="P584" s="10"/>
      <c r="Q584" s="10"/>
      <c r="R584" s="10"/>
      <c r="S584" s="10"/>
      <c r="T584" s="10"/>
      <c r="U584" s="10"/>
      <c r="V584" s="10"/>
      <c r="W584" s="10"/>
      <c r="X584" s="10"/>
      <c r="Y584" s="10"/>
      <c r="Z584" s="10"/>
    </row>
    <row r="585" ht="15.75" customHeight="1">
      <c r="A585" s="16"/>
      <c r="B585" s="10"/>
      <c r="C585" s="10"/>
      <c r="D585" s="10"/>
      <c r="E585" s="10"/>
      <c r="F585" s="10"/>
      <c r="G585" s="10"/>
      <c r="H585" s="73"/>
      <c r="I585" s="73"/>
      <c r="J585" s="73"/>
      <c r="K585" s="73"/>
      <c r="L585" s="73"/>
      <c r="M585" s="10"/>
      <c r="N585" s="10"/>
      <c r="O585" s="10"/>
      <c r="P585" s="10"/>
      <c r="Q585" s="10"/>
      <c r="R585" s="10"/>
      <c r="S585" s="10"/>
      <c r="T585" s="10"/>
      <c r="U585" s="10"/>
      <c r="V585" s="10"/>
      <c r="W585" s="10"/>
      <c r="X585" s="10"/>
      <c r="Y585" s="10"/>
      <c r="Z585" s="10"/>
    </row>
    <row r="586" ht="15.75" customHeight="1">
      <c r="A586" s="16"/>
      <c r="B586" s="10"/>
      <c r="C586" s="10"/>
      <c r="D586" s="10"/>
      <c r="E586" s="10"/>
      <c r="F586" s="10"/>
      <c r="G586" s="10"/>
      <c r="H586" s="73"/>
      <c r="I586" s="73"/>
      <c r="J586" s="73"/>
      <c r="K586" s="73"/>
      <c r="L586" s="73"/>
      <c r="M586" s="10"/>
      <c r="N586" s="10"/>
      <c r="O586" s="10"/>
      <c r="P586" s="10"/>
      <c r="Q586" s="10"/>
      <c r="R586" s="10"/>
      <c r="S586" s="10"/>
      <c r="T586" s="10"/>
      <c r="U586" s="10"/>
      <c r="V586" s="10"/>
      <c r="W586" s="10"/>
      <c r="X586" s="10"/>
      <c r="Y586" s="10"/>
      <c r="Z586" s="10"/>
    </row>
    <row r="587" ht="15.75" customHeight="1">
      <c r="A587" s="16"/>
      <c r="B587" s="10"/>
      <c r="C587" s="10"/>
      <c r="D587" s="10"/>
      <c r="E587" s="10"/>
      <c r="F587" s="10"/>
      <c r="G587" s="10"/>
      <c r="H587" s="73"/>
      <c r="I587" s="73"/>
      <c r="J587" s="73"/>
      <c r="K587" s="73"/>
      <c r="L587" s="73"/>
      <c r="M587" s="10"/>
      <c r="N587" s="10"/>
      <c r="O587" s="10"/>
      <c r="P587" s="10"/>
      <c r="Q587" s="10"/>
      <c r="R587" s="10"/>
      <c r="S587" s="10"/>
      <c r="T587" s="10"/>
      <c r="U587" s="10"/>
      <c r="V587" s="10"/>
      <c r="W587" s="10"/>
      <c r="X587" s="10"/>
      <c r="Y587" s="10"/>
      <c r="Z587" s="10"/>
    </row>
    <row r="588" ht="15.75" customHeight="1">
      <c r="A588" s="16"/>
      <c r="B588" s="10"/>
      <c r="C588" s="10"/>
      <c r="D588" s="10"/>
      <c r="E588" s="10"/>
      <c r="F588" s="10"/>
      <c r="G588" s="10"/>
      <c r="H588" s="73"/>
      <c r="I588" s="73"/>
      <c r="J588" s="73"/>
      <c r="K588" s="73"/>
      <c r="L588" s="73"/>
      <c r="M588" s="10"/>
      <c r="N588" s="10"/>
      <c r="O588" s="10"/>
      <c r="P588" s="10"/>
      <c r="Q588" s="10"/>
      <c r="R588" s="10"/>
      <c r="S588" s="10"/>
      <c r="T588" s="10"/>
      <c r="U588" s="10"/>
      <c r="V588" s="10"/>
      <c r="W588" s="10"/>
      <c r="X588" s="10"/>
      <c r="Y588" s="10"/>
      <c r="Z588" s="10"/>
    </row>
    <row r="589" ht="15.75" customHeight="1">
      <c r="A589" s="16"/>
      <c r="B589" s="10"/>
      <c r="C589" s="10"/>
      <c r="D589" s="10"/>
      <c r="E589" s="10"/>
      <c r="F589" s="10"/>
      <c r="G589" s="10"/>
      <c r="H589" s="73"/>
      <c r="I589" s="73"/>
      <c r="J589" s="73"/>
      <c r="K589" s="73"/>
      <c r="L589" s="73"/>
      <c r="M589" s="10"/>
      <c r="N589" s="10"/>
      <c r="O589" s="10"/>
      <c r="P589" s="10"/>
      <c r="Q589" s="10"/>
      <c r="R589" s="10"/>
      <c r="S589" s="10"/>
      <c r="T589" s="10"/>
      <c r="U589" s="10"/>
      <c r="V589" s="10"/>
      <c r="W589" s="10"/>
      <c r="X589" s="10"/>
      <c r="Y589" s="10"/>
      <c r="Z589" s="10"/>
    </row>
    <row r="590" ht="15.75" customHeight="1">
      <c r="A590" s="16"/>
      <c r="B590" s="10"/>
      <c r="C590" s="10"/>
      <c r="D590" s="10"/>
      <c r="E590" s="10"/>
      <c r="F590" s="10"/>
      <c r="G590" s="10"/>
      <c r="H590" s="73"/>
      <c r="I590" s="73"/>
      <c r="J590" s="73"/>
      <c r="K590" s="73"/>
      <c r="L590" s="73"/>
      <c r="M590" s="10"/>
      <c r="N590" s="10"/>
      <c r="O590" s="10"/>
      <c r="P590" s="10"/>
      <c r="Q590" s="10"/>
      <c r="R590" s="10"/>
      <c r="S590" s="10"/>
      <c r="T590" s="10"/>
      <c r="U590" s="10"/>
      <c r="V590" s="10"/>
      <c r="W590" s="10"/>
      <c r="X590" s="10"/>
      <c r="Y590" s="10"/>
      <c r="Z590" s="10"/>
    </row>
    <row r="591" ht="15.75" customHeight="1">
      <c r="A591" s="16"/>
      <c r="B591" s="10"/>
      <c r="C591" s="10"/>
      <c r="D591" s="10"/>
      <c r="E591" s="10"/>
      <c r="F591" s="10"/>
      <c r="G591" s="10"/>
      <c r="H591" s="73"/>
      <c r="I591" s="73"/>
      <c r="J591" s="73"/>
      <c r="K591" s="73"/>
      <c r="L591" s="73"/>
      <c r="M591" s="10"/>
      <c r="N591" s="10"/>
      <c r="O591" s="10"/>
      <c r="P591" s="10"/>
      <c r="Q591" s="10"/>
      <c r="R591" s="10"/>
      <c r="S591" s="10"/>
      <c r="T591" s="10"/>
      <c r="U591" s="10"/>
      <c r="V591" s="10"/>
      <c r="W591" s="10"/>
      <c r="X591" s="10"/>
      <c r="Y591" s="10"/>
      <c r="Z591" s="10"/>
    </row>
    <row r="592" ht="15.75" customHeight="1">
      <c r="A592" s="16"/>
      <c r="B592" s="10"/>
      <c r="C592" s="10"/>
      <c r="D592" s="10"/>
      <c r="E592" s="10"/>
      <c r="F592" s="10"/>
      <c r="G592" s="10"/>
      <c r="H592" s="73"/>
      <c r="I592" s="73"/>
      <c r="J592" s="73"/>
      <c r="K592" s="73"/>
      <c r="L592" s="73"/>
      <c r="M592" s="10"/>
      <c r="N592" s="10"/>
      <c r="O592" s="10"/>
      <c r="P592" s="10"/>
      <c r="Q592" s="10"/>
      <c r="R592" s="10"/>
      <c r="S592" s="10"/>
      <c r="T592" s="10"/>
      <c r="U592" s="10"/>
      <c r="V592" s="10"/>
      <c r="W592" s="10"/>
      <c r="X592" s="10"/>
      <c r="Y592" s="10"/>
      <c r="Z592" s="10"/>
    </row>
    <row r="593" ht="15.75" customHeight="1">
      <c r="A593" s="16"/>
      <c r="B593" s="10"/>
      <c r="C593" s="10"/>
      <c r="D593" s="10"/>
      <c r="E593" s="10"/>
      <c r="F593" s="10"/>
      <c r="G593" s="10"/>
      <c r="H593" s="73"/>
      <c r="I593" s="73"/>
      <c r="J593" s="73"/>
      <c r="K593" s="73"/>
      <c r="L593" s="73"/>
      <c r="M593" s="10"/>
      <c r="N593" s="10"/>
      <c r="O593" s="10"/>
      <c r="P593" s="10"/>
      <c r="Q593" s="10"/>
      <c r="R593" s="10"/>
      <c r="S593" s="10"/>
      <c r="T593" s="10"/>
      <c r="U593" s="10"/>
      <c r="V593" s="10"/>
      <c r="W593" s="10"/>
      <c r="X593" s="10"/>
      <c r="Y593" s="10"/>
      <c r="Z593" s="10"/>
    </row>
    <row r="594" ht="15.75" customHeight="1">
      <c r="A594" s="16"/>
      <c r="B594" s="10"/>
      <c r="C594" s="10"/>
      <c r="D594" s="10"/>
      <c r="E594" s="10"/>
      <c r="F594" s="10"/>
      <c r="G594" s="10"/>
      <c r="H594" s="73"/>
      <c r="I594" s="73"/>
      <c r="J594" s="73"/>
      <c r="K594" s="73"/>
      <c r="L594" s="73"/>
      <c r="M594" s="10"/>
      <c r="N594" s="10"/>
      <c r="O594" s="10"/>
      <c r="P594" s="10"/>
      <c r="Q594" s="10"/>
      <c r="R594" s="10"/>
      <c r="S594" s="10"/>
      <c r="T594" s="10"/>
      <c r="U594" s="10"/>
      <c r="V594" s="10"/>
      <c r="W594" s="10"/>
      <c r="X594" s="10"/>
      <c r="Y594" s="10"/>
      <c r="Z594" s="10"/>
    </row>
    <row r="595" ht="15.75" customHeight="1">
      <c r="A595" s="16"/>
      <c r="B595" s="10"/>
      <c r="C595" s="10"/>
      <c r="D595" s="10"/>
      <c r="E595" s="10"/>
      <c r="F595" s="10"/>
      <c r="G595" s="10"/>
      <c r="H595" s="73"/>
      <c r="I595" s="73"/>
      <c r="J595" s="73"/>
      <c r="K595" s="73"/>
      <c r="L595" s="73"/>
      <c r="M595" s="10"/>
      <c r="N595" s="10"/>
      <c r="O595" s="10"/>
      <c r="P595" s="10"/>
      <c r="Q595" s="10"/>
      <c r="R595" s="10"/>
      <c r="S595" s="10"/>
      <c r="T595" s="10"/>
      <c r="U595" s="10"/>
      <c r="V595" s="10"/>
      <c r="W595" s="10"/>
      <c r="X595" s="10"/>
      <c r="Y595" s="10"/>
      <c r="Z595" s="10"/>
    </row>
    <row r="596" ht="15.75" customHeight="1">
      <c r="A596" s="16"/>
      <c r="B596" s="10"/>
      <c r="C596" s="10"/>
      <c r="D596" s="10"/>
      <c r="E596" s="10"/>
      <c r="F596" s="10"/>
      <c r="G596" s="10"/>
      <c r="H596" s="73"/>
      <c r="I596" s="73"/>
      <c r="J596" s="73"/>
      <c r="K596" s="73"/>
      <c r="L596" s="73"/>
      <c r="M596" s="10"/>
      <c r="N596" s="10"/>
      <c r="O596" s="10"/>
      <c r="P596" s="10"/>
      <c r="Q596" s="10"/>
      <c r="R596" s="10"/>
      <c r="S596" s="10"/>
      <c r="T596" s="10"/>
      <c r="U596" s="10"/>
      <c r="V596" s="10"/>
      <c r="W596" s="10"/>
      <c r="X596" s="10"/>
      <c r="Y596" s="10"/>
      <c r="Z596" s="10"/>
    </row>
    <row r="597" ht="15.75" customHeight="1">
      <c r="A597" s="16"/>
      <c r="B597" s="10"/>
      <c r="C597" s="10"/>
      <c r="D597" s="10"/>
      <c r="E597" s="10"/>
      <c r="F597" s="10"/>
      <c r="G597" s="10"/>
      <c r="H597" s="73"/>
      <c r="I597" s="73"/>
      <c r="J597" s="73"/>
      <c r="K597" s="73"/>
      <c r="L597" s="73"/>
      <c r="M597" s="10"/>
      <c r="N597" s="10"/>
      <c r="O597" s="10"/>
      <c r="P597" s="10"/>
      <c r="Q597" s="10"/>
      <c r="R597" s="10"/>
      <c r="S597" s="10"/>
      <c r="T597" s="10"/>
      <c r="U597" s="10"/>
      <c r="V597" s="10"/>
      <c r="W597" s="10"/>
      <c r="X597" s="10"/>
      <c r="Y597" s="10"/>
      <c r="Z597" s="10"/>
    </row>
    <row r="598" ht="15.75" customHeight="1">
      <c r="A598" s="16"/>
      <c r="B598" s="10"/>
      <c r="C598" s="10"/>
      <c r="D598" s="10"/>
      <c r="E598" s="10"/>
      <c r="F598" s="10"/>
      <c r="G598" s="10"/>
      <c r="H598" s="73"/>
      <c r="I598" s="73"/>
      <c r="J598" s="73"/>
      <c r="K598" s="73"/>
      <c r="L598" s="73"/>
      <c r="M598" s="10"/>
      <c r="N598" s="10"/>
      <c r="O598" s="10"/>
      <c r="P598" s="10"/>
      <c r="Q598" s="10"/>
      <c r="R598" s="10"/>
      <c r="S598" s="10"/>
      <c r="T598" s="10"/>
      <c r="U598" s="10"/>
      <c r="V598" s="10"/>
      <c r="W598" s="10"/>
      <c r="X598" s="10"/>
      <c r="Y598" s="10"/>
      <c r="Z598" s="10"/>
    </row>
    <row r="599" ht="15.75" customHeight="1">
      <c r="A599" s="16"/>
      <c r="B599" s="10"/>
      <c r="C599" s="10"/>
      <c r="D599" s="10"/>
      <c r="E599" s="10"/>
      <c r="F599" s="10"/>
      <c r="G599" s="10"/>
      <c r="H599" s="73"/>
      <c r="I599" s="73"/>
      <c r="J599" s="73"/>
      <c r="K599" s="73"/>
      <c r="L599" s="73"/>
      <c r="M599" s="10"/>
      <c r="N599" s="10"/>
      <c r="O599" s="10"/>
      <c r="P599" s="10"/>
      <c r="Q599" s="10"/>
      <c r="R599" s="10"/>
      <c r="S599" s="10"/>
      <c r="T599" s="10"/>
      <c r="U599" s="10"/>
      <c r="V599" s="10"/>
      <c r="W599" s="10"/>
      <c r="X599" s="10"/>
      <c r="Y599" s="10"/>
      <c r="Z599" s="10"/>
    </row>
    <row r="600" ht="15.75" customHeight="1">
      <c r="A600" s="16"/>
      <c r="B600" s="10"/>
      <c r="C600" s="10"/>
      <c r="D600" s="10"/>
      <c r="E600" s="10"/>
      <c r="F600" s="10"/>
      <c r="G600" s="10"/>
      <c r="H600" s="73"/>
      <c r="I600" s="73"/>
      <c r="J600" s="73"/>
      <c r="K600" s="73"/>
      <c r="L600" s="73"/>
      <c r="M600" s="10"/>
      <c r="N600" s="10"/>
      <c r="O600" s="10"/>
      <c r="P600" s="10"/>
      <c r="Q600" s="10"/>
      <c r="R600" s="10"/>
      <c r="S600" s="10"/>
      <c r="T600" s="10"/>
      <c r="U600" s="10"/>
      <c r="V600" s="10"/>
      <c r="W600" s="10"/>
      <c r="X600" s="10"/>
      <c r="Y600" s="10"/>
      <c r="Z600" s="10"/>
    </row>
    <row r="601" ht="15.75" customHeight="1">
      <c r="A601" s="16"/>
      <c r="B601" s="10"/>
      <c r="C601" s="10"/>
      <c r="D601" s="10"/>
      <c r="E601" s="10"/>
      <c r="F601" s="10"/>
      <c r="G601" s="10"/>
      <c r="H601" s="73"/>
      <c r="I601" s="73"/>
      <c r="J601" s="73"/>
      <c r="K601" s="73"/>
      <c r="L601" s="73"/>
      <c r="M601" s="10"/>
      <c r="N601" s="10"/>
      <c r="O601" s="10"/>
      <c r="P601" s="10"/>
      <c r="Q601" s="10"/>
      <c r="R601" s="10"/>
      <c r="S601" s="10"/>
      <c r="T601" s="10"/>
      <c r="U601" s="10"/>
      <c r="V601" s="10"/>
      <c r="W601" s="10"/>
      <c r="X601" s="10"/>
      <c r="Y601" s="10"/>
      <c r="Z601" s="10"/>
    </row>
    <row r="602" ht="15.75" customHeight="1">
      <c r="A602" s="16"/>
      <c r="B602" s="10"/>
      <c r="C602" s="10"/>
      <c r="D602" s="10"/>
      <c r="E602" s="10"/>
      <c r="F602" s="10"/>
      <c r="G602" s="10"/>
      <c r="H602" s="73"/>
      <c r="I602" s="73"/>
      <c r="J602" s="73"/>
      <c r="K602" s="73"/>
      <c r="L602" s="73"/>
      <c r="M602" s="10"/>
      <c r="N602" s="10"/>
      <c r="O602" s="10"/>
      <c r="P602" s="10"/>
      <c r="Q602" s="10"/>
      <c r="R602" s="10"/>
      <c r="S602" s="10"/>
      <c r="T602" s="10"/>
      <c r="U602" s="10"/>
      <c r="V602" s="10"/>
      <c r="W602" s="10"/>
      <c r="X602" s="10"/>
      <c r="Y602" s="10"/>
      <c r="Z602" s="10"/>
    </row>
    <row r="603" ht="15.75" customHeight="1">
      <c r="A603" s="16"/>
      <c r="B603" s="10"/>
      <c r="C603" s="10"/>
      <c r="D603" s="10"/>
      <c r="E603" s="10"/>
      <c r="F603" s="10"/>
      <c r="G603" s="10"/>
      <c r="H603" s="73"/>
      <c r="I603" s="73"/>
      <c r="J603" s="73"/>
      <c r="K603" s="73"/>
      <c r="L603" s="73"/>
      <c r="M603" s="10"/>
      <c r="N603" s="10"/>
      <c r="O603" s="10"/>
      <c r="P603" s="10"/>
      <c r="Q603" s="10"/>
      <c r="R603" s="10"/>
      <c r="S603" s="10"/>
      <c r="T603" s="10"/>
      <c r="U603" s="10"/>
      <c r="V603" s="10"/>
      <c r="W603" s="10"/>
      <c r="X603" s="10"/>
      <c r="Y603" s="10"/>
      <c r="Z603" s="10"/>
    </row>
    <row r="604" ht="15.75" customHeight="1">
      <c r="A604" s="16"/>
      <c r="B604" s="10"/>
      <c r="C604" s="10"/>
      <c r="D604" s="10"/>
      <c r="E604" s="10"/>
      <c r="F604" s="10"/>
      <c r="G604" s="10"/>
      <c r="H604" s="73"/>
      <c r="I604" s="73"/>
      <c r="J604" s="73"/>
      <c r="K604" s="73"/>
      <c r="L604" s="73"/>
      <c r="M604" s="10"/>
      <c r="N604" s="10"/>
      <c r="O604" s="10"/>
      <c r="P604" s="10"/>
      <c r="Q604" s="10"/>
      <c r="R604" s="10"/>
      <c r="S604" s="10"/>
      <c r="T604" s="10"/>
      <c r="U604" s="10"/>
      <c r="V604" s="10"/>
      <c r="W604" s="10"/>
      <c r="X604" s="10"/>
      <c r="Y604" s="10"/>
      <c r="Z604" s="10"/>
    </row>
    <row r="605" ht="15.75" customHeight="1">
      <c r="A605" s="16"/>
      <c r="B605" s="10"/>
      <c r="C605" s="10"/>
      <c r="D605" s="10"/>
      <c r="E605" s="10"/>
      <c r="F605" s="10"/>
      <c r="G605" s="10"/>
      <c r="H605" s="73"/>
      <c r="I605" s="73"/>
      <c r="J605" s="73"/>
      <c r="K605" s="73"/>
      <c r="L605" s="73"/>
      <c r="M605" s="10"/>
      <c r="N605" s="10"/>
      <c r="O605" s="10"/>
      <c r="P605" s="10"/>
      <c r="Q605" s="10"/>
      <c r="R605" s="10"/>
      <c r="S605" s="10"/>
      <c r="T605" s="10"/>
      <c r="U605" s="10"/>
      <c r="V605" s="10"/>
      <c r="W605" s="10"/>
      <c r="X605" s="10"/>
      <c r="Y605" s="10"/>
      <c r="Z605" s="10"/>
    </row>
    <row r="606" ht="15.75" customHeight="1">
      <c r="A606" s="16"/>
      <c r="B606" s="10"/>
      <c r="C606" s="10"/>
      <c r="D606" s="10"/>
      <c r="E606" s="10"/>
      <c r="F606" s="10"/>
      <c r="G606" s="10"/>
      <c r="H606" s="73"/>
      <c r="I606" s="73"/>
      <c r="J606" s="73"/>
      <c r="K606" s="73"/>
      <c r="L606" s="73"/>
      <c r="M606" s="10"/>
      <c r="N606" s="10"/>
      <c r="O606" s="10"/>
      <c r="P606" s="10"/>
      <c r="Q606" s="10"/>
      <c r="R606" s="10"/>
      <c r="S606" s="10"/>
      <c r="T606" s="10"/>
      <c r="U606" s="10"/>
      <c r="V606" s="10"/>
      <c r="W606" s="10"/>
      <c r="X606" s="10"/>
      <c r="Y606" s="10"/>
      <c r="Z606" s="10"/>
    </row>
    <row r="607" ht="15.75" customHeight="1">
      <c r="A607" s="16"/>
      <c r="B607" s="10"/>
      <c r="C607" s="10"/>
      <c r="D607" s="10"/>
      <c r="E607" s="10"/>
      <c r="F607" s="10"/>
      <c r="G607" s="10"/>
      <c r="H607" s="73"/>
      <c r="I607" s="73"/>
      <c r="J607" s="73"/>
      <c r="K607" s="73"/>
      <c r="L607" s="73"/>
      <c r="M607" s="10"/>
      <c r="N607" s="10"/>
      <c r="O607" s="10"/>
      <c r="P607" s="10"/>
      <c r="Q607" s="10"/>
      <c r="R607" s="10"/>
      <c r="S607" s="10"/>
      <c r="T607" s="10"/>
      <c r="U607" s="10"/>
      <c r="V607" s="10"/>
      <c r="W607" s="10"/>
      <c r="X607" s="10"/>
      <c r="Y607" s="10"/>
      <c r="Z607" s="10"/>
    </row>
    <row r="608" ht="15.75" customHeight="1">
      <c r="A608" s="16"/>
      <c r="B608" s="10"/>
      <c r="C608" s="10"/>
      <c r="D608" s="10"/>
      <c r="E608" s="10"/>
      <c r="F608" s="10"/>
      <c r="G608" s="10"/>
      <c r="H608" s="73"/>
      <c r="I608" s="73"/>
      <c r="J608" s="73"/>
      <c r="K608" s="73"/>
      <c r="L608" s="73"/>
      <c r="M608" s="10"/>
      <c r="N608" s="10"/>
      <c r="O608" s="10"/>
      <c r="P608" s="10"/>
      <c r="Q608" s="10"/>
      <c r="R608" s="10"/>
      <c r="S608" s="10"/>
      <c r="T608" s="10"/>
      <c r="U608" s="10"/>
      <c r="V608" s="10"/>
      <c r="W608" s="10"/>
      <c r="X608" s="10"/>
      <c r="Y608" s="10"/>
      <c r="Z608" s="10"/>
    </row>
    <row r="609" ht="15.75" customHeight="1">
      <c r="A609" s="16"/>
      <c r="B609" s="10"/>
      <c r="C609" s="10"/>
      <c r="D609" s="10"/>
      <c r="E609" s="10"/>
      <c r="F609" s="10"/>
      <c r="G609" s="10"/>
      <c r="H609" s="73"/>
      <c r="I609" s="73"/>
      <c r="J609" s="73"/>
      <c r="K609" s="73"/>
      <c r="L609" s="73"/>
      <c r="M609" s="10"/>
      <c r="N609" s="10"/>
      <c r="O609" s="10"/>
      <c r="P609" s="10"/>
      <c r="Q609" s="10"/>
      <c r="R609" s="10"/>
      <c r="S609" s="10"/>
      <c r="T609" s="10"/>
      <c r="U609" s="10"/>
      <c r="V609" s="10"/>
      <c r="W609" s="10"/>
      <c r="X609" s="10"/>
      <c r="Y609" s="10"/>
      <c r="Z609" s="10"/>
    </row>
    <row r="610" ht="15.75" customHeight="1">
      <c r="A610" s="16"/>
      <c r="B610" s="10"/>
      <c r="C610" s="10"/>
      <c r="D610" s="10"/>
      <c r="E610" s="10"/>
      <c r="F610" s="10"/>
      <c r="G610" s="10"/>
      <c r="H610" s="73"/>
      <c r="I610" s="73"/>
      <c r="J610" s="73"/>
      <c r="K610" s="73"/>
      <c r="L610" s="73"/>
      <c r="M610" s="10"/>
      <c r="N610" s="10"/>
      <c r="O610" s="10"/>
      <c r="P610" s="10"/>
      <c r="Q610" s="10"/>
      <c r="R610" s="10"/>
      <c r="S610" s="10"/>
      <c r="T610" s="10"/>
      <c r="U610" s="10"/>
      <c r="V610" s="10"/>
      <c r="W610" s="10"/>
      <c r="X610" s="10"/>
      <c r="Y610" s="10"/>
      <c r="Z610" s="10"/>
    </row>
    <row r="611" ht="15.75" customHeight="1">
      <c r="A611" s="16"/>
      <c r="B611" s="10"/>
      <c r="C611" s="10"/>
      <c r="D611" s="10"/>
      <c r="E611" s="10"/>
      <c r="F611" s="10"/>
      <c r="G611" s="10"/>
      <c r="H611" s="73"/>
      <c r="I611" s="73"/>
      <c r="J611" s="73"/>
      <c r="K611" s="73"/>
      <c r="L611" s="73"/>
      <c r="M611" s="10"/>
      <c r="N611" s="10"/>
      <c r="O611" s="10"/>
      <c r="P611" s="10"/>
      <c r="Q611" s="10"/>
      <c r="R611" s="10"/>
      <c r="S611" s="10"/>
      <c r="T611" s="10"/>
      <c r="U611" s="10"/>
      <c r="V611" s="10"/>
      <c r="W611" s="10"/>
      <c r="X611" s="10"/>
      <c r="Y611" s="10"/>
      <c r="Z611" s="10"/>
    </row>
    <row r="612" ht="15.75" customHeight="1">
      <c r="A612" s="16"/>
      <c r="B612" s="10"/>
      <c r="C612" s="10"/>
      <c r="D612" s="10"/>
      <c r="E612" s="10"/>
      <c r="F612" s="10"/>
      <c r="G612" s="10"/>
      <c r="H612" s="73"/>
      <c r="I612" s="73"/>
      <c r="J612" s="73"/>
      <c r="K612" s="73"/>
      <c r="L612" s="73"/>
      <c r="M612" s="10"/>
      <c r="N612" s="10"/>
      <c r="O612" s="10"/>
      <c r="P612" s="10"/>
      <c r="Q612" s="10"/>
      <c r="R612" s="10"/>
      <c r="S612" s="10"/>
      <c r="T612" s="10"/>
      <c r="U612" s="10"/>
      <c r="V612" s="10"/>
      <c r="W612" s="10"/>
      <c r="X612" s="10"/>
      <c r="Y612" s="10"/>
      <c r="Z612" s="10"/>
    </row>
    <row r="613" ht="15.75" customHeight="1">
      <c r="A613" s="16"/>
      <c r="B613" s="10"/>
      <c r="C613" s="10"/>
      <c r="D613" s="10"/>
      <c r="E613" s="10"/>
      <c r="F613" s="10"/>
      <c r="G613" s="10"/>
      <c r="H613" s="73"/>
      <c r="I613" s="73"/>
      <c r="J613" s="73"/>
      <c r="K613" s="73"/>
      <c r="L613" s="73"/>
      <c r="M613" s="10"/>
      <c r="N613" s="10"/>
      <c r="O613" s="10"/>
      <c r="P613" s="10"/>
      <c r="Q613" s="10"/>
      <c r="R613" s="10"/>
      <c r="S613" s="10"/>
      <c r="T613" s="10"/>
      <c r="U613" s="10"/>
      <c r="V613" s="10"/>
      <c r="W613" s="10"/>
      <c r="X613" s="10"/>
      <c r="Y613" s="10"/>
      <c r="Z613" s="10"/>
    </row>
    <row r="614" ht="15.75" customHeight="1">
      <c r="A614" s="16"/>
      <c r="B614" s="10"/>
      <c r="C614" s="10"/>
      <c r="D614" s="10"/>
      <c r="E614" s="10"/>
      <c r="F614" s="10"/>
      <c r="G614" s="10"/>
      <c r="H614" s="73"/>
      <c r="I614" s="73"/>
      <c r="J614" s="73"/>
      <c r="K614" s="73"/>
      <c r="L614" s="73"/>
      <c r="M614" s="10"/>
      <c r="N614" s="10"/>
      <c r="O614" s="10"/>
      <c r="P614" s="10"/>
      <c r="Q614" s="10"/>
      <c r="R614" s="10"/>
      <c r="S614" s="10"/>
      <c r="T614" s="10"/>
      <c r="U614" s="10"/>
      <c r="V614" s="10"/>
      <c r="W614" s="10"/>
      <c r="X614" s="10"/>
      <c r="Y614" s="10"/>
      <c r="Z614" s="10"/>
    </row>
    <row r="615" ht="15.75" customHeight="1">
      <c r="A615" s="16"/>
      <c r="B615" s="10"/>
      <c r="C615" s="10"/>
      <c r="D615" s="10"/>
      <c r="E615" s="10"/>
      <c r="F615" s="10"/>
      <c r="G615" s="10"/>
      <c r="H615" s="73"/>
      <c r="I615" s="73"/>
      <c r="J615" s="73"/>
      <c r="K615" s="73"/>
      <c r="L615" s="73"/>
      <c r="M615" s="10"/>
      <c r="N615" s="10"/>
      <c r="O615" s="10"/>
      <c r="P615" s="10"/>
      <c r="Q615" s="10"/>
      <c r="R615" s="10"/>
      <c r="S615" s="10"/>
      <c r="T615" s="10"/>
      <c r="U615" s="10"/>
      <c r="V615" s="10"/>
      <c r="W615" s="10"/>
      <c r="X615" s="10"/>
      <c r="Y615" s="10"/>
      <c r="Z615" s="10"/>
    </row>
    <row r="616" ht="15.75" customHeight="1">
      <c r="A616" s="16"/>
      <c r="B616" s="10"/>
      <c r="C616" s="10"/>
      <c r="D616" s="10"/>
      <c r="E616" s="10"/>
      <c r="F616" s="10"/>
      <c r="G616" s="10"/>
      <c r="H616" s="73"/>
      <c r="I616" s="73"/>
      <c r="J616" s="73"/>
      <c r="K616" s="73"/>
      <c r="L616" s="73"/>
      <c r="M616" s="10"/>
      <c r="N616" s="10"/>
      <c r="O616" s="10"/>
      <c r="P616" s="10"/>
      <c r="Q616" s="10"/>
      <c r="R616" s="10"/>
      <c r="S616" s="10"/>
      <c r="T616" s="10"/>
      <c r="U616" s="10"/>
      <c r="V616" s="10"/>
      <c r="W616" s="10"/>
      <c r="X616" s="10"/>
      <c r="Y616" s="10"/>
      <c r="Z616" s="10"/>
    </row>
    <row r="617" ht="15.75" customHeight="1">
      <c r="A617" s="16"/>
      <c r="B617" s="10"/>
      <c r="C617" s="10"/>
      <c r="D617" s="10"/>
      <c r="E617" s="10"/>
      <c r="F617" s="10"/>
      <c r="G617" s="10"/>
      <c r="H617" s="73"/>
      <c r="I617" s="73"/>
      <c r="J617" s="73"/>
      <c r="K617" s="73"/>
      <c r="L617" s="73"/>
      <c r="M617" s="10"/>
      <c r="N617" s="10"/>
      <c r="O617" s="10"/>
      <c r="P617" s="10"/>
      <c r="Q617" s="10"/>
      <c r="R617" s="10"/>
      <c r="S617" s="10"/>
      <c r="T617" s="10"/>
      <c r="U617" s="10"/>
      <c r="V617" s="10"/>
      <c r="W617" s="10"/>
      <c r="X617" s="10"/>
      <c r="Y617" s="10"/>
      <c r="Z617" s="10"/>
    </row>
    <row r="618" ht="15.75" customHeight="1">
      <c r="A618" s="16"/>
      <c r="B618" s="10"/>
      <c r="C618" s="10"/>
      <c r="D618" s="10"/>
      <c r="E618" s="10"/>
      <c r="F618" s="10"/>
      <c r="G618" s="10"/>
      <c r="H618" s="73"/>
      <c r="I618" s="73"/>
      <c r="J618" s="73"/>
      <c r="K618" s="73"/>
      <c r="L618" s="73"/>
      <c r="M618" s="10"/>
      <c r="N618" s="10"/>
      <c r="O618" s="10"/>
      <c r="P618" s="10"/>
      <c r="Q618" s="10"/>
      <c r="R618" s="10"/>
      <c r="S618" s="10"/>
      <c r="T618" s="10"/>
      <c r="U618" s="10"/>
      <c r="V618" s="10"/>
      <c r="W618" s="10"/>
      <c r="X618" s="10"/>
      <c r="Y618" s="10"/>
      <c r="Z618" s="10"/>
    </row>
    <row r="619" ht="15.75" customHeight="1">
      <c r="A619" s="16"/>
      <c r="B619" s="10"/>
      <c r="C619" s="10"/>
      <c r="D619" s="10"/>
      <c r="E619" s="10"/>
      <c r="F619" s="10"/>
      <c r="G619" s="10"/>
      <c r="H619" s="73"/>
      <c r="I619" s="73"/>
      <c r="J619" s="73"/>
      <c r="K619" s="73"/>
      <c r="L619" s="73"/>
      <c r="M619" s="10"/>
      <c r="N619" s="10"/>
      <c r="O619" s="10"/>
      <c r="P619" s="10"/>
      <c r="Q619" s="10"/>
      <c r="R619" s="10"/>
      <c r="S619" s="10"/>
      <c r="T619" s="10"/>
      <c r="U619" s="10"/>
      <c r="V619" s="10"/>
      <c r="W619" s="10"/>
      <c r="X619" s="10"/>
      <c r="Y619" s="10"/>
      <c r="Z619" s="10"/>
    </row>
    <row r="620" ht="15.75" customHeight="1">
      <c r="A620" s="16"/>
      <c r="B620" s="10"/>
      <c r="C620" s="10"/>
      <c r="D620" s="10"/>
      <c r="E620" s="10"/>
      <c r="F620" s="10"/>
      <c r="G620" s="10"/>
      <c r="H620" s="73"/>
      <c r="I620" s="73"/>
      <c r="J620" s="73"/>
      <c r="K620" s="73"/>
      <c r="L620" s="73"/>
      <c r="M620" s="10"/>
      <c r="N620" s="10"/>
      <c r="O620" s="10"/>
      <c r="P620" s="10"/>
      <c r="Q620" s="10"/>
      <c r="R620" s="10"/>
      <c r="S620" s="10"/>
      <c r="T620" s="10"/>
      <c r="U620" s="10"/>
      <c r="V620" s="10"/>
      <c r="W620" s="10"/>
      <c r="X620" s="10"/>
      <c r="Y620" s="10"/>
      <c r="Z620" s="10"/>
    </row>
    <row r="621" ht="15.75" customHeight="1">
      <c r="A621" s="16"/>
      <c r="B621" s="10"/>
      <c r="C621" s="10"/>
      <c r="D621" s="10"/>
      <c r="E621" s="10"/>
      <c r="F621" s="10"/>
      <c r="G621" s="10"/>
      <c r="H621" s="73"/>
      <c r="I621" s="73"/>
      <c r="J621" s="73"/>
      <c r="K621" s="73"/>
      <c r="L621" s="73"/>
      <c r="M621" s="10"/>
      <c r="N621" s="10"/>
      <c r="O621" s="10"/>
      <c r="P621" s="10"/>
      <c r="Q621" s="10"/>
      <c r="R621" s="10"/>
      <c r="S621" s="10"/>
      <c r="T621" s="10"/>
      <c r="U621" s="10"/>
      <c r="V621" s="10"/>
      <c r="W621" s="10"/>
      <c r="X621" s="10"/>
      <c r="Y621" s="10"/>
      <c r="Z621" s="10"/>
    </row>
    <row r="622" ht="15.75" customHeight="1">
      <c r="A622" s="16"/>
      <c r="B622" s="10"/>
      <c r="C622" s="10"/>
      <c r="D622" s="10"/>
      <c r="E622" s="10"/>
      <c r="F622" s="10"/>
      <c r="G622" s="10"/>
      <c r="H622" s="73"/>
      <c r="I622" s="73"/>
      <c r="J622" s="73"/>
      <c r="K622" s="73"/>
      <c r="L622" s="73"/>
      <c r="M622" s="10"/>
      <c r="N622" s="10"/>
      <c r="O622" s="10"/>
      <c r="P622" s="10"/>
      <c r="Q622" s="10"/>
      <c r="R622" s="10"/>
      <c r="S622" s="10"/>
      <c r="T622" s="10"/>
      <c r="U622" s="10"/>
      <c r="V622" s="10"/>
      <c r="W622" s="10"/>
      <c r="X622" s="10"/>
      <c r="Y622" s="10"/>
      <c r="Z622" s="10"/>
    </row>
    <row r="623" ht="15.75" customHeight="1">
      <c r="A623" s="16"/>
      <c r="B623" s="10"/>
      <c r="C623" s="10"/>
      <c r="D623" s="10"/>
      <c r="E623" s="10"/>
      <c r="F623" s="10"/>
      <c r="G623" s="10"/>
      <c r="H623" s="73"/>
      <c r="I623" s="73"/>
      <c r="J623" s="73"/>
      <c r="K623" s="73"/>
      <c r="L623" s="73"/>
      <c r="M623" s="10"/>
      <c r="N623" s="10"/>
      <c r="O623" s="10"/>
      <c r="P623" s="10"/>
      <c r="Q623" s="10"/>
      <c r="R623" s="10"/>
      <c r="S623" s="10"/>
      <c r="T623" s="10"/>
      <c r="U623" s="10"/>
      <c r="V623" s="10"/>
      <c r="W623" s="10"/>
      <c r="X623" s="10"/>
      <c r="Y623" s="10"/>
      <c r="Z623" s="10"/>
    </row>
    <row r="624" ht="15.75" customHeight="1">
      <c r="A624" s="16"/>
      <c r="B624" s="10"/>
      <c r="C624" s="10"/>
      <c r="D624" s="10"/>
      <c r="E624" s="10"/>
      <c r="F624" s="10"/>
      <c r="G624" s="10"/>
      <c r="H624" s="73"/>
      <c r="I624" s="73"/>
      <c r="J624" s="73"/>
      <c r="K624" s="73"/>
      <c r="L624" s="73"/>
      <c r="M624" s="10"/>
      <c r="N624" s="10"/>
      <c r="O624" s="10"/>
      <c r="P624" s="10"/>
      <c r="Q624" s="10"/>
      <c r="R624" s="10"/>
      <c r="S624" s="10"/>
      <c r="T624" s="10"/>
      <c r="U624" s="10"/>
      <c r="V624" s="10"/>
      <c r="W624" s="10"/>
      <c r="X624" s="10"/>
      <c r="Y624" s="10"/>
      <c r="Z624" s="10"/>
    </row>
    <row r="625" ht="15.75" customHeight="1">
      <c r="A625" s="16"/>
      <c r="B625" s="10"/>
      <c r="C625" s="10"/>
      <c r="D625" s="10"/>
      <c r="E625" s="10"/>
      <c r="F625" s="10"/>
      <c r="G625" s="10"/>
      <c r="H625" s="73"/>
      <c r="I625" s="73"/>
      <c r="J625" s="73"/>
      <c r="K625" s="73"/>
      <c r="L625" s="73"/>
      <c r="M625" s="10"/>
      <c r="N625" s="10"/>
      <c r="O625" s="10"/>
      <c r="P625" s="10"/>
      <c r="Q625" s="10"/>
      <c r="R625" s="10"/>
      <c r="S625" s="10"/>
      <c r="T625" s="10"/>
      <c r="U625" s="10"/>
      <c r="V625" s="10"/>
      <c r="W625" s="10"/>
      <c r="X625" s="10"/>
      <c r="Y625" s="10"/>
      <c r="Z625" s="10"/>
    </row>
    <row r="626" ht="15.75" customHeight="1">
      <c r="A626" s="16"/>
      <c r="B626" s="10"/>
      <c r="C626" s="10"/>
      <c r="D626" s="10"/>
      <c r="E626" s="10"/>
      <c r="F626" s="10"/>
      <c r="G626" s="10"/>
      <c r="H626" s="73"/>
      <c r="I626" s="73"/>
      <c r="J626" s="73"/>
      <c r="K626" s="73"/>
      <c r="L626" s="73"/>
      <c r="M626" s="10"/>
      <c r="N626" s="10"/>
      <c r="O626" s="10"/>
      <c r="P626" s="10"/>
      <c r="Q626" s="10"/>
      <c r="R626" s="10"/>
      <c r="S626" s="10"/>
      <c r="T626" s="10"/>
      <c r="U626" s="10"/>
      <c r="V626" s="10"/>
      <c r="W626" s="10"/>
      <c r="X626" s="10"/>
      <c r="Y626" s="10"/>
      <c r="Z626" s="10"/>
    </row>
    <row r="627" ht="15.75" customHeight="1">
      <c r="A627" s="16"/>
      <c r="B627" s="10"/>
      <c r="C627" s="10"/>
      <c r="D627" s="10"/>
      <c r="E627" s="10"/>
      <c r="F627" s="10"/>
      <c r="G627" s="10"/>
      <c r="H627" s="73"/>
      <c r="I627" s="73"/>
      <c r="J627" s="73"/>
      <c r="K627" s="73"/>
      <c r="L627" s="73"/>
      <c r="M627" s="10"/>
      <c r="N627" s="10"/>
      <c r="O627" s="10"/>
      <c r="P627" s="10"/>
      <c r="Q627" s="10"/>
      <c r="R627" s="10"/>
      <c r="S627" s="10"/>
      <c r="T627" s="10"/>
      <c r="U627" s="10"/>
      <c r="V627" s="10"/>
      <c r="W627" s="10"/>
      <c r="X627" s="10"/>
      <c r="Y627" s="10"/>
      <c r="Z627" s="10"/>
    </row>
    <row r="628" ht="15.75" customHeight="1">
      <c r="A628" s="16"/>
      <c r="B628" s="10"/>
      <c r="C628" s="10"/>
      <c r="D628" s="10"/>
      <c r="E628" s="10"/>
      <c r="F628" s="10"/>
      <c r="G628" s="10"/>
      <c r="H628" s="73"/>
      <c r="I628" s="73"/>
      <c r="J628" s="73"/>
      <c r="K628" s="73"/>
      <c r="L628" s="73"/>
      <c r="M628" s="10"/>
      <c r="N628" s="10"/>
      <c r="O628" s="10"/>
      <c r="P628" s="10"/>
      <c r="Q628" s="10"/>
      <c r="R628" s="10"/>
      <c r="S628" s="10"/>
      <c r="T628" s="10"/>
      <c r="U628" s="10"/>
      <c r="V628" s="10"/>
      <c r="W628" s="10"/>
      <c r="X628" s="10"/>
      <c r="Y628" s="10"/>
      <c r="Z628" s="10"/>
    </row>
    <row r="629" ht="15.75" customHeight="1">
      <c r="A629" s="16"/>
      <c r="B629" s="10"/>
      <c r="C629" s="10"/>
      <c r="D629" s="10"/>
      <c r="E629" s="10"/>
      <c r="F629" s="10"/>
      <c r="G629" s="10"/>
      <c r="H629" s="73"/>
      <c r="I629" s="73"/>
      <c r="J629" s="73"/>
      <c r="K629" s="73"/>
      <c r="L629" s="73"/>
      <c r="M629" s="10"/>
      <c r="N629" s="10"/>
      <c r="O629" s="10"/>
      <c r="P629" s="10"/>
      <c r="Q629" s="10"/>
      <c r="R629" s="10"/>
      <c r="S629" s="10"/>
      <c r="T629" s="10"/>
      <c r="U629" s="10"/>
      <c r="V629" s="10"/>
      <c r="W629" s="10"/>
      <c r="X629" s="10"/>
      <c r="Y629" s="10"/>
      <c r="Z629" s="10"/>
    </row>
    <row r="630" ht="15.75" customHeight="1">
      <c r="A630" s="16"/>
      <c r="B630" s="10"/>
      <c r="C630" s="10"/>
      <c r="D630" s="10"/>
      <c r="E630" s="10"/>
      <c r="F630" s="10"/>
      <c r="G630" s="10"/>
      <c r="H630" s="73"/>
      <c r="I630" s="73"/>
      <c r="J630" s="73"/>
      <c r="K630" s="73"/>
      <c r="L630" s="73"/>
      <c r="M630" s="10"/>
      <c r="N630" s="10"/>
      <c r="O630" s="10"/>
      <c r="P630" s="10"/>
      <c r="Q630" s="10"/>
      <c r="R630" s="10"/>
      <c r="S630" s="10"/>
      <c r="T630" s="10"/>
      <c r="U630" s="10"/>
      <c r="V630" s="10"/>
      <c r="W630" s="10"/>
      <c r="X630" s="10"/>
      <c r="Y630" s="10"/>
      <c r="Z630" s="10"/>
    </row>
    <row r="631" ht="15.75" customHeight="1">
      <c r="A631" s="16"/>
      <c r="B631" s="10"/>
      <c r="C631" s="10"/>
      <c r="D631" s="10"/>
      <c r="E631" s="10"/>
      <c r="F631" s="10"/>
      <c r="G631" s="10"/>
      <c r="H631" s="73"/>
      <c r="I631" s="73"/>
      <c r="J631" s="73"/>
      <c r="K631" s="73"/>
      <c r="L631" s="73"/>
      <c r="M631" s="10"/>
      <c r="N631" s="10"/>
      <c r="O631" s="10"/>
      <c r="P631" s="10"/>
      <c r="Q631" s="10"/>
      <c r="R631" s="10"/>
      <c r="S631" s="10"/>
      <c r="T631" s="10"/>
      <c r="U631" s="10"/>
      <c r="V631" s="10"/>
      <c r="W631" s="10"/>
      <c r="X631" s="10"/>
      <c r="Y631" s="10"/>
      <c r="Z631" s="10"/>
    </row>
    <row r="632" ht="15.75" customHeight="1">
      <c r="A632" s="16"/>
      <c r="B632" s="10"/>
      <c r="C632" s="10"/>
      <c r="D632" s="10"/>
      <c r="E632" s="10"/>
      <c r="F632" s="10"/>
      <c r="G632" s="10"/>
      <c r="H632" s="73"/>
      <c r="I632" s="73"/>
      <c r="J632" s="73"/>
      <c r="K632" s="73"/>
      <c r="L632" s="73"/>
      <c r="M632" s="10"/>
      <c r="N632" s="10"/>
      <c r="O632" s="10"/>
      <c r="P632" s="10"/>
      <c r="Q632" s="10"/>
      <c r="R632" s="10"/>
      <c r="S632" s="10"/>
      <c r="T632" s="10"/>
      <c r="U632" s="10"/>
      <c r="V632" s="10"/>
      <c r="W632" s="10"/>
      <c r="X632" s="10"/>
      <c r="Y632" s="10"/>
      <c r="Z632" s="10"/>
    </row>
    <row r="633" ht="15.75" customHeight="1">
      <c r="A633" s="16"/>
      <c r="B633" s="10"/>
      <c r="C633" s="10"/>
      <c r="D633" s="10"/>
      <c r="E633" s="10"/>
      <c r="F633" s="10"/>
      <c r="G633" s="10"/>
      <c r="H633" s="73"/>
      <c r="I633" s="73"/>
      <c r="J633" s="73"/>
      <c r="K633" s="73"/>
      <c r="L633" s="73"/>
      <c r="M633" s="10"/>
      <c r="N633" s="10"/>
      <c r="O633" s="10"/>
      <c r="P633" s="10"/>
      <c r="Q633" s="10"/>
      <c r="R633" s="10"/>
      <c r="S633" s="10"/>
      <c r="T633" s="10"/>
      <c r="U633" s="10"/>
      <c r="V633" s="10"/>
      <c r="W633" s="10"/>
      <c r="X633" s="10"/>
      <c r="Y633" s="10"/>
      <c r="Z633" s="10"/>
    </row>
    <row r="634" ht="15.75" customHeight="1">
      <c r="A634" s="16"/>
      <c r="B634" s="10"/>
      <c r="C634" s="10"/>
      <c r="D634" s="10"/>
      <c r="E634" s="10"/>
      <c r="F634" s="10"/>
      <c r="G634" s="10"/>
      <c r="H634" s="73"/>
      <c r="I634" s="73"/>
      <c r="J634" s="73"/>
      <c r="K634" s="73"/>
      <c r="L634" s="73"/>
      <c r="M634" s="10"/>
      <c r="N634" s="10"/>
      <c r="O634" s="10"/>
      <c r="P634" s="10"/>
      <c r="Q634" s="10"/>
      <c r="R634" s="10"/>
      <c r="S634" s="10"/>
      <c r="T634" s="10"/>
      <c r="U634" s="10"/>
      <c r="V634" s="10"/>
      <c r="W634" s="10"/>
      <c r="X634" s="10"/>
      <c r="Y634" s="10"/>
      <c r="Z634" s="10"/>
    </row>
    <row r="635" ht="15.75" customHeight="1">
      <c r="A635" s="16"/>
      <c r="B635" s="10"/>
      <c r="C635" s="10"/>
      <c r="D635" s="10"/>
      <c r="E635" s="10"/>
      <c r="F635" s="10"/>
      <c r="G635" s="10"/>
      <c r="H635" s="73"/>
      <c r="I635" s="73"/>
      <c r="J635" s="73"/>
      <c r="K635" s="73"/>
      <c r="L635" s="73"/>
      <c r="M635" s="10"/>
      <c r="N635" s="10"/>
      <c r="O635" s="10"/>
      <c r="P635" s="10"/>
      <c r="Q635" s="10"/>
      <c r="R635" s="10"/>
      <c r="S635" s="10"/>
      <c r="T635" s="10"/>
      <c r="U635" s="10"/>
      <c r="V635" s="10"/>
      <c r="W635" s="10"/>
      <c r="X635" s="10"/>
      <c r="Y635" s="10"/>
      <c r="Z635" s="10"/>
    </row>
    <row r="636" ht="15.75" customHeight="1">
      <c r="A636" s="16"/>
      <c r="B636" s="10"/>
      <c r="C636" s="10"/>
      <c r="D636" s="10"/>
      <c r="E636" s="10"/>
      <c r="F636" s="10"/>
      <c r="G636" s="10"/>
      <c r="H636" s="73"/>
      <c r="I636" s="73"/>
      <c r="J636" s="73"/>
      <c r="K636" s="73"/>
      <c r="L636" s="73"/>
      <c r="M636" s="10"/>
      <c r="N636" s="10"/>
      <c r="O636" s="10"/>
      <c r="P636" s="10"/>
      <c r="Q636" s="10"/>
      <c r="R636" s="10"/>
      <c r="S636" s="10"/>
      <c r="T636" s="10"/>
      <c r="U636" s="10"/>
      <c r="V636" s="10"/>
      <c r="W636" s="10"/>
      <c r="X636" s="10"/>
      <c r="Y636" s="10"/>
      <c r="Z636" s="10"/>
    </row>
    <row r="637" ht="15.75" customHeight="1">
      <c r="A637" s="16"/>
      <c r="B637" s="10"/>
      <c r="C637" s="10"/>
      <c r="D637" s="10"/>
      <c r="E637" s="10"/>
      <c r="F637" s="10"/>
      <c r="G637" s="10"/>
      <c r="H637" s="73"/>
      <c r="I637" s="73"/>
      <c r="J637" s="73"/>
      <c r="K637" s="73"/>
      <c r="L637" s="73"/>
      <c r="M637" s="10"/>
      <c r="N637" s="10"/>
      <c r="O637" s="10"/>
      <c r="P637" s="10"/>
      <c r="Q637" s="10"/>
      <c r="R637" s="10"/>
      <c r="S637" s="10"/>
      <c r="T637" s="10"/>
      <c r="U637" s="10"/>
      <c r="V637" s="10"/>
      <c r="W637" s="10"/>
      <c r="X637" s="10"/>
      <c r="Y637" s="10"/>
      <c r="Z637" s="10"/>
    </row>
    <row r="638" ht="15.75" customHeight="1">
      <c r="A638" s="16"/>
      <c r="B638" s="10"/>
      <c r="C638" s="10"/>
      <c r="D638" s="10"/>
      <c r="E638" s="10"/>
      <c r="F638" s="10"/>
      <c r="G638" s="10"/>
      <c r="H638" s="73"/>
      <c r="I638" s="73"/>
      <c r="J638" s="73"/>
      <c r="K638" s="73"/>
      <c r="L638" s="73"/>
      <c r="M638" s="10"/>
      <c r="N638" s="10"/>
      <c r="O638" s="10"/>
      <c r="P638" s="10"/>
      <c r="Q638" s="10"/>
      <c r="R638" s="10"/>
      <c r="S638" s="10"/>
      <c r="T638" s="10"/>
      <c r="U638" s="10"/>
      <c r="V638" s="10"/>
      <c r="W638" s="10"/>
      <c r="X638" s="10"/>
      <c r="Y638" s="10"/>
      <c r="Z638" s="10"/>
    </row>
    <row r="639" ht="15.75" customHeight="1">
      <c r="A639" s="16"/>
      <c r="B639" s="10"/>
      <c r="C639" s="10"/>
      <c r="D639" s="10"/>
      <c r="E639" s="10"/>
      <c r="F639" s="10"/>
      <c r="G639" s="10"/>
      <c r="H639" s="73"/>
      <c r="I639" s="73"/>
      <c r="J639" s="73"/>
      <c r="K639" s="73"/>
      <c r="L639" s="73"/>
      <c r="M639" s="10"/>
      <c r="N639" s="10"/>
      <c r="O639" s="10"/>
      <c r="P639" s="10"/>
      <c r="Q639" s="10"/>
      <c r="R639" s="10"/>
      <c r="S639" s="10"/>
      <c r="T639" s="10"/>
      <c r="U639" s="10"/>
      <c r="V639" s="10"/>
      <c r="W639" s="10"/>
      <c r="X639" s="10"/>
      <c r="Y639" s="10"/>
      <c r="Z639" s="10"/>
    </row>
    <row r="640" ht="15.75" customHeight="1">
      <c r="A640" s="16"/>
      <c r="B640" s="10"/>
      <c r="C640" s="10"/>
      <c r="D640" s="10"/>
      <c r="E640" s="10"/>
      <c r="F640" s="10"/>
      <c r="G640" s="10"/>
      <c r="H640" s="73"/>
      <c r="I640" s="73"/>
      <c r="J640" s="73"/>
      <c r="K640" s="73"/>
      <c r="L640" s="73"/>
      <c r="M640" s="10"/>
      <c r="N640" s="10"/>
      <c r="O640" s="10"/>
      <c r="P640" s="10"/>
      <c r="Q640" s="10"/>
      <c r="R640" s="10"/>
      <c r="S640" s="10"/>
      <c r="T640" s="10"/>
      <c r="U640" s="10"/>
      <c r="V640" s="10"/>
      <c r="W640" s="10"/>
      <c r="X640" s="10"/>
      <c r="Y640" s="10"/>
      <c r="Z640" s="10"/>
    </row>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sheetData>
  <autoFilter ref="$A$1:$M$640">
    <filterColumn colId="7">
      <filters blank="1">
        <filter val="electronics"/>
        <filter val="restaurant_cafe"/>
        <filter val="cosmetics_health"/>
        <filter val="home_decoration"/>
        <filter val="culture_entertainment"/>
        <filter val="shoes_bags"/>
        <filter val="services"/>
        <filter val="accessories_jewellery"/>
        <filter val="market"/>
        <filter val="servicestores"/>
        <filter val="turkishdelight_confectionery"/>
        <filter val="culture_entertainment, kids"/>
        <filter val="fitness"/>
        <filter val="cosmetics_health, servicestores"/>
        <filter val="restaurant_cafe, market"/>
        <filter val="fastfood"/>
        <filter val="fashion"/>
        <filter val="kids"/>
      </filters>
    </filterColumn>
  </autoFilter>
  <customSheetViews>
    <customSheetView guid="{915F98FD-2C05-420E-8D9C-75502E9762D4}" filter="1" showAutoFilter="1">
      <autoFilter ref="$A$1:$K$444">
        <filterColumn colId="7">
          <filters blank="1">
            <filter val="electronics"/>
            <filter val="restaurant_cafe"/>
            <filter val="cosmetics_health"/>
            <filter val="home_decoration"/>
            <filter val="culture_entertainment"/>
            <filter val="shoes_bags"/>
            <filter val="services"/>
            <filter val="accessories_jewellery"/>
            <filter val="market"/>
            <filter val="servicestores"/>
            <filter val="turkishdelight_confectionery"/>
            <filter val="culture_entertainment, kids"/>
            <filter val="fitness"/>
            <filter val="cosmetics_health, servicestores"/>
            <filter val="restaurant_cafe, market"/>
            <filter val="fastfood"/>
            <filter val="fashion"/>
            <filter val="kids"/>
          </filters>
        </filterColumn>
        <filterColumn colId="9">
          <filters>
            <filter val="https://inmapper.com/zorlucenter/img/logo/BURGERKING.png"/>
            <filter val="https://inmapper.com/zorlucenter/img/logo/ANLIJEWELRY.png"/>
            <filter val="https://inmapper.com/zorlucenter/img/logo/MACMARSATHLETICCLUB.png"/>
            <filter val="https://inmapper.com/zorlucenter/img/logo/TERRAZZAITALIA.png"/>
            <filter val="https://inmapper.com/zorlucenter/img/logo/FIVEO'CLOCK.png"/>
            <filter val="https://inmapper.com/zorlucenter/img/logo/SAAT&amp;SAAT.png"/>
            <filter val="https://inmapper.com/zorlucenter/img/logo/MEDIAMARKT.png"/>
            <filter val="https://inmapper.com/zorlucenter/img/logo/SWAROVSKI.png"/>
            <filter val="https://inmapper.com/zorlucenter/img/logo/BEEGODDESS.png"/>
            <filter val="https://inmapper.com/zorlucenter/img/logo/TUMI.png"/>
            <filter val="https://inmapper.com/zorlucenter/img/logo/RAMİZ.png"/>
            <filter val="https://inmapper.com/zorlucenter/img/logo/EMOOPTİK.png"/>
            <filter val="https://inmapper.com/zorlucenter/img/logo/SKECHERS.png"/>
            <filter val="https://inmapper.com/zorlucenter/img/logo/SPONZA.png"/>
            <filter val="https://inmapper.com/zorlucenter/img/logo/LINENS.png"/>
            <filter val="https://inmapper.com/zorlucenter/img/logo/ABDULLAHKİĞILI.png"/>
            <filter val="https://inmapper.com/zorlucenter/img/logo/ŞÜKRÜDUDUBARBER'SCLUB.png"/>
            <filter val="https://inmapper.com/zorlucenter/img/logo/YALÇINLAR.png"/>
            <filter val="https://inmapper.com/zorlucenter/img/logo/INTIMISSIMI.png"/>
            <filter val="https://inmapper.com/zorlucenter/img/logo/M.A.C.png"/>
            <filter val="https://inmapper.com/zorlucenter/img/logo/ZARA.png"/>
            <filter val="https://inmapper.com/zorlucenter/img/logo/ENGLISHHOME.png"/>
            <filter val="https://inmapper.com/zorlucenter/img/logo/KISMETBYMILKA.png"/>
            <filter val="https://inmapper.com/zorlucenter/img/logo/SUSHICO.png"/>
            <filter val="https://inmapper.com/zorlucenter/img/logo/BAKIRKAZAN.png"/>
            <filter val="https://inmapper.com/zorlucenter/img/logo/THEGRUNGY.png"/>
            <filter val="https://inmapper.com/zorlucenter/img/logo/GREENWICH.png"/>
            <filter val="https://inmapper.com/zorlucenter/img/logo/KRONOTROP.png"/>
            <filter val="https://inmapper.com/zorlucenter/img/logo/TAHİN.png"/>
            <filter val="https://inmapper.com/zorlucenter/img/logo/YARGICI.png"/>
            <filter val="https://inmapper.com/zorlucenter/img/logo/BARDOT.png"/>
            <filter val="https://inmapper.com/zorlucenter/img/logo/CHANEL.png"/>
            <filter val="https://inmapper.com/zorlucenter/img/logo/WILLIAMSCARCARE.png"/>
            <filter val="https://inmapper.com/zorlucenter/img/logo/DAGİ.png"/>
            <filter val="https://inmapper.com/zorlucenter/img/logo/TAJI.png"/>
            <filter val="https://inmapper.com/zorlucenter/img/logo/VAKKORAMA.png"/>
            <filter val="https://inmapper.com/zorlucenter/img/logo/EATALY.png"/>
            <filter val="https://inmapper.com/zorlucenter/img/logo/ARİFOĞLU.png"/>
            <filter val="https://inmapper.com/zorlucenter/img/logo/TOMMYHILFIGER.png"/>
            <filter val="https://inmapper.com/zorlucenter/img/logo/TARTINEETCHOCOLAT.png"/>
            <filter val="https://inmapper.com/zorlucenter/img/logo/U.S.POLO ASSN.png"/>
            <filter val="https://inmapper.com/zorlucenter/img/logo/NERO.png"/>
            <filter val="https://inmapper.com/zorlucenter/img/logo/NIKE.png"/>
            <filter val="https://inmapper.com/zorlucenter/img/logo/BEYMENCLUB.png"/>
            <filter val="https://inmapper.com/zorlucenter/img/logo/WALKERSBAR.png"/>
            <filter val="https://inmapper.com/zorlucenter/img/logo/DOLCE&amp;GABBANA.png"/>
            <filter val="https://inmapper.com/zorlucenter/img/logo/İPEKYOL.png"/>
            <filter val="https://inmapper.com/zorlucenter/img/logo/CAMPER.png"/>
            <filter val="https://inmapper.com/zorlucenter/img/logo/TOD'S.png"/>
            <filter val="https://inmapper.com/zorlucenter/img/logo/ROSSMANN.png"/>
            <filter val="https://inmapper.com/zorlucenter/img/logo/DÜRÜMLE.png"/>
            <filter val="https://inmapper.com/zorlucenter/img/logo/CACHAREL.png"/>
            <filter val="https://inmapper.com/zorlucenter/img/logo/LAMY.png"/>
            <filter val="https://inmapper.com/zorlucenter/img/logo/COS.png"/>
            <filter val="https://inmapper.com/zorlucenter/img/logo/H&amp;M.png"/>
            <filter val="https://inmapper.com/zorlucenter/img/logo/KWANPEN.png"/>
            <filter val="https://inmapper.com/zorlucenter/img/logo/MINYCENTERCARTER'S.png"/>
            <filter val="https://inmapper.com/zorlucenter/img/logo/TWINSETMILANO.png"/>
            <filter val="https://inmapper.com/zorlucenter/img/logo/BITESANDBEATS.png"/>
            <filter val="https://inmapper.com/zorlucenter/img/logo/CONICO.png"/>
            <filter val="https://inmapper.com/zorlucenter/img/logo/ZENPIRLANTA.png"/>
            <filter val="https://inmapper.com/zorlucenter/img/logo/GÜNAYDINKÖFTEDÖNER.png"/>
            <filter val="https://inmapper.com/zorlucenter/img/logo/DORYAHOME.png"/>
            <filter val="https://inmapper.com/zorlucenter/img/logo/ZULA.png"/>
            <filter val="https://inmapper.com/zorlucenter/img/logo/PİDEM.png"/>
            <filter val="https://inmapper.com/zorlucenter/img/logo/BIGCHEFS.png"/>
            <filter val="https://inmapper.com/zorlucenter/img/logo/GİLAN.png"/>
            <filter val="https://inmapper.com/zorlucenter/img/logo/BVLGARI.png"/>
            <filter val="https://inmapper.com/zorlucenter/img/logo/AMETIST.png"/>
            <filter val="https://inmapper.com/zorlucenter/img/logo/TURKCELL.png"/>
            <filter val="https://inmapper.com/zorlucenter/img/logo/RANCHERO.png"/>
            <filter val="https://inmapper.com/zorlucenter/img/logo/PENTİ.png"/>
            <filter val="https://inmapper.com/zorlucenter/img/logo/DYSON.png"/>
            <filter val="https://inmapper.com/zorlucenter/img/logo/DOYUYO.png"/>
            <filter val="https://inmapper.com/zorlucenter/img/logo/SIRMAISON.png"/>
            <filter val="https://inmapper.com/zorlucenter/img/logo/LOUISVUITTON.png"/>
            <filter val="https://inmapper.com/zorlucenter/img/logo/MONCLER.png"/>
            <filter val="https://inmapper.com/zorlucenter/img/logo/JACADIPARIS.png"/>
            <filter val="https://inmapper.com/zorlucenter/img/logo/VALERON.png"/>
            <filter val="https://inmapper.com/zorlucenter/img/logo/CHAKRA.png"/>
            <filter val="https://inmapper.com/zorlucenter/img/logo/BALONIKA.png"/>
            <filter val="https://inmapper.com/zorlucenter/img/logo/NEVLOKANTAMEZE.png"/>
            <filter val="https://inmapper.com/zorlucenter/img/logo/MOCASSINI.png"/>
            <filter val="https://inmapper.com/zorlucenter/img/logo/VAKKOHOME.png"/>
            <filter val="https://inmapper.com/zorlucenter/img/logo/HELLOSWEETIE.png"/>
            <filter val="https://inmapper.com/zorlucenter/img/logo/ARBYS.png"/>
            <filter val="https://inmapper.com/zorlucenter/img/logo/CARL'SJUNIOR.png"/>
            <filter val="https://inmapper.com/zorlucenter/img/logo/MACHKA.png"/>
            <filter val="https://inmapper.com/zorlucenter/img/logo/FRANCKMULLER.png"/>
            <filter val="https://inmapper.com/zorlucenter/img/logo/LESBENJAMINS.png"/>
            <filter val="https://inmapper.com/zorlucenter/img/logo/APPLESTORE.png"/>
            <filter val="https://inmapper.com/zorlucenter/img/logo/KIEHL'S.png"/>
            <filter val="https://inmapper.com/zorlucenter/img/logo/POPEYES.png"/>
            <filter val="https://inmapper.com/zorlucenter/img/logo/"/>
            <filter val="https://inmapper.com/zorlucenter/img/logo/PANDORA.png"/>
            <filter val="https://inmapper.com/zorlucenter/img/logo/ATASAY.png"/>
            <filter val="https://inmapper.com/zorlucenter/img/logo/VALENTINO.png"/>
            <filter val="https://inmapper.com/zorlucenter/img/logo/PERSPECTIVE.png"/>
            <filter val="https://inmapper.com/zorlucenter/img/logo/BLUEMINT.png"/>
            <filter val="https://inmapper.com/zorlucenter/img/logo/SARAYMUHALLEBİCİSİ.png"/>
            <filter val="https://inmapper.com/zorlucenter/img/logo/LOROPIANA.png"/>
            <filter val="https://inmapper.com/zorlucenter/img/logo/ROLEX.png"/>
            <filter val="https://inmapper.com/zorlucenter/img/logo/URANUS.png"/>
            <filter val="https://inmapper.com/zorlucenter/img/logo/PARIBUCINEVERSE.png"/>
            <filter val="https://inmapper.com/zorlucenter/img/logo/HARMANKARDON.png"/>
            <filter val="https://inmapper.com/zorlucenter/img/logo/L'OCCITANE.png"/>
            <filter val="https://inmapper.com/zorlucenter/img/logo/MANGO.png"/>
            <filter val="https://inmapper.com/zorlucenter/img/logo/ZİYAFEKAYSERİMUTAFAĞI.png"/>
            <filter val="https://inmapper.com/zorlucenter/img/logo/RAMSEY.png"/>
            <filter val="https://inmapper.com/zorlucenter/img/logo/JOMALONE.png"/>
            <filter val="https://inmapper.com/zorlucenter/img/logo/HOUSEOFSUPERSTEP.png"/>
            <filter val="https://inmapper.com/zorlucenter/img/logo/SEPHORA.png"/>
            <filter val="https://inmapper.com/zorlucenter/img/logo/REMZİKİTABEVİ.png"/>
            <filter val="https://inmapper.com/zorlucenter/img/logo/PANERAI.png"/>
            <filter val="https://inmapper.com/zorlucenter/img/logo/WELLDONE.png"/>
            <filter val="https://inmapper.com/zorlucenter/img/logo/ALO.png"/>
            <filter val="https://inmapper.com/zorlucenter/img/logo/CALVINKLEINJEANS.png"/>
            <filter val="https://inmapper.com/zorlucenter/img/logo/LILLO.png"/>
            <filter val="https://inmapper.com/zorlucenter/img/logo/ADİDAS.png"/>
            <filter val="https://inmapper.com/zorlucenter/img/logo/USTADONERCI.png"/>
            <filter val="https://inmapper.com/zorlucenter/img/logo/PRADA.png"/>
            <filter val="https://inmapper.com/zorlucenter/img/logo/FAUCHON.png"/>
            <filter val="https://inmapper.com/zorlucenter/img/logo/VENNUS.png"/>
            <filter val="https://inmapper.com/zorlucenter/img/logo/BRANDY'S.png"/>
            <filter val="https://inmapper.com/zorlucenter/img/logo/URART.png"/>
            <filter val="https://inmapper.com/zorlucenter/img/logo/TWIST.png"/>
            <filter val="https://inmapper.com/zorlucenter/img/logo/NESPRESSO.png"/>
            <filter val="https://inmapper.com/zorlucenter/img/logo/BEYMEN.png"/>
            <filter val="https://inmapper.com/zorlucenter/img/logo/VAKKORAMACAFE.png"/>
            <filter val="https://inmapper.com/zorlucenter/img/logo/LEBARON.png"/>
            <filter val="https://inmapper.com/zorlucenter/img/logo/ASICS.png"/>
            <filter val="https://inmapper.com/zorlucenter/img/logo/REYORGANIC.png"/>
            <filter val="https://inmapper.com/zorlucenter/img/logo/MAVİ.png"/>
            <filter val="https://inmapper.com/zorlucenter/img/logo/PEMBECİDA.png"/>
            <filter val="https://inmapper.com/zorlucenter/img/logo/DIESEL.png"/>
            <filter val="https://inmapper.com/zorlucenter/img/logo/GODIVA.png"/>
            <filter val="https://inmapper.com/zorlucenter/img/logo/HAPPYMOON'S.png"/>
            <filter val="https://inmapper.com/zorlucenter/img/logo/BALMAIN.png"/>
            <filter val="https://inmapper.com/zorlucenter/img/logo/BOTTEGAVENETA.png"/>
            <filter val="https://inmapper.com/zorlucenter/img/logo/TOYZZSHOP.png"/>
            <filter val="https://inmapper.com/zorlucenter/img/logo/PPANG.png"/>
            <filter val="https://inmapper.com/zorlucenter/img/logo/ANY.png"/>
            <filter val="https://inmapper.com/zorlucenter/img/logo/GÜNAYDINSTEAKHOUSE.png"/>
            <filter val="https://inmapper.com/zorlucenter/img/logo/EVE.png"/>
            <filter val="https://inmapper.com/zorlucenter/img/logo/ZARAHOME.png"/>
            <filter val="https://inmapper.com/zorlucenter/img/logo/LEVENTLOSTRA.png"/>
            <filter val="https://inmapper.com/zorlucenter/img/logo/PLUSKITCHEN.png"/>
            <filter val="https://inmapper.com/zorlucenter/img/logo/GANT.png"/>
            <filter val="https://inmapper.com/zorlucenter/img/logo/MAPA.png"/>
            <filter val="https://inmapper.com/zorlucenter/img/logo/FENDI.png"/>
            <filter val="https://inmapper.com/zorlucenter/img/logo/VAKKO.png"/>
            <filter val="https://inmapper.com/zorlucenter/img/logo/KIKOMILANO.png"/>
            <filter val="https://inmapper.com/zorlucenter/img/logo/YVESROCHER.png"/>
            <filter val="https://inmapper.com/zorlucenter/img/logo/B&amp;GSTORE.png"/>
            <filter val="https://inmapper.com/zorlucenter/img/logo/GOLDENGOOSE.png"/>
            <filter val="https://inmapper.com/zorlucenter/img/logo/VICTORIA'SSECRET.png"/>
            <filter val="https://inmapper.com/zorlucenter/img/logo/MIUMIU.png"/>
            <filter val="https://inmapper.com/zorlucenter/img/logo/BALENCIAGA.png"/>
            <filter val="https://inmapper.com/zorlucenter/img/logo/UNDERARMOUR.png"/>
            <filter val="https://inmapper.com/zorlucenter/img/logo/ATELIERREBUL.png"/>
            <filter val="https://inmapper.com/zorlucenter/img/logo/ERKANTAS.png"/>
            <filter val="https://inmapper.com/zorlucenter/img/logo/COLUMBIA.png"/>
            <filter val="https://inmapper.com/zorlucenter/img/logo/ZORDÖVİZ.png"/>
            <filter val="https://inmapper.com/zorlucenter/img/logo/PARLE.png"/>
            <filter val="https://inmapper.com/zorlucenter/img/logo/ROTAP.png"/>
            <filter val="https://inmapper.com/zorlucenter/img/logo/NETWORK.png"/>
            <filter val="https://inmapper.com/zorlucenter/img/logo/PAŞABAHÇEMAĞAZALARI.png"/>
            <filter val="https://inmapper.com/zorlucenter/img/logo/ATİLLAKARAT.png"/>
            <filter val="https://inmapper.com/zorlucenter/img/logo/VOICOFFEECOMPANY.png"/>
            <filter val="https://inmapper.com/zorlucenter/img/logo/CELINE.png"/>
            <filter val="https://inmapper.com/zorlucenter/img/logo/STARBUCKS.png"/>
            <filter val="https://inmapper.com/zorlucenter/img/logo/SAKHALINISTANBUL.png"/>
            <filter val="https://inmapper.com/zorlucenter/img/logo/SEVANBIÇAKÇI.png"/>
            <filter val="https://inmapper.com/zorlucenter/img/logo/LEVI'S.png"/>
            <filter val="https://inmapper.com/zorlucenter/img/logo/NAUTICA.png"/>
            <filter val="https://inmapper.com/zorlucenter/img/logo/CALZEDONIA.png"/>
            <filter val="https://inmapper.com/zorlucenter/img/logo/ZORLUCENTERECZANESİ.png"/>
            <filter val="https://inmapper.com/zorlucenter/img/logo/SOSA.png"/>
            <filter val="https://inmapper.com/zorlucenter/img/logo/ANATOLI.png"/>
            <filter val="https://inmapper.com/zorlucenter/img/logo/INTIMISSIMIUOMO.png"/>
            <filter val="https://inmapper.com/zorlucenter/img/logo/USTASAAT.png"/>
            <filter val="https://inmapper.com/zorlucenter/img/logo/MASSIMODUTTI.png"/>
            <filter val="https://inmapper.com/zorlucenter/img/logo/DIOR.png"/>
            <filter val="https://inmapper.com/zorlucenter/img/logo/MACROCENTER.png"/>
            <filter val="https://inmapper.com/zorlucenter/img/logo/BOBBIBROWN.png"/>
            <filter val="https://inmapper.com/zorlucenter/img/logo/MELEZTEA.png"/>
            <filter val="https://inmapper.com/zorlucenter/img/logo/ALEXANDERMCQUEEN.png"/>
            <filter val="https://inmapper.com/zorlucenter/img/logo/KIPLING.png"/>
            <filter val="https://inmapper.com/zorlucenter/img/logo/ETSTUR.png"/>
            <filter val="https://inmapper.com/zorlucenter/img/logo/JBL.png"/>
            <filter val="https://inmapper.com/zorlucenter/img/logo/CHOPARD.png"/>
            <filter val="https://inmapper.com/zorlucenter/img/logo/HEARTBEAT.png"/>
            <filter val="https://inmapper.com/zorlucenter/img/logo/CUPOFJOY.png"/>
            <filter val="https://inmapper.com/zorlucenter/img/logo/VILEBREQUIN.png"/>
            <filter val="https://inmapper.com/zorlucenter/img/logo/CROSSING.png"/>
            <filter val="https://inmapper.com/zorlucenter/img/logo/MER'S.png"/>
            <filter val="https://inmapper.com/zorlucenter/img/logo/MOCCOFFEE ROASTERY.png"/>
            <filter val="https://inmapper.com/zorlucenter/img/logo/POMELLATO.png"/>
            <filter val="https://inmapper.com/zorlucenter/img/logo/SEVİL.png"/>
            <filter val="https://inmapper.com/zorlucenter/img/logo/VARIO.png"/>
            <filter val="https://inmapper.com/zorlucenter/img/logo/EASYPOINT.png"/>
            <filter val="https://inmapper.com/zorlucenter/img/logo/ELIESAAB.png"/>
            <filter val="https://inmapper.com/zorlucenter/img/logo/D&amp;R.png"/>
            <filter val="https://inmapper.com/zorlucenter/img/logo/TOGG.png"/>
            <filter val="https://inmapper.com/zorlucenter/img/logo/BURBERRY.png"/>
            <filter val="https://inmapper.com/zorlucenter/img/logo/MIELE.png"/>
            <filter val="https://inmapper.com/zorlucenter/img/logo/ALDO.png"/>
            <filter val="https://inmapper.com/zorlucenter/img/logo/FALCONERI.png"/>
            <filter val="https://inmapper.com/zorlucenter/img/logo/DRYCORNER.png"/>
            <filter val="https://inmapper.com/zorlucenter/img/logo/FUNLOFT.png"/>
            <filter val="https://inmapper.com/zorlucenter/img/logo/MONTBLANC.png"/>
            <filter val="https://inmapper.com/zorlucenter/img/logo/SNEAKS UP.png"/>
            <filter val="https://inmapper.com/zorlucenter/img/logo/VAKKOLATELIER.png"/>
            <filter val="https://inmapper.com/zorlucenter/img/logo/AKBANK.png"/>
            <filter val="https://inmapper.com/zorlucenter/img/logo/CANTINERY.png"/>
            <filter val="https://inmapper.com/zorlucenter/img/logo/ZWILLING.png"/>
            <filter val="https://inmapper.com/zorlucenter/img/logo/INSIDEFLOWERS.png"/>
            <filter val="https://inmapper.com/zorlucenter/img/logo/REALLY.png"/>
            <filter val="https://inmapper.com/zorlucenter/img/logo/IWCSCHAFFHAUSEN.png"/>
            <filter val="https://inmapper.com/zorlucenter/img/logo/ZTERZİ.png"/>
            <filter val="https://inmapper.com/zorlucenter/img/logo/HAREMLIQUEISTANBUL.png"/>
            <filter val="https://inmapper.com/zorlucenter/img/logo/ENPLUS.png"/>
            <filter val="https://inmapper.com/zorlucenter/img/logo/GUCCI.png"/>
            <filter val="https://inmapper.com/zorlucenter/img/logo/LACOSTE.png"/>
            <filter val="https://inmapper.com/zorlucenter/img/logo/GREENSALADS.png"/>
            <filter val="https://inmapper.com/zorlucenter/img/logo/1290SQM.png"/>
            <filter val="https://inmapper.com/zorlucenter/img/logo/HANDEHALUKKUAFÖR.png"/>
            <filter val="https://inmapper.com/zorlucenter/img/logo/MAISONPEREJA.png"/>
            <filter val="https://inmapper.com/zorlucenter/img/logo/BAQA.png"/>
            <filter val="https://inmapper.com/zorlucenter/img/logo/GAP.png"/>
            <filter val="https://inmapper.com/zorlucenter/img/logo/BROOKSBROTHERS.png"/>
            <filter val="https://inmapper.com/zorlucenter/img/logo/MCDONALD'S.png"/>
            <filter val="https://inmapper.com/zorlucenter/img/logo/GÖZGRUP.png"/>
            <filter val="https://inmapper.com/zorlucenter/img/logo/PENELOPE.png"/>
            <filter val="https://inmapper.com/zorlucenter/img/logo/MARIEANTOINETTECHOCOLATIER.png"/>
            <filter val="https://inmapper.com/zorlucenter/img/logo/MORINI.png"/>
            <filter val="https://inmapper.com/zorlucenter/img/logo/EDWARDS.png"/>
            <filter val="https://inmapper.com/zorlucenter/img/logo/KAFKAS.png"/>
            <filter val="https://inmapper.com/zorlucenter/img/logo/HOUSEOFDESIGN.png"/>
            <filter val="https://inmapper.com/zorlucenter/img/logo/PINKO.png"/>
            <filter val="https://inmapper.com/zorlucenter/img/logo/WATSONS.png"/>
            <filter val="https://inmapper.com/zorlucenter/img/logo/VESTEL.png"/>
            <filter val="https://inmapper.com/zorlucenter/img/logo/TOBACCOSHOP.png"/>
            <filter val="https://inmapper.com/zorlucenter/img/logo/DIVARESE.png"/>
            <filter val="https://inmapper.com/zorlucenter/img/logo/TIFFANY&amp;CO.png"/>
          </filters>
        </filterColumn>
        <sortState ref="A1:K444">
          <sortCondition ref="K1:K444"/>
          <sortCondition ref="B1:B444"/>
        </sortState>
      </autoFilter>
      <extLst>
        <ext uri="GoogleSheetsCustomDataVersion1">
          <go:sheetsCustomData xmlns:go="http://customooxmlschemas.google.com/" filterViewId="1604924194"/>
        </ext>
      </extLst>
    </customSheetView>
  </customSheetViews>
  <hyperlinks>
    <hyperlink r:id="rId1" ref="M1"/>
    <hyperlink r:id="rId2" ref="I13"/>
    <hyperlink r:id="rId3" ref="I19"/>
    <hyperlink r:id="rId4" ref="I20"/>
    <hyperlink r:id="rId5" ref="I24"/>
    <hyperlink r:id="rId6" ref="I30"/>
    <hyperlink r:id="rId7" ref="I36"/>
    <hyperlink r:id="rId8" ref="I39"/>
    <hyperlink r:id="rId9" ref="I45"/>
    <hyperlink r:id="rId10" ref="I46"/>
    <hyperlink r:id="rId11" ref="I47"/>
    <hyperlink r:id="rId12" ref="I48"/>
    <hyperlink r:id="rId13" ref="I53"/>
    <hyperlink r:id="rId14" ref="I68"/>
    <hyperlink r:id="rId15" ref="I72"/>
    <hyperlink r:id="rId16" ref="I77"/>
    <hyperlink r:id="rId17" ref="I80"/>
    <hyperlink r:id="rId18" ref="I81"/>
    <hyperlink r:id="rId19" ref="I82"/>
    <hyperlink r:id="rId20" ref="I83"/>
    <hyperlink r:id="rId21" ref="I84"/>
    <hyperlink r:id="rId22" ref="I85"/>
    <hyperlink r:id="rId23" ref="I96"/>
    <hyperlink r:id="rId24" ref="I99"/>
    <hyperlink r:id="rId25" ref="I105"/>
    <hyperlink r:id="rId26" ref="I107"/>
    <hyperlink r:id="rId27" ref="I111"/>
    <hyperlink r:id="rId28" ref="I113"/>
    <hyperlink r:id="rId29" ref="I114"/>
    <hyperlink r:id="rId30" ref="I116"/>
    <hyperlink r:id="rId31" ref="I117"/>
    <hyperlink r:id="rId32" ref="I118"/>
    <hyperlink r:id="rId33" ref="I122"/>
    <hyperlink r:id="rId34" ref="I128"/>
    <hyperlink r:id="rId35" ref="I132"/>
    <hyperlink r:id="rId36" ref="I135"/>
    <hyperlink r:id="rId37" ref="I143"/>
    <hyperlink r:id="rId38" ref="I153"/>
    <hyperlink r:id="rId39" ref="J153"/>
    <hyperlink r:id="rId40" ref="I156"/>
    <hyperlink r:id="rId41" ref="I163"/>
    <hyperlink r:id="rId42" ref="I168"/>
    <hyperlink r:id="rId43" ref="I169"/>
    <hyperlink r:id="rId44" ref="I171"/>
    <hyperlink r:id="rId45" ref="I172"/>
    <hyperlink r:id="rId46" ref="I173"/>
    <hyperlink r:id="rId47" ref="I243"/>
    <hyperlink r:id="rId48" ref="I244"/>
    <hyperlink r:id="rId49" ref="I250"/>
    <hyperlink r:id="rId50" ref="I251"/>
    <hyperlink r:id="rId51" ref="I252"/>
    <hyperlink r:id="rId52" ref="I254"/>
    <hyperlink r:id="rId53" ref="I256"/>
    <hyperlink r:id="rId54" ref="I266"/>
    <hyperlink r:id="rId55" ref="I269"/>
    <hyperlink r:id="rId56" ref="J280"/>
    <hyperlink r:id="rId57" ref="J281"/>
    <hyperlink r:id="rId58" ref="I286"/>
    <hyperlink r:id="rId59" ref="I287"/>
    <hyperlink r:id="rId60" ref="J287"/>
    <hyperlink r:id="rId61" ref="I299"/>
    <hyperlink r:id="rId62" ref="I317"/>
    <hyperlink r:id="rId63" ref="I318"/>
    <hyperlink r:id="rId64" ref="I323"/>
    <hyperlink r:id="rId65" ref="I324"/>
    <hyperlink r:id="rId66" ref="I325"/>
    <hyperlink r:id="rId67" ref="I326"/>
    <hyperlink r:id="rId68" ref="I327"/>
    <hyperlink r:id="rId69" ref="I328"/>
    <hyperlink r:id="rId70" ref="I410"/>
    <hyperlink r:id="rId71" ref="I413"/>
    <hyperlink r:id="rId72" ref="I414"/>
    <hyperlink r:id="rId73" ref="I417"/>
    <hyperlink r:id="rId74" ref="I418"/>
    <hyperlink r:id="rId75" ref="I422"/>
    <hyperlink r:id="rId76" ref="I424"/>
    <hyperlink r:id="rId77" ref="I426"/>
    <hyperlink r:id="rId78" ref="I428"/>
    <hyperlink r:id="rId79" ref="I430"/>
    <hyperlink r:id="rId80" ref="I431"/>
    <hyperlink r:id="rId81" ref="I434"/>
  </hyperlinks>
  <drawing r:id="rId8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74" t="s">
        <v>1722</v>
      </c>
      <c r="B1" s="74" t="s">
        <v>1723</v>
      </c>
      <c r="C1" s="74" t="s">
        <v>0</v>
      </c>
      <c r="D1" s="74" t="s">
        <v>1724</v>
      </c>
      <c r="E1" s="74" t="s">
        <v>1725</v>
      </c>
      <c r="F1" s="74" t="s">
        <v>1726</v>
      </c>
      <c r="G1" s="74" t="s">
        <v>1727</v>
      </c>
      <c r="H1" s="74" t="s">
        <v>1728</v>
      </c>
      <c r="I1" s="74" t="s">
        <v>1729</v>
      </c>
      <c r="J1" s="74" t="s">
        <v>1730</v>
      </c>
      <c r="K1" s="74" t="s">
        <v>1731</v>
      </c>
      <c r="L1" s="74" t="s">
        <v>1732</v>
      </c>
      <c r="M1" s="74" t="s">
        <v>1733</v>
      </c>
      <c r="N1" s="74" t="s">
        <v>1734</v>
      </c>
      <c r="O1" s="75" t="s">
        <v>1735</v>
      </c>
      <c r="P1" s="9"/>
      <c r="Q1" s="9"/>
      <c r="R1" s="9"/>
      <c r="S1" s="9"/>
      <c r="T1" s="9"/>
      <c r="U1" s="9"/>
      <c r="V1" s="9"/>
      <c r="W1" s="9"/>
      <c r="X1" s="9"/>
      <c r="Y1" s="9"/>
      <c r="Z1" s="9"/>
    </row>
    <row r="2" ht="15.75" customHeight="1">
      <c r="A2" s="39" t="s">
        <v>1736</v>
      </c>
      <c r="B2" s="24" t="s">
        <v>1737</v>
      </c>
      <c r="C2" s="19" t="s">
        <v>1738</v>
      </c>
      <c r="D2" s="19" t="s">
        <v>1739</v>
      </c>
      <c r="E2" s="19" t="s">
        <v>1740</v>
      </c>
      <c r="F2" s="19" t="s">
        <v>1741</v>
      </c>
      <c r="G2" s="19" t="s">
        <v>1742</v>
      </c>
      <c r="H2" s="19" t="s">
        <v>1743</v>
      </c>
      <c r="I2" s="19" t="s">
        <v>1744</v>
      </c>
      <c r="J2" s="19" t="s">
        <v>1745</v>
      </c>
      <c r="K2" s="19" t="s">
        <v>1746</v>
      </c>
      <c r="L2" s="76" t="b">
        <v>1</v>
      </c>
      <c r="M2" s="39" t="s">
        <v>1747</v>
      </c>
      <c r="N2" s="39" t="s">
        <v>1748</v>
      </c>
      <c r="O2" s="19" t="s">
        <v>1749</v>
      </c>
      <c r="P2" s="9"/>
      <c r="Q2" s="9"/>
      <c r="R2" s="9"/>
      <c r="S2" s="9"/>
      <c r="T2" s="9"/>
      <c r="U2" s="9"/>
      <c r="V2" s="9"/>
      <c r="W2" s="9"/>
      <c r="X2" s="9"/>
      <c r="Y2" s="9"/>
      <c r="Z2" s="9"/>
    </row>
    <row r="3" ht="15.75" hidden="1" customHeight="1">
      <c r="A3" s="39" t="s">
        <v>1750</v>
      </c>
      <c r="B3" s="24" t="s">
        <v>1737</v>
      </c>
      <c r="C3" s="6" t="s">
        <v>1751</v>
      </c>
      <c r="D3" s="19" t="s">
        <v>1752</v>
      </c>
      <c r="E3" s="19" t="s">
        <v>1753</v>
      </c>
      <c r="F3" s="19" t="s">
        <v>1754</v>
      </c>
      <c r="G3" s="19" t="s">
        <v>1755</v>
      </c>
      <c r="H3" s="19" t="s">
        <v>1756</v>
      </c>
      <c r="I3" s="19" t="s">
        <v>1757</v>
      </c>
      <c r="J3" s="19" t="s">
        <v>1745</v>
      </c>
      <c r="K3" s="19" t="s">
        <v>1758</v>
      </c>
      <c r="L3" s="76" t="b">
        <v>1</v>
      </c>
      <c r="M3" s="39" t="s">
        <v>1759</v>
      </c>
      <c r="N3" s="39" t="s">
        <v>1760</v>
      </c>
      <c r="O3" s="19" t="s">
        <v>1761</v>
      </c>
      <c r="P3" s="9"/>
      <c r="Q3" s="9"/>
      <c r="R3" s="9"/>
      <c r="S3" s="9"/>
      <c r="T3" s="9"/>
      <c r="U3" s="9"/>
      <c r="V3" s="9"/>
      <c r="W3" s="9"/>
      <c r="X3" s="9"/>
      <c r="Y3" s="9"/>
      <c r="Z3" s="9"/>
    </row>
    <row r="4" ht="15.75" hidden="1" customHeight="1">
      <c r="A4" s="39" t="s">
        <v>1750</v>
      </c>
      <c r="B4" s="24" t="s">
        <v>1737</v>
      </c>
      <c r="C4" s="19" t="s">
        <v>1762</v>
      </c>
      <c r="D4" s="19" t="s">
        <v>1763</v>
      </c>
      <c r="E4" s="19" t="s">
        <v>1753</v>
      </c>
      <c r="F4" s="19" t="s">
        <v>1764</v>
      </c>
      <c r="G4" s="19" t="s">
        <v>1765</v>
      </c>
      <c r="H4" s="19" t="s">
        <v>1756</v>
      </c>
      <c r="I4" s="19" t="s">
        <v>1766</v>
      </c>
      <c r="J4" s="19" t="s">
        <v>1745</v>
      </c>
      <c r="K4" s="19" t="s">
        <v>1767</v>
      </c>
      <c r="L4" s="76" t="b">
        <v>1</v>
      </c>
      <c r="M4" s="39" t="s">
        <v>1759</v>
      </c>
      <c r="N4" s="39" t="s">
        <v>1768</v>
      </c>
      <c r="O4" s="19" t="s">
        <v>1761</v>
      </c>
      <c r="P4" s="9"/>
      <c r="Q4" s="9"/>
      <c r="R4" s="9"/>
      <c r="S4" s="9"/>
      <c r="T4" s="9"/>
      <c r="U4" s="9"/>
      <c r="V4" s="9"/>
      <c r="W4" s="9"/>
      <c r="X4" s="9"/>
      <c r="Y4" s="9"/>
      <c r="Z4" s="9"/>
    </row>
    <row r="5" ht="15.75" customHeight="1">
      <c r="A5" s="31" t="s">
        <v>1769</v>
      </c>
      <c r="B5" s="24" t="s">
        <v>1737</v>
      </c>
      <c r="C5" s="24" t="s">
        <v>349</v>
      </c>
      <c r="D5" s="19" t="s">
        <v>1770</v>
      </c>
      <c r="E5" s="19" t="s">
        <v>1753</v>
      </c>
      <c r="F5" s="19" t="s">
        <v>1771</v>
      </c>
      <c r="G5" s="19" t="s">
        <v>1772</v>
      </c>
      <c r="H5" s="19" t="s">
        <v>1756</v>
      </c>
      <c r="I5" s="19" t="s">
        <v>1773</v>
      </c>
      <c r="J5" s="39" t="s">
        <v>1745</v>
      </c>
      <c r="K5" s="24" t="s">
        <v>1774</v>
      </c>
      <c r="L5" s="76" t="b">
        <v>1</v>
      </c>
      <c r="M5" s="39" t="s">
        <v>1775</v>
      </c>
      <c r="N5" s="39" t="s">
        <v>1776</v>
      </c>
      <c r="O5" s="19" t="s">
        <v>1749</v>
      </c>
      <c r="P5" s="9"/>
      <c r="Q5" s="9"/>
      <c r="R5" s="9"/>
      <c r="S5" s="9"/>
      <c r="T5" s="9"/>
      <c r="U5" s="9"/>
      <c r="V5" s="9"/>
      <c r="W5" s="9"/>
      <c r="X5" s="9"/>
      <c r="Y5" s="9"/>
      <c r="Z5" s="9"/>
    </row>
    <row r="6" ht="15.75" hidden="1" customHeight="1">
      <c r="A6" s="39" t="s">
        <v>1777</v>
      </c>
      <c r="B6" s="24" t="s">
        <v>1737</v>
      </c>
      <c r="C6" s="6" t="s">
        <v>1778</v>
      </c>
      <c r="D6" s="19" t="s">
        <v>1779</v>
      </c>
      <c r="E6" s="19" t="s">
        <v>1753</v>
      </c>
      <c r="F6" s="19" t="s">
        <v>1780</v>
      </c>
      <c r="G6" s="19" t="s">
        <v>1781</v>
      </c>
      <c r="H6" s="19" t="s">
        <v>1756</v>
      </c>
      <c r="I6" s="19" t="s">
        <v>1782</v>
      </c>
      <c r="J6" s="39" t="s">
        <v>1745</v>
      </c>
      <c r="K6" s="19" t="s">
        <v>1783</v>
      </c>
      <c r="L6" s="76" t="b">
        <v>1</v>
      </c>
      <c r="M6" s="39" t="s">
        <v>1784</v>
      </c>
      <c r="N6" s="39" t="s">
        <v>1785</v>
      </c>
      <c r="O6" s="19" t="s">
        <v>1761</v>
      </c>
      <c r="P6" s="9"/>
      <c r="Q6" s="9"/>
      <c r="R6" s="9"/>
      <c r="S6" s="9"/>
      <c r="T6" s="9"/>
      <c r="U6" s="9"/>
      <c r="V6" s="9"/>
      <c r="W6" s="9"/>
      <c r="X6" s="9"/>
      <c r="Y6" s="9"/>
      <c r="Z6" s="9"/>
    </row>
    <row r="7" ht="15.75" customHeight="1">
      <c r="A7" s="31" t="s">
        <v>1769</v>
      </c>
      <c r="B7" s="24" t="s">
        <v>1737</v>
      </c>
      <c r="C7" s="24" t="s">
        <v>1572</v>
      </c>
      <c r="D7" s="19" t="s">
        <v>1786</v>
      </c>
      <c r="E7" s="19" t="s">
        <v>1753</v>
      </c>
      <c r="F7" s="19" t="s">
        <v>1787</v>
      </c>
      <c r="G7" s="19" t="s">
        <v>1788</v>
      </c>
      <c r="H7" s="19" t="s">
        <v>1756</v>
      </c>
      <c r="I7" s="19" t="s">
        <v>1789</v>
      </c>
      <c r="J7" s="39" t="s">
        <v>1745</v>
      </c>
      <c r="K7" s="19" t="s">
        <v>1790</v>
      </c>
      <c r="L7" s="76" t="b">
        <v>1</v>
      </c>
      <c r="M7" s="39" t="s">
        <v>1791</v>
      </c>
      <c r="N7" s="39" t="s">
        <v>1776</v>
      </c>
      <c r="O7" s="19" t="s">
        <v>1749</v>
      </c>
      <c r="P7" s="9"/>
      <c r="Q7" s="9"/>
      <c r="R7" s="9"/>
      <c r="S7" s="9"/>
      <c r="T7" s="9"/>
      <c r="U7" s="9"/>
      <c r="V7" s="9"/>
      <c r="W7" s="9"/>
      <c r="X7" s="9"/>
      <c r="Y7" s="9"/>
      <c r="Z7" s="9"/>
    </row>
    <row r="8" ht="15.75" customHeight="1">
      <c r="A8" s="31" t="s">
        <v>1769</v>
      </c>
      <c r="B8" s="24" t="s">
        <v>1737</v>
      </c>
      <c r="C8" s="24" t="s">
        <v>782</v>
      </c>
      <c r="D8" s="19" t="s">
        <v>1792</v>
      </c>
      <c r="E8" s="19" t="s">
        <v>1753</v>
      </c>
      <c r="F8" s="19" t="s">
        <v>1793</v>
      </c>
      <c r="G8" s="19" t="s">
        <v>1794</v>
      </c>
      <c r="H8" s="19" t="s">
        <v>1756</v>
      </c>
      <c r="I8" s="19" t="s">
        <v>1795</v>
      </c>
      <c r="J8" s="39" t="s">
        <v>1745</v>
      </c>
      <c r="K8" s="19" t="s">
        <v>1796</v>
      </c>
      <c r="L8" s="76" t="b">
        <v>1</v>
      </c>
      <c r="M8" s="39" t="s">
        <v>1797</v>
      </c>
      <c r="N8" s="39" t="s">
        <v>1776</v>
      </c>
      <c r="O8" s="19" t="s">
        <v>1749</v>
      </c>
      <c r="P8" s="9"/>
      <c r="Q8" s="19"/>
      <c r="R8" s="9"/>
      <c r="S8" s="9"/>
      <c r="T8" s="9"/>
      <c r="U8" s="9"/>
      <c r="V8" s="9"/>
      <c r="W8" s="9"/>
      <c r="X8" s="9"/>
      <c r="Y8" s="9"/>
      <c r="Z8" s="9"/>
    </row>
    <row r="9" ht="15.75" customHeight="1">
      <c r="A9" s="31" t="s">
        <v>1769</v>
      </c>
      <c r="B9" s="24" t="s">
        <v>1737</v>
      </c>
      <c r="C9" s="24" t="s">
        <v>1124</v>
      </c>
      <c r="D9" s="19" t="s">
        <v>1798</v>
      </c>
      <c r="E9" s="19" t="s">
        <v>1753</v>
      </c>
      <c r="F9" s="19" t="s">
        <v>1799</v>
      </c>
      <c r="G9" s="19" t="s">
        <v>1800</v>
      </c>
      <c r="H9" s="19" t="s">
        <v>1756</v>
      </c>
      <c r="I9" s="19" t="s">
        <v>1801</v>
      </c>
      <c r="J9" s="39" t="s">
        <v>1745</v>
      </c>
      <c r="K9" s="24" t="s">
        <v>1802</v>
      </c>
      <c r="L9" s="76" t="b">
        <v>1</v>
      </c>
      <c r="M9" s="39" t="s">
        <v>1775</v>
      </c>
      <c r="N9" s="39" t="s">
        <v>1776</v>
      </c>
      <c r="O9" s="19" t="s">
        <v>1749</v>
      </c>
      <c r="P9" s="9"/>
      <c r="Q9" s="9"/>
      <c r="R9" s="9"/>
      <c r="S9" s="9"/>
      <c r="T9" s="9"/>
      <c r="U9" s="9"/>
      <c r="V9" s="9"/>
      <c r="W9" s="9"/>
      <c r="X9" s="9"/>
      <c r="Y9" s="9"/>
      <c r="Z9" s="9"/>
    </row>
    <row r="10" ht="15.75" customHeight="1">
      <c r="A10" s="31" t="s">
        <v>1769</v>
      </c>
      <c r="B10" s="24" t="s">
        <v>1737</v>
      </c>
      <c r="C10" s="24" t="s">
        <v>733</v>
      </c>
      <c r="D10" s="19" t="s">
        <v>1803</v>
      </c>
      <c r="E10" s="19" t="s">
        <v>1753</v>
      </c>
      <c r="F10" s="19" t="s">
        <v>1804</v>
      </c>
      <c r="G10" s="19" t="s">
        <v>1805</v>
      </c>
      <c r="H10" s="19" t="s">
        <v>1756</v>
      </c>
      <c r="I10" s="19" t="s">
        <v>1806</v>
      </c>
      <c r="J10" s="39" t="s">
        <v>1745</v>
      </c>
      <c r="K10" s="24" t="s">
        <v>1807</v>
      </c>
      <c r="L10" s="76" t="b">
        <v>1</v>
      </c>
      <c r="M10" s="39" t="s">
        <v>1775</v>
      </c>
      <c r="N10" s="39" t="s">
        <v>1776</v>
      </c>
      <c r="O10" s="19" t="s">
        <v>1749</v>
      </c>
      <c r="P10" s="9"/>
      <c r="Q10" s="9"/>
      <c r="R10" s="9"/>
      <c r="S10" s="9"/>
      <c r="T10" s="9"/>
      <c r="U10" s="9"/>
      <c r="V10" s="9"/>
      <c r="W10" s="9"/>
      <c r="X10" s="9"/>
      <c r="Y10" s="9"/>
      <c r="Z10" s="9"/>
    </row>
    <row r="11" ht="15.75" customHeight="1">
      <c r="A11" s="31" t="s">
        <v>1769</v>
      </c>
      <c r="B11" s="24" t="s">
        <v>1737</v>
      </c>
      <c r="C11" s="24" t="s">
        <v>1182</v>
      </c>
      <c r="D11" s="19" t="s">
        <v>1808</v>
      </c>
      <c r="E11" s="19" t="s">
        <v>1753</v>
      </c>
      <c r="F11" s="19" t="s">
        <v>1809</v>
      </c>
      <c r="G11" s="19" t="s">
        <v>1810</v>
      </c>
      <c r="H11" s="19" t="s">
        <v>1756</v>
      </c>
      <c r="I11" s="19" t="s">
        <v>1811</v>
      </c>
      <c r="J11" s="39" t="s">
        <v>1745</v>
      </c>
      <c r="K11" s="19" t="s">
        <v>1812</v>
      </c>
      <c r="L11" s="76" t="b">
        <v>1</v>
      </c>
      <c r="M11" s="39" t="s">
        <v>1797</v>
      </c>
      <c r="N11" s="39" t="s">
        <v>1776</v>
      </c>
      <c r="O11" s="19" t="s">
        <v>1749</v>
      </c>
      <c r="P11" s="9"/>
      <c r="Q11" s="9"/>
      <c r="R11" s="9"/>
      <c r="S11" s="9"/>
      <c r="T11" s="9"/>
      <c r="U11" s="9"/>
      <c r="V11" s="9"/>
      <c r="W11" s="9"/>
      <c r="X11" s="9"/>
      <c r="Y11" s="9"/>
      <c r="Z11" s="9"/>
    </row>
    <row r="12" ht="15.75" customHeight="1">
      <c r="A12" s="31" t="s">
        <v>1769</v>
      </c>
      <c r="B12" s="24" t="s">
        <v>1737</v>
      </c>
      <c r="C12" s="24" t="s">
        <v>1529</v>
      </c>
      <c r="D12" s="19" t="s">
        <v>1813</v>
      </c>
      <c r="E12" s="19" t="s">
        <v>1753</v>
      </c>
      <c r="F12" s="19" t="s">
        <v>1814</v>
      </c>
      <c r="G12" s="19" t="s">
        <v>1815</v>
      </c>
      <c r="H12" s="19" t="s">
        <v>1756</v>
      </c>
      <c r="I12" s="19" t="s">
        <v>1816</v>
      </c>
      <c r="J12" s="39" t="s">
        <v>1745</v>
      </c>
      <c r="K12" s="19" t="s">
        <v>1817</v>
      </c>
      <c r="L12" s="76" t="b">
        <v>1</v>
      </c>
      <c r="M12" s="39" t="s">
        <v>1797</v>
      </c>
      <c r="N12" s="39" t="s">
        <v>1776</v>
      </c>
      <c r="O12" s="19" t="s">
        <v>1749</v>
      </c>
      <c r="P12" s="9"/>
      <c r="Q12" s="9"/>
      <c r="R12" s="9"/>
      <c r="S12" s="9"/>
      <c r="T12" s="9"/>
      <c r="U12" s="9"/>
      <c r="V12" s="9"/>
      <c r="W12" s="9"/>
      <c r="X12" s="9"/>
      <c r="Y12" s="9"/>
      <c r="Z12" s="9"/>
    </row>
    <row r="13" ht="15.75" customHeight="1">
      <c r="A13" s="31" t="s">
        <v>1769</v>
      </c>
      <c r="B13" s="24" t="s">
        <v>1737</v>
      </c>
      <c r="C13" s="24" t="s">
        <v>355</v>
      </c>
      <c r="D13" s="19" t="s">
        <v>1818</v>
      </c>
      <c r="E13" s="19" t="s">
        <v>1753</v>
      </c>
      <c r="F13" s="19" t="s">
        <v>1819</v>
      </c>
      <c r="G13" s="19" t="s">
        <v>1820</v>
      </c>
      <c r="H13" s="19" t="s">
        <v>1756</v>
      </c>
      <c r="I13" s="19" t="s">
        <v>1821</v>
      </c>
      <c r="J13" s="39" t="s">
        <v>1745</v>
      </c>
      <c r="K13" s="19" t="s">
        <v>1822</v>
      </c>
      <c r="L13" s="76" t="b">
        <v>1</v>
      </c>
      <c r="M13" s="39" t="s">
        <v>1775</v>
      </c>
      <c r="N13" s="39" t="s">
        <v>1776</v>
      </c>
      <c r="O13" s="19" t="s">
        <v>1749</v>
      </c>
      <c r="P13" s="9"/>
      <c r="Q13" s="9"/>
      <c r="R13" s="9"/>
      <c r="S13" s="9"/>
      <c r="T13" s="9"/>
      <c r="U13" s="9"/>
      <c r="V13" s="9"/>
      <c r="W13" s="9"/>
      <c r="X13" s="9"/>
      <c r="Y13" s="9"/>
      <c r="Z13" s="9"/>
    </row>
    <row r="14" ht="15.75" customHeight="1">
      <c r="A14" s="39" t="s">
        <v>1823</v>
      </c>
      <c r="B14" s="24" t="s">
        <v>1737</v>
      </c>
      <c r="C14" s="19" t="s">
        <v>1069</v>
      </c>
      <c r="D14" s="19" t="s">
        <v>1824</v>
      </c>
      <c r="E14" s="19" t="s">
        <v>1753</v>
      </c>
      <c r="F14" s="19" t="s">
        <v>1825</v>
      </c>
      <c r="G14" s="19" t="s">
        <v>1826</v>
      </c>
      <c r="H14" s="19" t="s">
        <v>1756</v>
      </c>
      <c r="I14" s="19" t="s">
        <v>1827</v>
      </c>
      <c r="J14" s="39" t="s">
        <v>1745</v>
      </c>
      <c r="K14" s="19" t="s">
        <v>1828</v>
      </c>
      <c r="L14" s="76" t="b">
        <v>1</v>
      </c>
      <c r="M14" s="39" t="s">
        <v>1829</v>
      </c>
      <c r="N14" s="39" t="s">
        <v>1748</v>
      </c>
      <c r="O14" s="19" t="s">
        <v>1749</v>
      </c>
      <c r="P14" s="9"/>
      <c r="Q14" s="9"/>
      <c r="R14" s="9"/>
      <c r="S14" s="9"/>
      <c r="T14" s="9"/>
      <c r="U14" s="9"/>
      <c r="V14" s="9"/>
      <c r="W14" s="9"/>
      <c r="X14" s="9"/>
      <c r="Y14" s="9"/>
      <c r="Z14" s="9"/>
    </row>
    <row r="15" ht="15.75" hidden="1" customHeight="1">
      <c r="A15" s="39" t="s">
        <v>1736</v>
      </c>
      <c r="B15" s="24" t="s">
        <v>1737</v>
      </c>
      <c r="C15" s="19" t="s">
        <v>602</v>
      </c>
      <c r="D15" s="19" t="s">
        <v>1830</v>
      </c>
      <c r="E15" s="19" t="s">
        <v>1753</v>
      </c>
      <c r="F15" s="19" t="s">
        <v>1831</v>
      </c>
      <c r="G15" s="19" t="s">
        <v>1832</v>
      </c>
      <c r="H15" s="19" t="s">
        <v>1756</v>
      </c>
      <c r="I15" s="19" t="s">
        <v>1833</v>
      </c>
      <c r="J15" s="19" t="s">
        <v>1745</v>
      </c>
      <c r="K15" s="19" t="s">
        <v>1834</v>
      </c>
      <c r="L15" s="76" t="b">
        <v>1</v>
      </c>
      <c r="M15" s="39" t="s">
        <v>1747</v>
      </c>
      <c r="N15" s="39" t="s">
        <v>1768</v>
      </c>
      <c r="O15" s="19" t="s">
        <v>1761</v>
      </c>
      <c r="P15" s="9"/>
      <c r="Q15" s="9"/>
      <c r="R15" s="9"/>
      <c r="S15" s="9"/>
      <c r="T15" s="9"/>
      <c r="U15" s="9"/>
      <c r="V15" s="9"/>
      <c r="W15" s="9"/>
      <c r="X15" s="9"/>
      <c r="Y15" s="9"/>
      <c r="Z15" s="9"/>
    </row>
    <row r="16" ht="15.75" customHeight="1">
      <c r="A16" s="39" t="s">
        <v>1736</v>
      </c>
      <c r="B16" s="24" t="s">
        <v>1737</v>
      </c>
      <c r="C16" s="19" t="s">
        <v>693</v>
      </c>
      <c r="D16" s="19" t="s">
        <v>1835</v>
      </c>
      <c r="E16" s="19" t="s">
        <v>1753</v>
      </c>
      <c r="F16" s="19" t="s">
        <v>1836</v>
      </c>
      <c r="G16" s="19" t="s">
        <v>1837</v>
      </c>
      <c r="H16" s="19" t="s">
        <v>1756</v>
      </c>
      <c r="I16" s="19" t="s">
        <v>1838</v>
      </c>
      <c r="J16" s="19" t="s">
        <v>1745</v>
      </c>
      <c r="K16" s="19" t="s">
        <v>1839</v>
      </c>
      <c r="L16" s="76" t="b">
        <v>1</v>
      </c>
      <c r="M16" s="39" t="s">
        <v>1791</v>
      </c>
      <c r="N16" s="39" t="s">
        <v>1776</v>
      </c>
      <c r="O16" s="19" t="s">
        <v>1749</v>
      </c>
      <c r="P16" s="9"/>
      <c r="Q16" s="9"/>
      <c r="R16" s="9"/>
      <c r="S16" s="9"/>
      <c r="T16" s="9"/>
      <c r="U16" s="9"/>
      <c r="V16" s="9"/>
      <c r="W16" s="9"/>
      <c r="X16" s="9"/>
      <c r="Y16" s="9"/>
      <c r="Z16" s="9"/>
    </row>
    <row r="17" ht="15.75" hidden="1" customHeight="1">
      <c r="A17" s="39" t="s">
        <v>1736</v>
      </c>
      <c r="B17" s="24" t="s">
        <v>1737</v>
      </c>
      <c r="C17" s="19" t="s">
        <v>1194</v>
      </c>
      <c r="D17" s="19" t="s">
        <v>1840</v>
      </c>
      <c r="E17" s="19" t="s">
        <v>1753</v>
      </c>
      <c r="F17" s="19" t="s">
        <v>1841</v>
      </c>
      <c r="G17" s="19" t="s">
        <v>1842</v>
      </c>
      <c r="H17" s="19" t="s">
        <v>1756</v>
      </c>
      <c r="I17" s="19" t="s">
        <v>1843</v>
      </c>
      <c r="J17" s="19" t="s">
        <v>1745</v>
      </c>
      <c r="K17" s="19" t="s">
        <v>1844</v>
      </c>
      <c r="L17" s="76" t="b">
        <v>1</v>
      </c>
      <c r="M17" s="39" t="s">
        <v>1747</v>
      </c>
      <c r="N17" s="39" t="s">
        <v>1845</v>
      </c>
      <c r="O17" s="19" t="s">
        <v>1761</v>
      </c>
      <c r="P17" s="9"/>
      <c r="Q17" s="9"/>
      <c r="R17" s="9"/>
      <c r="S17" s="9"/>
      <c r="T17" s="9"/>
      <c r="U17" s="9"/>
      <c r="V17" s="9"/>
      <c r="W17" s="9"/>
      <c r="X17" s="9"/>
      <c r="Y17" s="9"/>
      <c r="Z17" s="9"/>
    </row>
    <row r="18" ht="15.75" hidden="1" customHeight="1">
      <c r="A18" s="31" t="s">
        <v>1769</v>
      </c>
      <c r="B18" s="31" t="s">
        <v>1737</v>
      </c>
      <c r="C18" s="31" t="s">
        <v>435</v>
      </c>
      <c r="D18" s="39" t="s">
        <v>1846</v>
      </c>
      <c r="E18" s="19" t="s">
        <v>1753</v>
      </c>
      <c r="F18" s="19" t="s">
        <v>1847</v>
      </c>
      <c r="G18" s="19" t="s">
        <v>1848</v>
      </c>
      <c r="H18" s="19" t="s">
        <v>1756</v>
      </c>
      <c r="I18" s="19" t="s">
        <v>1849</v>
      </c>
      <c r="J18" s="39" t="s">
        <v>1745</v>
      </c>
      <c r="K18" s="39" t="s">
        <v>1850</v>
      </c>
      <c r="L18" s="76" t="b">
        <v>1</v>
      </c>
      <c r="M18" s="39" t="s">
        <v>1851</v>
      </c>
      <c r="N18" s="39" t="s">
        <v>1852</v>
      </c>
      <c r="O18" s="19" t="s">
        <v>1761</v>
      </c>
      <c r="P18" s="9"/>
      <c r="Q18" s="9"/>
      <c r="R18" s="9"/>
      <c r="S18" s="9"/>
      <c r="T18" s="9"/>
      <c r="U18" s="9"/>
      <c r="V18" s="9"/>
      <c r="W18" s="9"/>
      <c r="X18" s="9"/>
      <c r="Y18" s="9"/>
      <c r="Z18" s="9"/>
    </row>
    <row r="19" ht="15.75" hidden="1" customHeight="1">
      <c r="A19" s="31" t="s">
        <v>1769</v>
      </c>
      <c r="B19" s="24" t="s">
        <v>1737</v>
      </c>
      <c r="C19" s="24" t="s">
        <v>254</v>
      </c>
      <c r="D19" s="19" t="s">
        <v>1853</v>
      </c>
      <c r="E19" s="19" t="s">
        <v>1753</v>
      </c>
      <c r="F19" s="19" t="s">
        <v>1854</v>
      </c>
      <c r="G19" s="19" t="s">
        <v>1855</v>
      </c>
      <c r="H19" s="19" t="s">
        <v>1756</v>
      </c>
      <c r="I19" s="19" t="s">
        <v>1856</v>
      </c>
      <c r="J19" s="39" t="s">
        <v>1745</v>
      </c>
      <c r="K19" s="19" t="s">
        <v>1857</v>
      </c>
      <c r="L19" s="76" t="b">
        <v>1</v>
      </c>
      <c r="M19" s="39" t="s">
        <v>1858</v>
      </c>
      <c r="N19" s="39" t="s">
        <v>1859</v>
      </c>
      <c r="O19" s="19" t="s">
        <v>1761</v>
      </c>
      <c r="P19" s="9"/>
      <c r="Q19" s="9"/>
      <c r="R19" s="9"/>
      <c r="S19" s="9"/>
      <c r="T19" s="9"/>
      <c r="U19" s="9"/>
      <c r="V19" s="9"/>
      <c r="W19" s="9"/>
      <c r="X19" s="9"/>
      <c r="Y19" s="9"/>
      <c r="Z19" s="9"/>
    </row>
    <row r="20" ht="15.75" customHeight="1">
      <c r="A20" s="31" t="s">
        <v>1769</v>
      </c>
      <c r="B20" s="24" t="s">
        <v>1737</v>
      </c>
      <c r="C20" s="24" t="s">
        <v>1762</v>
      </c>
      <c r="D20" s="19" t="s">
        <v>1860</v>
      </c>
      <c r="E20" s="19" t="s">
        <v>1753</v>
      </c>
      <c r="F20" s="19" t="s">
        <v>1861</v>
      </c>
      <c r="G20" s="19" t="s">
        <v>1862</v>
      </c>
      <c r="H20" s="19" t="s">
        <v>1756</v>
      </c>
      <c r="I20" s="19" t="s">
        <v>1863</v>
      </c>
      <c r="J20" s="39" t="s">
        <v>1745</v>
      </c>
      <c r="K20" s="19" t="s">
        <v>1864</v>
      </c>
      <c r="L20" s="76" t="b">
        <v>1</v>
      </c>
      <c r="M20" s="39" t="s">
        <v>1797</v>
      </c>
      <c r="N20" s="39" t="s">
        <v>1748</v>
      </c>
      <c r="O20" s="19" t="s">
        <v>1749</v>
      </c>
      <c r="P20" s="9"/>
      <c r="Q20" s="9"/>
      <c r="R20" s="9"/>
      <c r="S20" s="9"/>
      <c r="T20" s="9"/>
      <c r="U20" s="9"/>
      <c r="V20" s="9"/>
      <c r="W20" s="9"/>
      <c r="X20" s="9"/>
      <c r="Y20" s="9"/>
      <c r="Z20" s="9"/>
    </row>
    <row r="21" ht="15.75" hidden="1" customHeight="1">
      <c r="A21" s="31" t="s">
        <v>1769</v>
      </c>
      <c r="B21" s="24" t="s">
        <v>1737</v>
      </c>
      <c r="C21" s="6" t="s">
        <v>233</v>
      </c>
      <c r="D21" s="19" t="s">
        <v>1865</v>
      </c>
      <c r="E21" s="19" t="s">
        <v>1753</v>
      </c>
      <c r="F21" s="19" t="s">
        <v>1866</v>
      </c>
      <c r="G21" s="19" t="s">
        <v>1867</v>
      </c>
      <c r="H21" s="19" t="s">
        <v>1756</v>
      </c>
      <c r="I21" s="19" t="s">
        <v>1868</v>
      </c>
      <c r="J21" s="39" t="s">
        <v>1745</v>
      </c>
      <c r="K21" s="19" t="s">
        <v>1869</v>
      </c>
      <c r="L21" s="76" t="b">
        <v>1</v>
      </c>
      <c r="M21" s="39" t="s">
        <v>1870</v>
      </c>
      <c r="N21" s="39" t="s">
        <v>1852</v>
      </c>
      <c r="O21" s="19" t="s">
        <v>1761</v>
      </c>
      <c r="P21" s="9"/>
      <c r="Q21" s="9"/>
      <c r="R21" s="9"/>
      <c r="S21" s="9"/>
      <c r="T21" s="9"/>
      <c r="U21" s="9"/>
      <c r="V21" s="9"/>
      <c r="W21" s="9"/>
      <c r="X21" s="9"/>
      <c r="Y21" s="9"/>
      <c r="Z21" s="9"/>
    </row>
    <row r="22" ht="15.75" hidden="1" customHeight="1">
      <c r="A22" s="39" t="s">
        <v>1736</v>
      </c>
      <c r="B22" s="24" t="s">
        <v>1737</v>
      </c>
      <c r="C22" s="19" t="s">
        <v>490</v>
      </c>
      <c r="D22" s="19" t="s">
        <v>1871</v>
      </c>
      <c r="E22" s="19" t="s">
        <v>1872</v>
      </c>
      <c r="F22" s="19" t="s">
        <v>1873</v>
      </c>
      <c r="G22" s="19" t="s">
        <v>1874</v>
      </c>
      <c r="H22" s="19" t="s">
        <v>1875</v>
      </c>
      <c r="I22" s="19" t="s">
        <v>1876</v>
      </c>
      <c r="J22" s="19" t="s">
        <v>1745</v>
      </c>
      <c r="K22" s="19" t="s">
        <v>1877</v>
      </c>
      <c r="L22" s="76" t="b">
        <v>1</v>
      </c>
      <c r="M22" s="39" t="s">
        <v>1747</v>
      </c>
      <c r="N22" s="39" t="s">
        <v>1878</v>
      </c>
      <c r="O22" s="19" t="s">
        <v>1761</v>
      </c>
      <c r="P22" s="9"/>
      <c r="Q22" s="9"/>
      <c r="R22" s="9"/>
      <c r="S22" s="9"/>
      <c r="T22" s="9"/>
      <c r="U22" s="9"/>
      <c r="V22" s="9"/>
      <c r="W22" s="9"/>
      <c r="X22" s="9"/>
      <c r="Y22" s="9"/>
      <c r="Z22" s="9"/>
    </row>
    <row r="23" ht="15.75" hidden="1" customHeight="1">
      <c r="A23" s="39" t="s">
        <v>1736</v>
      </c>
      <c r="B23" s="24" t="s">
        <v>1737</v>
      </c>
      <c r="C23" s="19" t="s">
        <v>1233</v>
      </c>
      <c r="D23" s="19" t="s">
        <v>1879</v>
      </c>
      <c r="E23" s="19" t="s">
        <v>1753</v>
      </c>
      <c r="F23" s="19" t="s">
        <v>1880</v>
      </c>
      <c r="G23" s="19" t="s">
        <v>1881</v>
      </c>
      <c r="H23" s="19" t="s">
        <v>1756</v>
      </c>
      <c r="I23" s="19" t="s">
        <v>1882</v>
      </c>
      <c r="J23" s="19" t="s">
        <v>1745</v>
      </c>
      <c r="K23" s="19" t="s">
        <v>1883</v>
      </c>
      <c r="L23" s="76" t="b">
        <v>1</v>
      </c>
      <c r="M23" s="39" t="s">
        <v>1858</v>
      </c>
      <c r="N23" s="39" t="s">
        <v>1884</v>
      </c>
      <c r="O23" s="19" t="s">
        <v>1761</v>
      </c>
      <c r="P23" s="9"/>
      <c r="Q23" s="9"/>
      <c r="R23" s="9"/>
      <c r="S23" s="9"/>
      <c r="T23" s="9"/>
      <c r="U23" s="9"/>
      <c r="V23" s="9"/>
      <c r="W23" s="9"/>
      <c r="X23" s="9"/>
      <c r="Y23" s="9"/>
      <c r="Z23" s="9"/>
    </row>
    <row r="24" ht="15.75" hidden="1" customHeight="1">
      <c r="A24" s="39" t="s">
        <v>1736</v>
      </c>
      <c r="B24" s="24" t="s">
        <v>1737</v>
      </c>
      <c r="C24" s="19" t="s">
        <v>1602</v>
      </c>
      <c r="D24" s="19" t="s">
        <v>1885</v>
      </c>
      <c r="E24" s="19" t="s">
        <v>1740</v>
      </c>
      <c r="F24" s="19" t="s">
        <v>1886</v>
      </c>
      <c r="G24" s="19" t="s">
        <v>1887</v>
      </c>
      <c r="H24" s="19" t="s">
        <v>1743</v>
      </c>
      <c r="I24" s="19" t="s">
        <v>1888</v>
      </c>
      <c r="J24" s="19" t="s">
        <v>1745</v>
      </c>
      <c r="K24" s="19" t="s">
        <v>1889</v>
      </c>
      <c r="L24" s="76" t="b">
        <v>1</v>
      </c>
      <c r="M24" s="39" t="s">
        <v>1878</v>
      </c>
      <c r="N24" s="39" t="s">
        <v>1890</v>
      </c>
      <c r="O24" s="19" t="s">
        <v>1761</v>
      </c>
      <c r="P24" s="9"/>
      <c r="Q24" s="9"/>
      <c r="R24" s="9"/>
      <c r="S24" s="9"/>
      <c r="T24" s="9"/>
      <c r="U24" s="9"/>
      <c r="V24" s="9"/>
      <c r="W24" s="9"/>
      <c r="X24" s="9"/>
      <c r="Y24" s="9"/>
      <c r="Z24" s="9"/>
    </row>
    <row r="25" ht="15.75" hidden="1" customHeight="1">
      <c r="A25" s="39" t="s">
        <v>1736</v>
      </c>
      <c r="B25" s="24" t="s">
        <v>1737</v>
      </c>
      <c r="C25" s="19" t="s">
        <v>1301</v>
      </c>
      <c r="D25" s="19" t="s">
        <v>1891</v>
      </c>
      <c r="E25" s="19" t="s">
        <v>1753</v>
      </c>
      <c r="F25" s="19" t="s">
        <v>1892</v>
      </c>
      <c r="G25" s="19" t="s">
        <v>1893</v>
      </c>
      <c r="H25" s="19" t="s">
        <v>1756</v>
      </c>
      <c r="I25" s="19" t="s">
        <v>1894</v>
      </c>
      <c r="J25" s="19" t="s">
        <v>1745</v>
      </c>
      <c r="K25" s="19" t="s">
        <v>1895</v>
      </c>
      <c r="L25" s="76" t="b">
        <v>1</v>
      </c>
      <c r="M25" s="39" t="s">
        <v>1747</v>
      </c>
      <c r="N25" s="39" t="s">
        <v>1896</v>
      </c>
      <c r="O25" s="19" t="s">
        <v>1761</v>
      </c>
      <c r="P25" s="9"/>
      <c r="Q25" s="9"/>
      <c r="R25" s="9"/>
      <c r="S25" s="9"/>
      <c r="T25" s="9"/>
      <c r="U25" s="9"/>
      <c r="V25" s="9"/>
      <c r="W25" s="9"/>
      <c r="X25" s="9"/>
      <c r="Y25" s="9"/>
      <c r="Z25" s="9"/>
    </row>
    <row r="26" ht="15.75" hidden="1" customHeight="1">
      <c r="A26" s="39" t="s">
        <v>1736</v>
      </c>
      <c r="B26" s="24" t="s">
        <v>1737</v>
      </c>
      <c r="C26" s="19" t="s">
        <v>1307</v>
      </c>
      <c r="D26" s="19" t="s">
        <v>1897</v>
      </c>
      <c r="E26" s="19" t="s">
        <v>1898</v>
      </c>
      <c r="F26" s="19" t="s">
        <v>1899</v>
      </c>
      <c r="G26" s="19" t="s">
        <v>1900</v>
      </c>
      <c r="H26" s="19" t="s">
        <v>1901</v>
      </c>
      <c r="I26" s="19" t="s">
        <v>1902</v>
      </c>
      <c r="J26" s="19" t="s">
        <v>1745</v>
      </c>
      <c r="K26" s="19" t="s">
        <v>1903</v>
      </c>
      <c r="L26" s="76" t="b">
        <v>1</v>
      </c>
      <c r="M26" s="39" t="s">
        <v>1747</v>
      </c>
      <c r="N26" s="39" t="s">
        <v>1904</v>
      </c>
      <c r="O26" s="19" t="s">
        <v>1761</v>
      </c>
      <c r="P26" s="9"/>
      <c r="Q26" s="9"/>
      <c r="R26" s="9"/>
      <c r="S26" s="9"/>
      <c r="T26" s="9"/>
      <c r="U26" s="9"/>
      <c r="V26" s="9"/>
      <c r="W26" s="9"/>
      <c r="X26" s="9"/>
      <c r="Y26" s="9"/>
      <c r="Z26" s="9"/>
    </row>
    <row r="27" ht="15.75" customHeight="1">
      <c r="A27" s="39" t="s">
        <v>1736</v>
      </c>
      <c r="B27" s="24" t="s">
        <v>1737</v>
      </c>
      <c r="C27" s="19" t="s">
        <v>1578</v>
      </c>
      <c r="D27" s="19" t="s">
        <v>1905</v>
      </c>
      <c r="E27" s="19" t="s">
        <v>1753</v>
      </c>
      <c r="F27" s="19" t="s">
        <v>1906</v>
      </c>
      <c r="G27" s="19" t="s">
        <v>1907</v>
      </c>
      <c r="H27" s="19" t="s">
        <v>1756</v>
      </c>
      <c r="I27" s="19" t="s">
        <v>1908</v>
      </c>
      <c r="J27" s="19" t="s">
        <v>1745</v>
      </c>
      <c r="K27" s="19" t="s">
        <v>1909</v>
      </c>
      <c r="L27" s="76" t="b">
        <v>1</v>
      </c>
      <c r="M27" s="39" t="s">
        <v>1910</v>
      </c>
      <c r="N27" s="39" t="s">
        <v>1911</v>
      </c>
      <c r="O27" s="19" t="s">
        <v>1749</v>
      </c>
      <c r="P27" s="9"/>
      <c r="Q27" s="9"/>
      <c r="R27" s="9"/>
      <c r="S27" s="9"/>
      <c r="T27" s="9"/>
      <c r="U27" s="9"/>
      <c r="V27" s="9"/>
      <c r="W27" s="9"/>
      <c r="X27" s="9"/>
      <c r="Y27" s="9"/>
      <c r="Z27" s="9"/>
    </row>
    <row r="28" ht="15.75" hidden="1" customHeight="1">
      <c r="A28" s="39" t="s">
        <v>1912</v>
      </c>
      <c r="B28" s="24" t="s">
        <v>1737</v>
      </c>
      <c r="C28" s="6" t="s">
        <v>651</v>
      </c>
      <c r="D28" s="19" t="s">
        <v>1913</v>
      </c>
      <c r="E28" s="19" t="s">
        <v>1740</v>
      </c>
      <c r="F28" s="19" t="s">
        <v>1914</v>
      </c>
      <c r="G28" s="19" t="s">
        <v>1915</v>
      </c>
      <c r="H28" s="19" t="s">
        <v>1743</v>
      </c>
      <c r="I28" s="19" t="s">
        <v>1916</v>
      </c>
      <c r="J28" s="19" t="s">
        <v>1745</v>
      </c>
      <c r="K28" s="19" t="s">
        <v>1917</v>
      </c>
      <c r="L28" s="76" t="b">
        <v>1</v>
      </c>
      <c r="M28" s="39" t="s">
        <v>1918</v>
      </c>
      <c r="N28" s="39" t="s">
        <v>1760</v>
      </c>
      <c r="O28" s="19" t="s">
        <v>1761</v>
      </c>
      <c r="P28" s="9"/>
      <c r="Q28" s="9"/>
      <c r="R28" s="9"/>
      <c r="S28" s="9"/>
      <c r="T28" s="9"/>
      <c r="U28" s="9"/>
      <c r="V28" s="9"/>
      <c r="W28" s="9"/>
      <c r="X28" s="9"/>
      <c r="Y28" s="9"/>
      <c r="Z28" s="9"/>
    </row>
    <row r="29" ht="15.75" hidden="1" customHeight="1">
      <c r="A29" s="39" t="s">
        <v>1912</v>
      </c>
      <c r="B29" s="24" t="s">
        <v>1737</v>
      </c>
      <c r="C29" s="19" t="s">
        <v>490</v>
      </c>
      <c r="D29" s="19" t="s">
        <v>1871</v>
      </c>
      <c r="E29" s="19" t="s">
        <v>1740</v>
      </c>
      <c r="F29" s="19" t="s">
        <v>1919</v>
      </c>
      <c r="G29" s="19" t="s">
        <v>1874</v>
      </c>
      <c r="H29" s="19" t="s">
        <v>1743</v>
      </c>
      <c r="I29" s="19" t="s">
        <v>1920</v>
      </c>
      <c r="J29" s="19" t="s">
        <v>1745</v>
      </c>
      <c r="K29" s="19" t="s">
        <v>1921</v>
      </c>
      <c r="L29" s="76" t="b">
        <v>1</v>
      </c>
      <c r="M29" s="39" t="s">
        <v>1918</v>
      </c>
      <c r="N29" s="39" t="s">
        <v>1768</v>
      </c>
      <c r="O29" s="19" t="s">
        <v>1761</v>
      </c>
      <c r="P29" s="9"/>
      <c r="Q29" s="9"/>
      <c r="R29" s="9"/>
      <c r="S29" s="9"/>
      <c r="T29" s="9"/>
      <c r="U29" s="9"/>
      <c r="V29" s="9"/>
      <c r="W29" s="9"/>
      <c r="X29" s="9"/>
      <c r="Y29" s="9"/>
      <c r="Z29" s="9"/>
    </row>
    <row r="30" ht="15.75" hidden="1" customHeight="1">
      <c r="A30" s="39" t="s">
        <v>1912</v>
      </c>
      <c r="B30" s="24" t="s">
        <v>1737</v>
      </c>
      <c r="C30" s="19" t="s">
        <v>1301</v>
      </c>
      <c r="D30" s="19" t="s">
        <v>1922</v>
      </c>
      <c r="E30" s="19" t="s">
        <v>1753</v>
      </c>
      <c r="F30" s="19" t="s">
        <v>1923</v>
      </c>
      <c r="G30" s="19" t="s">
        <v>1924</v>
      </c>
      <c r="H30" s="19" t="s">
        <v>1756</v>
      </c>
      <c r="I30" s="19" t="s">
        <v>1925</v>
      </c>
      <c r="J30" s="19" t="s">
        <v>1745</v>
      </c>
      <c r="K30" s="19" t="s">
        <v>1926</v>
      </c>
      <c r="L30" s="76" t="b">
        <v>1</v>
      </c>
      <c r="M30" s="39" t="s">
        <v>1918</v>
      </c>
      <c r="N30" s="39" t="s">
        <v>1768</v>
      </c>
      <c r="O30" s="19" t="s">
        <v>1761</v>
      </c>
      <c r="P30" s="9"/>
      <c r="Q30" s="9"/>
      <c r="R30" s="9"/>
      <c r="S30" s="9"/>
      <c r="T30" s="9"/>
      <c r="U30" s="9"/>
      <c r="V30" s="9"/>
      <c r="W30" s="9"/>
      <c r="X30" s="9"/>
      <c r="Y30" s="9"/>
      <c r="Z30" s="9"/>
    </row>
    <row r="31" ht="15.75" customHeight="1">
      <c r="A31" s="39" t="s">
        <v>1927</v>
      </c>
      <c r="B31" s="24" t="s">
        <v>1737</v>
      </c>
      <c r="C31" s="19" t="s">
        <v>1541</v>
      </c>
      <c r="D31" s="19" t="s">
        <v>1928</v>
      </c>
      <c r="E31" s="19" t="s">
        <v>1753</v>
      </c>
      <c r="F31" s="19" t="s">
        <v>1929</v>
      </c>
      <c r="G31" s="19" t="s">
        <v>1930</v>
      </c>
      <c r="H31" s="19" t="s">
        <v>1756</v>
      </c>
      <c r="I31" s="19" t="s">
        <v>1931</v>
      </c>
      <c r="J31" s="19" t="s">
        <v>1745</v>
      </c>
      <c r="K31" s="19" t="s">
        <v>1932</v>
      </c>
      <c r="L31" s="76" t="b">
        <v>1</v>
      </c>
      <c r="M31" s="39" t="s">
        <v>1933</v>
      </c>
      <c r="N31" s="39" t="s">
        <v>1911</v>
      </c>
      <c r="O31" s="19" t="s">
        <v>1749</v>
      </c>
      <c r="P31" s="9"/>
      <c r="Q31" s="9"/>
      <c r="R31" s="9"/>
      <c r="S31" s="9"/>
      <c r="T31" s="9"/>
      <c r="U31" s="9"/>
      <c r="V31" s="9"/>
      <c r="W31" s="9"/>
      <c r="X31" s="9"/>
      <c r="Y31" s="9"/>
      <c r="Z31" s="9"/>
    </row>
    <row r="32" ht="15.75" customHeight="1">
      <c r="A32" s="39" t="s">
        <v>1934</v>
      </c>
      <c r="B32" s="24" t="s">
        <v>1737</v>
      </c>
      <c r="C32" s="21" t="s">
        <v>272</v>
      </c>
      <c r="D32" s="19" t="s">
        <v>1935</v>
      </c>
      <c r="E32" s="19" t="s">
        <v>1753</v>
      </c>
      <c r="F32" s="19" t="s">
        <v>1936</v>
      </c>
      <c r="G32" s="19" t="s">
        <v>1937</v>
      </c>
      <c r="H32" s="19" t="s">
        <v>1756</v>
      </c>
      <c r="I32" s="19" t="s">
        <v>1938</v>
      </c>
      <c r="J32" s="19" t="s">
        <v>1745</v>
      </c>
      <c r="K32" s="19" t="s">
        <v>1939</v>
      </c>
      <c r="L32" s="76" t="b">
        <v>1</v>
      </c>
      <c r="M32" s="39" t="s">
        <v>1940</v>
      </c>
      <c r="N32" s="39" t="s">
        <v>1911</v>
      </c>
      <c r="O32" s="19" t="s">
        <v>1749</v>
      </c>
      <c r="P32" s="9"/>
      <c r="Q32" s="9"/>
      <c r="R32" s="9"/>
      <c r="S32" s="9"/>
      <c r="T32" s="9"/>
      <c r="U32" s="9"/>
      <c r="V32" s="9"/>
      <c r="W32" s="9"/>
      <c r="X32" s="9"/>
      <c r="Y32" s="9"/>
      <c r="Z32" s="9"/>
    </row>
    <row r="33" ht="15.75" hidden="1" customHeight="1">
      <c r="A33" s="39" t="s">
        <v>1934</v>
      </c>
      <c r="B33" s="24" t="s">
        <v>1737</v>
      </c>
      <c r="C33" s="21" t="s">
        <v>451</v>
      </c>
      <c r="D33" s="19" t="s">
        <v>1941</v>
      </c>
      <c r="E33" s="19" t="s">
        <v>1753</v>
      </c>
      <c r="F33" s="19" t="s">
        <v>1942</v>
      </c>
      <c r="G33" s="19" t="s">
        <v>1943</v>
      </c>
      <c r="H33" s="19" t="s">
        <v>1756</v>
      </c>
      <c r="I33" s="19" t="s">
        <v>1944</v>
      </c>
      <c r="J33" s="19" t="s">
        <v>1745</v>
      </c>
      <c r="K33" s="19" t="s">
        <v>1945</v>
      </c>
      <c r="L33" s="76" t="b">
        <v>1</v>
      </c>
      <c r="M33" s="39" t="s">
        <v>1946</v>
      </c>
      <c r="N33" s="39" t="s">
        <v>1845</v>
      </c>
      <c r="O33" s="19" t="s">
        <v>1761</v>
      </c>
      <c r="P33" s="9"/>
      <c r="Q33" s="9"/>
      <c r="R33" s="9"/>
      <c r="S33" s="9"/>
      <c r="T33" s="9"/>
      <c r="U33" s="9"/>
      <c r="V33" s="9"/>
      <c r="W33" s="9"/>
      <c r="X33" s="9"/>
      <c r="Y33" s="9"/>
      <c r="Z33" s="9"/>
    </row>
    <row r="34" ht="15.75" hidden="1" customHeight="1">
      <c r="A34" s="39" t="s">
        <v>1934</v>
      </c>
      <c r="B34" s="24" t="s">
        <v>1737</v>
      </c>
      <c r="C34" s="21" t="s">
        <v>526</v>
      </c>
      <c r="D34" s="19" t="s">
        <v>1947</v>
      </c>
      <c r="E34" s="19" t="s">
        <v>1753</v>
      </c>
      <c r="F34" s="19" t="s">
        <v>1948</v>
      </c>
      <c r="G34" s="19" t="s">
        <v>1949</v>
      </c>
      <c r="H34" s="19" t="s">
        <v>1756</v>
      </c>
      <c r="I34" s="19" t="s">
        <v>1950</v>
      </c>
      <c r="J34" s="19" t="s">
        <v>1745</v>
      </c>
      <c r="K34" s="19" t="s">
        <v>1951</v>
      </c>
      <c r="L34" s="76" t="b">
        <v>1</v>
      </c>
      <c r="M34" s="39" t="s">
        <v>1946</v>
      </c>
      <c r="N34" s="39" t="s">
        <v>1845</v>
      </c>
      <c r="O34" s="19" t="s">
        <v>1761</v>
      </c>
      <c r="P34" s="9"/>
      <c r="Q34" s="9"/>
      <c r="R34" s="9"/>
      <c r="S34" s="9"/>
      <c r="T34" s="9"/>
      <c r="U34" s="9"/>
      <c r="V34" s="9"/>
      <c r="W34" s="9"/>
      <c r="X34" s="9"/>
      <c r="Y34" s="9"/>
      <c r="Z34" s="9"/>
    </row>
    <row r="35" ht="15.75" hidden="1" customHeight="1">
      <c r="A35" s="39" t="s">
        <v>1934</v>
      </c>
      <c r="B35" s="24" t="s">
        <v>1737</v>
      </c>
      <c r="C35" s="6" t="s">
        <v>1137</v>
      </c>
      <c r="D35" s="19" t="s">
        <v>1952</v>
      </c>
      <c r="E35" s="19" t="s">
        <v>1753</v>
      </c>
      <c r="F35" s="19" t="s">
        <v>1953</v>
      </c>
      <c r="G35" s="19" t="s">
        <v>1954</v>
      </c>
      <c r="H35" s="19" t="s">
        <v>1756</v>
      </c>
      <c r="I35" s="19" t="s">
        <v>1955</v>
      </c>
      <c r="J35" s="19" t="s">
        <v>1745</v>
      </c>
      <c r="K35" s="19" t="s">
        <v>1956</v>
      </c>
      <c r="L35" s="76" t="b">
        <v>1</v>
      </c>
      <c r="M35" s="39" t="s">
        <v>1957</v>
      </c>
      <c r="N35" s="39" t="s">
        <v>1958</v>
      </c>
      <c r="O35" s="19" t="s">
        <v>1761</v>
      </c>
      <c r="P35" s="9"/>
      <c r="Q35" s="9"/>
      <c r="R35" s="9"/>
      <c r="S35" s="9"/>
      <c r="T35" s="9"/>
      <c r="U35" s="9"/>
      <c r="V35" s="9"/>
      <c r="W35" s="9"/>
      <c r="X35" s="9"/>
      <c r="Y35" s="9"/>
      <c r="Z35" s="9"/>
    </row>
    <row r="36" ht="15.75" hidden="1" customHeight="1">
      <c r="A36" s="39" t="s">
        <v>1934</v>
      </c>
      <c r="B36" s="24" t="s">
        <v>1737</v>
      </c>
      <c r="C36" s="6" t="s">
        <v>681</v>
      </c>
      <c r="D36" s="19" t="s">
        <v>1952</v>
      </c>
      <c r="E36" s="19" t="s">
        <v>1753</v>
      </c>
      <c r="F36" s="19" t="s">
        <v>1953</v>
      </c>
      <c r="G36" s="19" t="s">
        <v>1954</v>
      </c>
      <c r="H36" s="19" t="s">
        <v>1756</v>
      </c>
      <c r="I36" s="19" t="s">
        <v>1955</v>
      </c>
      <c r="J36" s="19" t="s">
        <v>1745</v>
      </c>
      <c r="K36" s="19" t="s">
        <v>1956</v>
      </c>
      <c r="L36" s="76" t="b">
        <v>1</v>
      </c>
      <c r="M36" s="39" t="s">
        <v>1957</v>
      </c>
      <c r="N36" s="39" t="s">
        <v>1958</v>
      </c>
      <c r="O36" s="19" t="s">
        <v>1761</v>
      </c>
      <c r="P36" s="9"/>
      <c r="Q36" s="9"/>
      <c r="R36" s="9"/>
      <c r="S36" s="9"/>
      <c r="T36" s="9"/>
      <c r="U36" s="9"/>
      <c r="V36" s="9"/>
      <c r="W36" s="9"/>
      <c r="X36" s="9"/>
      <c r="Y36" s="9"/>
      <c r="Z36" s="9"/>
    </row>
    <row r="37" ht="15.75" hidden="1" customHeight="1">
      <c r="A37" s="39" t="s">
        <v>1934</v>
      </c>
      <c r="B37" s="24" t="s">
        <v>1737</v>
      </c>
      <c r="C37" s="6" t="s">
        <v>1959</v>
      </c>
      <c r="D37" s="19" t="s">
        <v>1960</v>
      </c>
      <c r="E37" s="19" t="s">
        <v>1753</v>
      </c>
      <c r="F37" s="19" t="s">
        <v>1961</v>
      </c>
      <c r="G37" s="19" t="s">
        <v>1962</v>
      </c>
      <c r="H37" s="19" t="s">
        <v>1756</v>
      </c>
      <c r="I37" s="19" t="s">
        <v>1963</v>
      </c>
      <c r="J37" s="19" t="s">
        <v>1745</v>
      </c>
      <c r="K37" s="19" t="s">
        <v>1964</v>
      </c>
      <c r="L37" s="76" t="b">
        <v>1</v>
      </c>
      <c r="M37" s="39" t="s">
        <v>1957</v>
      </c>
      <c r="N37" s="39" t="s">
        <v>1965</v>
      </c>
      <c r="O37" s="19" t="s">
        <v>1761</v>
      </c>
      <c r="P37" s="9"/>
      <c r="Q37" s="9"/>
      <c r="R37" s="9"/>
      <c r="S37" s="9"/>
      <c r="T37" s="9"/>
      <c r="U37" s="9"/>
      <c r="V37" s="9"/>
      <c r="W37" s="9"/>
      <c r="X37" s="9"/>
      <c r="Y37" s="9"/>
      <c r="Z37" s="9"/>
    </row>
    <row r="38" ht="15.75" customHeight="1">
      <c r="A38" s="39" t="s">
        <v>1934</v>
      </c>
      <c r="B38" s="24" t="s">
        <v>1737</v>
      </c>
      <c r="C38" s="6" t="s">
        <v>502</v>
      </c>
      <c r="D38" s="19" t="s">
        <v>1966</v>
      </c>
      <c r="E38" s="19" t="s">
        <v>1753</v>
      </c>
      <c r="F38" s="19" t="s">
        <v>1967</v>
      </c>
      <c r="G38" s="19" t="s">
        <v>1968</v>
      </c>
      <c r="H38" s="19" t="s">
        <v>1756</v>
      </c>
      <c r="I38" s="19" t="s">
        <v>1969</v>
      </c>
      <c r="J38" s="19" t="s">
        <v>1745</v>
      </c>
      <c r="K38" s="19" t="s">
        <v>1970</v>
      </c>
      <c r="L38" s="76" t="b">
        <v>1</v>
      </c>
      <c r="M38" s="39" t="s">
        <v>1965</v>
      </c>
      <c r="N38" s="39" t="s">
        <v>1748</v>
      </c>
      <c r="O38" s="19" t="s">
        <v>1749</v>
      </c>
      <c r="P38" s="9"/>
      <c r="Q38" s="9"/>
      <c r="R38" s="9"/>
      <c r="S38" s="9"/>
      <c r="T38" s="9"/>
      <c r="U38" s="9"/>
      <c r="V38" s="9"/>
      <c r="W38" s="9"/>
      <c r="X38" s="9"/>
      <c r="Y38" s="9"/>
      <c r="Z38" s="9"/>
    </row>
    <row r="39" ht="15.75" customHeight="1">
      <c r="A39" s="39" t="s">
        <v>1934</v>
      </c>
      <c r="B39" s="24" t="s">
        <v>1737</v>
      </c>
      <c r="C39" s="55" t="s">
        <v>944</v>
      </c>
      <c r="D39" s="19" t="s">
        <v>1971</v>
      </c>
      <c r="E39" s="19" t="s">
        <v>1740</v>
      </c>
      <c r="F39" s="19" t="s">
        <v>1972</v>
      </c>
      <c r="G39" s="19" t="s">
        <v>1973</v>
      </c>
      <c r="H39" s="19" t="s">
        <v>1743</v>
      </c>
      <c r="I39" s="19" t="s">
        <v>1974</v>
      </c>
      <c r="J39" s="19" t="s">
        <v>1745</v>
      </c>
      <c r="K39" s="19" t="s">
        <v>1975</v>
      </c>
      <c r="L39" s="76" t="b">
        <v>1</v>
      </c>
      <c r="M39" s="39" t="s">
        <v>1976</v>
      </c>
      <c r="N39" s="39" t="s">
        <v>1977</v>
      </c>
      <c r="O39" s="19" t="s">
        <v>1749</v>
      </c>
      <c r="P39" s="9"/>
      <c r="Q39" s="9"/>
      <c r="R39" s="9"/>
      <c r="S39" s="9"/>
      <c r="T39" s="9"/>
      <c r="U39" s="9"/>
      <c r="V39" s="9"/>
      <c r="W39" s="9"/>
      <c r="X39" s="9"/>
      <c r="Y39" s="9"/>
      <c r="Z39" s="9"/>
    </row>
    <row r="40" ht="15.75" customHeight="1">
      <c r="A40" s="39" t="s">
        <v>1934</v>
      </c>
      <c r="B40" s="24" t="s">
        <v>1737</v>
      </c>
      <c r="C40" s="55" t="s">
        <v>949</v>
      </c>
      <c r="D40" s="19" t="s">
        <v>1971</v>
      </c>
      <c r="E40" s="19" t="s">
        <v>1740</v>
      </c>
      <c r="F40" s="19" t="s">
        <v>1972</v>
      </c>
      <c r="G40" s="19" t="s">
        <v>1973</v>
      </c>
      <c r="H40" s="19" t="s">
        <v>1743</v>
      </c>
      <c r="I40" s="19" t="s">
        <v>1974</v>
      </c>
      <c r="J40" s="19" t="s">
        <v>1745</v>
      </c>
      <c r="K40" s="19" t="s">
        <v>1975</v>
      </c>
      <c r="L40" s="76" t="b">
        <v>1</v>
      </c>
      <c r="M40" s="39" t="s">
        <v>1976</v>
      </c>
      <c r="N40" s="39" t="s">
        <v>1977</v>
      </c>
      <c r="O40" s="19" t="s">
        <v>1749</v>
      </c>
      <c r="P40" s="9"/>
      <c r="Q40" s="9"/>
      <c r="R40" s="9"/>
      <c r="S40" s="9"/>
      <c r="T40" s="9"/>
      <c r="U40" s="9"/>
      <c r="V40" s="9"/>
      <c r="W40" s="9"/>
      <c r="X40" s="9"/>
      <c r="Y40" s="9"/>
      <c r="Z40" s="9"/>
    </row>
    <row r="41" ht="15.75" customHeight="1">
      <c r="A41" s="39" t="s">
        <v>1934</v>
      </c>
      <c r="B41" s="24" t="s">
        <v>1737</v>
      </c>
      <c r="C41" s="77" t="s">
        <v>412</v>
      </c>
      <c r="D41" s="19" t="s">
        <v>1978</v>
      </c>
      <c r="E41" s="19" t="s">
        <v>1753</v>
      </c>
      <c r="F41" s="19" t="s">
        <v>1979</v>
      </c>
      <c r="G41" s="19" t="s">
        <v>1980</v>
      </c>
      <c r="H41" s="19" t="s">
        <v>1756</v>
      </c>
      <c r="I41" s="19" t="s">
        <v>1981</v>
      </c>
      <c r="J41" s="19" t="s">
        <v>1745</v>
      </c>
      <c r="K41" s="19" t="s">
        <v>1982</v>
      </c>
      <c r="L41" s="76" t="b">
        <v>1</v>
      </c>
      <c r="M41" s="39" t="s">
        <v>1976</v>
      </c>
      <c r="N41" s="39" t="s">
        <v>1983</v>
      </c>
      <c r="O41" s="19" t="s">
        <v>1749</v>
      </c>
      <c r="P41" s="9"/>
      <c r="Q41" s="9"/>
      <c r="R41" s="9"/>
      <c r="S41" s="9"/>
      <c r="T41" s="9"/>
      <c r="U41" s="9"/>
      <c r="V41" s="9"/>
      <c r="W41" s="9"/>
      <c r="X41" s="9"/>
      <c r="Y41" s="9"/>
      <c r="Z41" s="9"/>
    </row>
    <row r="42" ht="15.75" customHeight="1">
      <c r="A42" s="39" t="s">
        <v>1934</v>
      </c>
      <c r="B42" s="24" t="s">
        <v>1737</v>
      </c>
      <c r="C42" s="21" t="s">
        <v>1651</v>
      </c>
      <c r="D42" s="19" t="s">
        <v>1984</v>
      </c>
      <c r="E42" s="19" t="s">
        <v>1753</v>
      </c>
      <c r="F42" s="19" t="s">
        <v>1985</v>
      </c>
      <c r="G42" s="19" t="s">
        <v>1986</v>
      </c>
      <c r="H42" s="19" t="s">
        <v>1756</v>
      </c>
      <c r="I42" s="19" t="s">
        <v>1987</v>
      </c>
      <c r="J42" s="19" t="s">
        <v>1745</v>
      </c>
      <c r="K42" s="19" t="s">
        <v>1988</v>
      </c>
      <c r="L42" s="76" t="b">
        <v>1</v>
      </c>
      <c r="M42" s="39" t="s">
        <v>1946</v>
      </c>
      <c r="N42" s="39" t="s">
        <v>1776</v>
      </c>
      <c r="O42" s="19" t="s">
        <v>1749</v>
      </c>
      <c r="P42" s="9"/>
      <c r="Q42" s="9"/>
      <c r="R42" s="9"/>
      <c r="S42" s="9"/>
      <c r="T42" s="9"/>
      <c r="U42" s="9"/>
      <c r="V42" s="9"/>
      <c r="W42" s="9"/>
      <c r="X42" s="9"/>
      <c r="Y42" s="9"/>
      <c r="Z42" s="9"/>
    </row>
    <row r="43" ht="15.75" hidden="1" customHeight="1">
      <c r="A43" s="9"/>
      <c r="B43" s="9"/>
      <c r="C43" s="9"/>
      <c r="D43" s="9"/>
      <c r="E43" s="9"/>
      <c r="F43" s="9"/>
      <c r="G43" s="9"/>
      <c r="H43" s="9"/>
      <c r="I43" s="19"/>
      <c r="J43" s="9"/>
      <c r="K43" s="9"/>
      <c r="L43" s="9"/>
      <c r="M43" s="9"/>
      <c r="N43" s="9"/>
      <c r="O43" s="9"/>
      <c r="P43" s="9"/>
      <c r="Q43" s="9"/>
      <c r="R43" s="9"/>
      <c r="S43" s="9"/>
      <c r="T43" s="9"/>
      <c r="U43" s="9"/>
      <c r="V43" s="9"/>
      <c r="W43" s="9"/>
      <c r="X43" s="9"/>
      <c r="Y43" s="9"/>
      <c r="Z43" s="9"/>
    </row>
    <row r="44" ht="15.75" hidden="1" customHeight="1">
      <c r="A44" s="9"/>
      <c r="B44" s="9"/>
      <c r="C44" s="9"/>
      <c r="D44" s="9"/>
      <c r="E44" s="9"/>
      <c r="F44" s="9"/>
      <c r="G44" s="9"/>
      <c r="H44" s="9"/>
      <c r="I44" s="19"/>
      <c r="J44" s="9"/>
      <c r="K44" s="9"/>
      <c r="L44" s="9"/>
      <c r="M44" s="9"/>
      <c r="N44" s="9"/>
      <c r="O44" s="9"/>
      <c r="P44" s="9"/>
      <c r="Q44" s="9"/>
      <c r="R44" s="9"/>
      <c r="S44" s="9"/>
      <c r="T44" s="9"/>
      <c r="U44" s="9"/>
      <c r="V44" s="9"/>
      <c r="W44" s="9"/>
      <c r="X44" s="9"/>
      <c r="Y44" s="9"/>
      <c r="Z44" s="9"/>
    </row>
    <row r="45" ht="15.75" hidden="1" customHeight="1">
      <c r="A45" s="9"/>
      <c r="B45" s="9"/>
      <c r="C45" s="9"/>
      <c r="D45" s="9"/>
      <c r="E45" s="9"/>
      <c r="F45" s="9"/>
      <c r="G45" s="9"/>
      <c r="H45" s="9"/>
      <c r="I45" s="19"/>
      <c r="J45" s="9"/>
      <c r="K45" s="9"/>
      <c r="L45" s="9"/>
      <c r="M45" s="9"/>
      <c r="N45" s="9"/>
      <c r="O45" s="9"/>
      <c r="P45" s="9"/>
      <c r="Q45" s="9"/>
      <c r="R45" s="9"/>
      <c r="S45" s="9"/>
      <c r="T45" s="9"/>
      <c r="U45" s="9"/>
      <c r="V45" s="9"/>
      <c r="W45" s="9"/>
      <c r="X45" s="9"/>
      <c r="Y45" s="9"/>
      <c r="Z45" s="9"/>
    </row>
    <row r="46" ht="15.75" hidden="1" customHeight="1">
      <c r="A46" s="9"/>
      <c r="B46" s="9"/>
      <c r="C46" s="9"/>
      <c r="D46" s="9"/>
      <c r="E46" s="9"/>
      <c r="F46" s="9"/>
      <c r="G46" s="9"/>
      <c r="H46" s="9"/>
      <c r="I46" s="19"/>
      <c r="J46" s="9"/>
      <c r="K46" s="9"/>
      <c r="L46" s="9"/>
      <c r="M46" s="9"/>
      <c r="N46" s="9"/>
      <c r="O46" s="9"/>
      <c r="P46" s="9"/>
      <c r="Q46" s="9"/>
      <c r="R46" s="9"/>
      <c r="S46" s="9"/>
      <c r="T46" s="9"/>
      <c r="U46" s="9"/>
      <c r="V46" s="9"/>
      <c r="W46" s="9"/>
      <c r="X46" s="9"/>
      <c r="Y46" s="9"/>
      <c r="Z46" s="9"/>
    </row>
    <row r="47" ht="15.75" hidden="1" customHeight="1">
      <c r="A47" s="9"/>
      <c r="B47" s="9"/>
      <c r="C47" s="9"/>
      <c r="D47" s="9"/>
      <c r="E47" s="9"/>
      <c r="F47" s="9"/>
      <c r="G47" s="9"/>
      <c r="H47" s="9"/>
      <c r="I47" s="19"/>
      <c r="J47" s="9"/>
      <c r="K47" s="9"/>
      <c r="L47" s="9"/>
      <c r="M47" s="9"/>
      <c r="N47" s="9"/>
      <c r="O47" s="9"/>
      <c r="P47" s="9"/>
      <c r="Q47" s="9"/>
      <c r="R47" s="9"/>
      <c r="S47" s="9"/>
      <c r="T47" s="9"/>
      <c r="U47" s="9"/>
      <c r="V47" s="9"/>
      <c r="W47" s="9"/>
      <c r="X47" s="9"/>
      <c r="Y47" s="9"/>
      <c r="Z47" s="9"/>
    </row>
    <row r="48" ht="15.75" hidden="1"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hidden="1" customHeight="1">
      <c r="A49" s="9"/>
      <c r="B49" s="9"/>
      <c r="C49" s="9"/>
      <c r="D49" s="9"/>
      <c r="E49" s="9"/>
      <c r="F49" s="9"/>
      <c r="G49" s="9"/>
      <c r="H49" s="9"/>
      <c r="I49" s="19"/>
      <c r="J49" s="9"/>
      <c r="K49" s="9"/>
      <c r="L49" s="9"/>
      <c r="M49" s="9"/>
      <c r="N49" s="9"/>
      <c r="O49" s="9"/>
      <c r="P49" s="9"/>
      <c r="Q49" s="9"/>
      <c r="R49" s="9"/>
      <c r="S49" s="9"/>
      <c r="T49" s="9"/>
      <c r="U49" s="9"/>
      <c r="V49" s="9"/>
      <c r="W49" s="9"/>
      <c r="X49" s="9"/>
      <c r="Y49" s="9"/>
      <c r="Z49" s="9"/>
    </row>
    <row r="50" ht="15.75" hidden="1"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hidden="1" customHeight="1">
      <c r="A51" s="9"/>
      <c r="B51" s="9"/>
      <c r="C51" s="9"/>
      <c r="D51" s="9"/>
      <c r="E51" s="9"/>
      <c r="F51" s="9"/>
      <c r="G51" s="9"/>
      <c r="H51" s="9"/>
      <c r="I51" s="19"/>
      <c r="J51" s="9"/>
      <c r="K51" s="9"/>
      <c r="L51" s="9"/>
      <c r="M51" s="9"/>
      <c r="N51" s="9"/>
      <c r="O51" s="9"/>
      <c r="P51" s="9"/>
      <c r="Q51" s="9"/>
      <c r="R51" s="9"/>
      <c r="S51" s="9"/>
      <c r="T51" s="9"/>
      <c r="U51" s="9"/>
      <c r="V51" s="9"/>
      <c r="W51" s="9"/>
      <c r="X51" s="9"/>
      <c r="Y51" s="9"/>
      <c r="Z51" s="9"/>
    </row>
    <row r="52" ht="15.75" hidden="1"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hidden="1" customHeight="1">
      <c r="A53" s="9"/>
      <c r="B53" s="9"/>
      <c r="C53" s="9"/>
      <c r="D53" s="9"/>
      <c r="E53" s="9"/>
      <c r="F53" s="9"/>
      <c r="G53" s="9"/>
      <c r="H53" s="9"/>
      <c r="I53" s="19"/>
      <c r="J53" s="9"/>
      <c r="K53" s="9"/>
      <c r="L53" s="9"/>
      <c r="M53" s="9"/>
      <c r="N53" s="9"/>
      <c r="O53" s="9"/>
      <c r="P53" s="9"/>
      <c r="Q53" s="9"/>
      <c r="R53" s="9"/>
      <c r="S53" s="9"/>
      <c r="T53" s="9"/>
      <c r="U53" s="9"/>
      <c r="V53" s="9"/>
      <c r="W53" s="9"/>
      <c r="X53" s="9"/>
      <c r="Y53" s="9"/>
      <c r="Z53" s="9"/>
    </row>
    <row r="54" ht="15.75" hidden="1"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hidden="1" customHeight="1">
      <c r="A55" s="9"/>
      <c r="B55" s="9"/>
      <c r="C55" s="9"/>
      <c r="D55" s="9"/>
      <c r="E55" s="9"/>
      <c r="F55" s="9"/>
      <c r="G55" s="9"/>
      <c r="H55" s="9"/>
      <c r="I55" s="1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ht="15.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ht="15.75" customHeight="1">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ht="15.75" customHeight="1">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ht="15.75" customHeight="1">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ht="15.75" customHeight="1">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ht="15.75" customHeight="1">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ht="15.75" customHeight="1">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ht="15.75" customHeight="1">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ht="15.75" customHeight="1">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sheetData>
  <autoFilter ref="$A$1:$O$55">
    <filterColumn colId="14">
      <filters>
        <filter val="active"/>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 customWidth="1" min="13" max="13" width="22.75"/>
  </cols>
  <sheetData>
    <row r="1" ht="15.75" customHeight="1">
      <c r="A1" s="1" t="s">
        <v>0</v>
      </c>
      <c r="B1" s="2" t="s">
        <v>1</v>
      </c>
      <c r="C1" s="2" t="s">
        <v>2</v>
      </c>
      <c r="D1" s="2" t="s">
        <v>3</v>
      </c>
      <c r="E1" s="2" t="s">
        <v>4</v>
      </c>
      <c r="F1" s="2" t="s">
        <v>5</v>
      </c>
      <c r="G1" s="2" t="s">
        <v>6</v>
      </c>
      <c r="H1" s="3" t="s">
        <v>7</v>
      </c>
      <c r="I1" s="3" t="s">
        <v>8</v>
      </c>
      <c r="J1" s="3" t="s">
        <v>9</v>
      </c>
      <c r="K1" s="3" t="s">
        <v>10</v>
      </c>
      <c r="L1" s="3" t="s">
        <v>11</v>
      </c>
      <c r="M1" s="78" t="s">
        <v>1989</v>
      </c>
      <c r="N1" s="79" t="s">
        <v>1990</v>
      </c>
      <c r="O1" s="79" t="s">
        <v>1991</v>
      </c>
      <c r="P1" s="5"/>
      <c r="Q1" s="5"/>
      <c r="R1" s="5"/>
      <c r="S1" s="5"/>
      <c r="T1" s="5"/>
      <c r="U1" s="5"/>
      <c r="V1" s="5"/>
      <c r="W1" s="5"/>
      <c r="X1" s="5"/>
      <c r="Y1" s="5"/>
      <c r="Z1" s="5"/>
    </row>
    <row r="2" ht="15.75" customHeight="1">
      <c r="A2" s="80" t="s">
        <v>1992</v>
      </c>
      <c r="B2" s="81" t="s">
        <v>1993</v>
      </c>
      <c r="C2" s="81"/>
      <c r="D2" s="81"/>
      <c r="E2" s="81">
        <v>-2.0</v>
      </c>
      <c r="F2" s="82" t="s">
        <v>1994</v>
      </c>
      <c r="G2" s="81" t="s">
        <v>287</v>
      </c>
      <c r="H2" s="83" t="s">
        <v>179</v>
      </c>
      <c r="I2" s="81" t="s">
        <v>1995</v>
      </c>
      <c r="J2" s="84" t="str">
        <f>CONCATENATE(Doors!$M$1,$K2)</f>
        <v>https://inmapper.com/zorlucenter/img/logo/PRIMESTORE.png</v>
      </c>
      <c r="K2" s="85" t="s">
        <v>1996</v>
      </c>
      <c r="L2" s="86"/>
      <c r="M2" s="72"/>
      <c r="N2" s="20" t="s">
        <v>1997</v>
      </c>
      <c r="O2" s="10"/>
      <c r="P2" s="10"/>
      <c r="Q2" s="10"/>
      <c r="R2" s="10"/>
      <c r="S2" s="10"/>
      <c r="T2" s="10"/>
      <c r="U2" s="10"/>
      <c r="V2" s="10"/>
      <c r="W2" s="10"/>
      <c r="X2" s="10"/>
      <c r="Y2" s="10"/>
      <c r="Z2" s="10"/>
    </row>
    <row r="3" ht="15.75" customHeight="1">
      <c r="A3" s="56" t="s">
        <v>435</v>
      </c>
      <c r="B3" s="58" t="s">
        <v>1998</v>
      </c>
      <c r="C3" s="58"/>
      <c r="D3" s="58"/>
      <c r="E3" s="58">
        <v>-2.0</v>
      </c>
      <c r="F3" s="87" t="s">
        <v>1999</v>
      </c>
      <c r="G3" s="58" t="s">
        <v>432</v>
      </c>
      <c r="H3" s="58" t="s">
        <v>155</v>
      </c>
      <c r="I3" s="72" t="s">
        <v>2000</v>
      </c>
      <c r="J3" s="61" t="str">
        <f>CONCATENATE(Doors!$M$1,$K3)</f>
        <v>https://inmapper.com/zorlucenter/img/logo/LUZDEMIA.png</v>
      </c>
      <c r="K3" s="10" t="s">
        <v>2001</v>
      </c>
      <c r="M3" s="72"/>
      <c r="N3" s="20" t="s">
        <v>1997</v>
      </c>
      <c r="O3" s="10"/>
      <c r="P3" s="10"/>
      <c r="Q3" s="10"/>
      <c r="R3" s="10"/>
      <c r="S3" s="10"/>
      <c r="T3" s="10"/>
      <c r="U3" s="10"/>
      <c r="V3" s="10"/>
      <c r="W3" s="10"/>
      <c r="X3" s="10"/>
      <c r="Y3" s="10"/>
      <c r="Z3" s="10"/>
    </row>
    <row r="4" ht="15.75" customHeight="1">
      <c r="A4" s="56" t="s">
        <v>2002</v>
      </c>
      <c r="B4" s="58" t="s">
        <v>2003</v>
      </c>
      <c r="C4" s="58"/>
      <c r="D4" s="58"/>
      <c r="E4" s="58">
        <v>-1.0</v>
      </c>
      <c r="F4" s="87" t="s">
        <v>2004</v>
      </c>
      <c r="G4" s="58" t="s">
        <v>2005</v>
      </c>
      <c r="H4" s="72" t="s">
        <v>558</v>
      </c>
      <c r="I4" s="72" t="s">
        <v>2006</v>
      </c>
      <c r="J4" s="61" t="str">
        <f>CONCATENATE(Doors!$M$1,$K4)</f>
        <v>https://inmapper.com/zorlucenter/img/logo/PIZZAHUT.png</v>
      </c>
      <c r="K4" s="10" t="s">
        <v>2007</v>
      </c>
      <c r="L4" s="72" t="s">
        <v>561</v>
      </c>
      <c r="N4" s="20" t="s">
        <v>1997</v>
      </c>
      <c r="O4" s="10"/>
      <c r="P4" s="10"/>
      <c r="Q4" s="10"/>
      <c r="R4" s="10"/>
      <c r="S4" s="10"/>
      <c r="T4" s="10"/>
      <c r="U4" s="10"/>
      <c r="V4" s="10"/>
      <c r="W4" s="10"/>
      <c r="X4" s="10"/>
      <c r="Y4" s="10"/>
      <c r="Z4" s="10"/>
    </row>
    <row r="5" ht="15.75" customHeight="1">
      <c r="A5" s="56" t="s">
        <v>2008</v>
      </c>
      <c r="B5" s="58" t="s">
        <v>2009</v>
      </c>
      <c r="C5" s="58"/>
      <c r="D5" s="58"/>
      <c r="E5" s="58">
        <v>-3.0</v>
      </c>
      <c r="F5" s="87" t="s">
        <v>962</v>
      </c>
      <c r="G5" s="58" t="s">
        <v>963</v>
      </c>
      <c r="H5" s="72" t="s">
        <v>129</v>
      </c>
      <c r="I5" s="72"/>
      <c r="K5" s="10"/>
      <c r="L5" s="72" t="s">
        <v>459</v>
      </c>
      <c r="N5" s="20" t="s">
        <v>1997</v>
      </c>
      <c r="O5" s="10"/>
      <c r="P5" s="10"/>
      <c r="Q5" s="10"/>
      <c r="R5" s="10"/>
      <c r="S5" s="10"/>
      <c r="T5" s="10"/>
      <c r="U5" s="10"/>
      <c r="V5" s="10"/>
      <c r="W5" s="10"/>
      <c r="X5" s="10"/>
      <c r="Y5" s="10"/>
      <c r="Z5" s="10"/>
    </row>
    <row r="6" ht="15.75" customHeight="1">
      <c r="A6" s="56" t="s">
        <v>2010</v>
      </c>
      <c r="B6" s="58" t="s">
        <v>2011</v>
      </c>
      <c r="C6" s="58"/>
      <c r="D6" s="58"/>
      <c r="E6" s="58">
        <v>0.0</v>
      </c>
      <c r="F6" s="58" t="s">
        <v>15</v>
      </c>
      <c r="G6" s="58" t="s">
        <v>878</v>
      </c>
      <c r="H6" s="72" t="s">
        <v>129</v>
      </c>
      <c r="I6" s="72"/>
      <c r="J6" s="72"/>
      <c r="L6" s="72" t="s">
        <v>459</v>
      </c>
      <c r="N6" s="20" t="s">
        <v>1997</v>
      </c>
      <c r="O6" s="10"/>
      <c r="P6" s="10"/>
      <c r="Q6" s="10"/>
      <c r="R6" s="10"/>
      <c r="S6" s="10"/>
      <c r="T6" s="10"/>
      <c r="U6" s="10"/>
      <c r="V6" s="10"/>
      <c r="W6" s="10"/>
      <c r="X6" s="10"/>
      <c r="Y6" s="10"/>
      <c r="Z6" s="10"/>
    </row>
    <row r="7" ht="15.75" customHeight="1">
      <c r="A7" s="56" t="s">
        <v>1751</v>
      </c>
      <c r="B7" s="58" t="s">
        <v>2012</v>
      </c>
      <c r="C7" s="58"/>
      <c r="D7" s="58"/>
      <c r="E7" s="58">
        <v>0.0</v>
      </c>
      <c r="F7" s="58" t="s">
        <v>15</v>
      </c>
      <c r="G7" s="58" t="s">
        <v>2013</v>
      </c>
      <c r="H7" s="72" t="s">
        <v>184</v>
      </c>
      <c r="I7" s="72"/>
      <c r="J7" s="72"/>
      <c r="L7" s="72" t="s">
        <v>187</v>
      </c>
      <c r="N7" s="20" t="s">
        <v>1997</v>
      </c>
      <c r="O7" s="10"/>
      <c r="P7" s="10"/>
      <c r="Q7" s="10"/>
      <c r="R7" s="10"/>
      <c r="S7" s="10"/>
      <c r="T7" s="10"/>
      <c r="U7" s="10"/>
      <c r="V7" s="10"/>
      <c r="W7" s="10"/>
      <c r="X7" s="10"/>
      <c r="Y7" s="10"/>
      <c r="Z7" s="10"/>
    </row>
    <row r="8" ht="15.75" customHeight="1">
      <c r="A8" s="56" t="s">
        <v>2014</v>
      </c>
      <c r="B8" s="58" t="s">
        <v>2015</v>
      </c>
      <c r="C8" s="58"/>
      <c r="D8" s="58"/>
      <c r="E8" s="58">
        <v>-1.0</v>
      </c>
      <c r="F8" s="87" t="s">
        <v>2016</v>
      </c>
      <c r="G8" s="58" t="s">
        <v>2017</v>
      </c>
      <c r="H8" s="72" t="s">
        <v>558</v>
      </c>
      <c r="I8" s="88" t="s">
        <v>2018</v>
      </c>
      <c r="J8" s="61" t="str">
        <f>CONCATENATE(Doors!$M$1,$K8)</f>
        <v>https://inmapper.com/zorlucenter/img/logo/MMYTANTUNİ.png</v>
      </c>
      <c r="K8" s="10" t="s">
        <v>2019</v>
      </c>
      <c r="L8" s="72" t="s">
        <v>561</v>
      </c>
      <c r="N8" s="20" t="s">
        <v>1997</v>
      </c>
      <c r="O8" s="10"/>
      <c r="P8" s="10"/>
      <c r="Q8" s="10"/>
      <c r="R8" s="10"/>
      <c r="S8" s="10"/>
      <c r="T8" s="10"/>
      <c r="U8" s="10"/>
      <c r="V8" s="10"/>
      <c r="W8" s="10"/>
      <c r="X8" s="10"/>
      <c r="Y8" s="10"/>
      <c r="Z8" s="10"/>
    </row>
    <row r="9" ht="15.75" customHeight="1">
      <c r="A9" s="56" t="s">
        <v>1313</v>
      </c>
      <c r="B9" s="58" t="s">
        <v>2020</v>
      </c>
      <c r="C9" s="58"/>
      <c r="D9" s="58"/>
      <c r="E9" s="58">
        <v>0.0</v>
      </c>
      <c r="F9" s="87" t="s">
        <v>2021</v>
      </c>
      <c r="G9" s="58" t="s">
        <v>2022</v>
      </c>
      <c r="H9" s="72" t="s">
        <v>184</v>
      </c>
      <c r="I9" s="72" t="s">
        <v>2023</v>
      </c>
      <c r="J9" s="61" t="str">
        <f>CONCATENATE(Doors!$M$1,$K9)</f>
        <v>https://inmapper.com/zorlucenter/img/logo/LAVINA.png</v>
      </c>
      <c r="K9" s="10" t="s">
        <v>2024</v>
      </c>
      <c r="L9" s="72" t="s">
        <v>187</v>
      </c>
      <c r="N9" s="20" t="s">
        <v>1997</v>
      </c>
      <c r="O9" s="10"/>
      <c r="P9" s="10"/>
      <c r="Q9" s="10"/>
      <c r="R9" s="10"/>
      <c r="S9" s="10"/>
      <c r="T9" s="10"/>
      <c r="U9" s="10"/>
      <c r="V9" s="10"/>
      <c r="W9" s="10"/>
      <c r="X9" s="10"/>
      <c r="Y9" s="10"/>
      <c r="Z9" s="10"/>
    </row>
    <row r="10" ht="15.75" customHeight="1">
      <c r="A10" s="56" t="s">
        <v>612</v>
      </c>
      <c r="B10" s="89" t="s">
        <v>2025</v>
      </c>
      <c r="C10" s="58"/>
      <c r="D10" s="58"/>
      <c r="E10" s="58">
        <v>-1.0</v>
      </c>
      <c r="F10" s="87" t="s">
        <v>2026</v>
      </c>
      <c r="G10" s="58" t="s">
        <v>2027</v>
      </c>
      <c r="H10" s="72" t="s">
        <v>184</v>
      </c>
      <c r="I10" s="90" t="s">
        <v>2028</v>
      </c>
      <c r="J10" s="61" t="str">
        <f>CONCATENATE(Doors!$M$1,$K10)</f>
        <v>https://inmapper.com/zorlucenter/img/logo/COLDSTONE.png</v>
      </c>
      <c r="K10" s="10" t="s">
        <v>2029</v>
      </c>
      <c r="L10" s="72" t="s">
        <v>187</v>
      </c>
      <c r="N10" s="20" t="s">
        <v>1997</v>
      </c>
      <c r="O10" s="10"/>
      <c r="P10" s="10"/>
      <c r="Q10" s="10"/>
      <c r="R10" s="10"/>
      <c r="S10" s="10"/>
      <c r="T10" s="10"/>
      <c r="U10" s="10"/>
      <c r="V10" s="10"/>
      <c r="W10" s="10"/>
      <c r="X10" s="10"/>
      <c r="Y10" s="10"/>
      <c r="Z10" s="10"/>
    </row>
    <row r="11" ht="15.75" customHeight="1">
      <c r="A11" s="6" t="s">
        <v>1959</v>
      </c>
      <c r="B11" s="18" t="s">
        <v>2030</v>
      </c>
      <c r="C11" s="7"/>
      <c r="D11" s="7"/>
      <c r="E11" s="7">
        <v>1.0</v>
      </c>
      <c r="F11" s="17" t="s">
        <v>2031</v>
      </c>
      <c r="G11" s="7"/>
      <c r="H11" s="8" t="s">
        <v>160</v>
      </c>
      <c r="I11" s="40" t="s">
        <v>2032</v>
      </c>
      <c r="J11" s="13" t="str">
        <f>CONCATENATE(Doors!$M$1,$K11)</f>
        <v>https://inmapper.com/zorlucenter/img/logo/MUSEFORALL.png</v>
      </c>
      <c r="K11" s="7" t="s">
        <v>2033</v>
      </c>
      <c r="L11" s="8" t="s">
        <v>163</v>
      </c>
      <c r="M11" s="19" t="s">
        <v>2034</v>
      </c>
      <c r="N11" s="20" t="s">
        <v>1997</v>
      </c>
      <c r="O11" s="10"/>
      <c r="P11" s="10"/>
      <c r="Q11" s="10"/>
      <c r="R11" s="10"/>
      <c r="S11" s="10"/>
      <c r="T11" s="10"/>
      <c r="U11" s="10"/>
      <c r="V11" s="10"/>
      <c r="W11" s="10"/>
      <c r="X11" s="10"/>
      <c r="Y11" s="10"/>
      <c r="Z11" s="10"/>
    </row>
    <row r="12" ht="15.75" customHeight="1">
      <c r="A12" s="6" t="s">
        <v>997</v>
      </c>
      <c r="B12" s="7" t="s">
        <v>2035</v>
      </c>
      <c r="C12" s="7"/>
      <c r="D12" s="7"/>
      <c r="E12" s="7">
        <v>0.0</v>
      </c>
      <c r="F12" s="12" t="s">
        <v>2036</v>
      </c>
      <c r="G12" s="7" t="s">
        <v>2037</v>
      </c>
      <c r="H12" s="8" t="s">
        <v>160</v>
      </c>
      <c r="I12" s="8" t="s">
        <v>1023</v>
      </c>
      <c r="J12" s="13" t="str">
        <f>CONCATENATE(Doors!$M$1,$K12)</f>
        <v>https://inmapper.com/zorlucenter/img/logo/VAKKOCOUTURE.png</v>
      </c>
      <c r="K12" s="9" t="s">
        <v>2038</v>
      </c>
      <c r="L12" s="8" t="s">
        <v>163</v>
      </c>
      <c r="M12" s="19" t="s">
        <v>2039</v>
      </c>
      <c r="N12" s="20" t="s">
        <v>1997</v>
      </c>
      <c r="O12" s="10"/>
      <c r="P12" s="10"/>
      <c r="Q12" s="10"/>
      <c r="R12" s="10"/>
      <c r="S12" s="10"/>
      <c r="T12" s="10"/>
      <c r="U12" s="10"/>
      <c r="V12" s="10"/>
      <c r="W12" s="10"/>
      <c r="X12" s="10"/>
      <c r="Y12" s="10"/>
      <c r="Z12" s="10"/>
    </row>
    <row r="13" ht="15.75" customHeight="1">
      <c r="A13" s="6" t="s">
        <v>997</v>
      </c>
      <c r="B13" s="18" t="s">
        <v>2040</v>
      </c>
      <c r="C13" s="7"/>
      <c r="D13" s="7"/>
      <c r="E13" s="7">
        <v>0.0</v>
      </c>
      <c r="F13" s="18" t="s">
        <v>15</v>
      </c>
      <c r="G13" s="7" t="s">
        <v>2037</v>
      </c>
      <c r="H13" s="8" t="s">
        <v>160</v>
      </c>
      <c r="I13" s="41" t="s">
        <v>2041</v>
      </c>
      <c r="J13" s="13" t="str">
        <f>CONCATENATE(Doors!$M$1,$K13)</f>
        <v>https://inmapper.com/zorlucenter/img/logo/FABIANAFILIPPI.png</v>
      </c>
      <c r="K13" s="19" t="s">
        <v>2042</v>
      </c>
      <c r="L13" s="8" t="s">
        <v>163</v>
      </c>
      <c r="M13" s="19" t="s">
        <v>2039</v>
      </c>
      <c r="N13" s="20" t="s">
        <v>2043</v>
      </c>
      <c r="O13" s="10"/>
      <c r="P13" s="10"/>
      <c r="Q13" s="10"/>
      <c r="R13" s="10"/>
      <c r="S13" s="10"/>
      <c r="T13" s="10"/>
      <c r="U13" s="10"/>
      <c r="V13" s="10"/>
      <c r="W13" s="10"/>
      <c r="X13" s="10"/>
      <c r="Y13" s="10"/>
      <c r="Z13" s="10"/>
    </row>
    <row r="14" ht="15.75" customHeight="1">
      <c r="A14" s="6" t="s">
        <v>1959</v>
      </c>
      <c r="B14" s="18" t="s">
        <v>2044</v>
      </c>
      <c r="C14" s="7"/>
      <c r="D14" s="7"/>
      <c r="E14" s="7">
        <v>1.0</v>
      </c>
      <c r="F14" s="18"/>
      <c r="G14" s="7"/>
      <c r="H14" s="8" t="s">
        <v>160</v>
      </c>
      <c r="I14" s="40" t="s">
        <v>2045</v>
      </c>
      <c r="J14" s="13" t="str">
        <f>CONCATENATE(Doors!$M$1,$K14)</f>
        <v>https://inmapper.com/zorlucenter/img/logo/BOHOLOVESELIFMISIRLI.png</v>
      </c>
      <c r="K14" s="18" t="s">
        <v>2046</v>
      </c>
      <c r="L14" s="8" t="s">
        <v>163</v>
      </c>
      <c r="M14" s="48" t="s">
        <v>2047</v>
      </c>
      <c r="N14" s="91" t="s">
        <v>2043</v>
      </c>
    </row>
    <row r="15" ht="15.75" customHeight="1">
      <c r="A15" s="6" t="s">
        <v>1427</v>
      </c>
      <c r="B15" s="7" t="s">
        <v>2048</v>
      </c>
      <c r="C15" s="7"/>
      <c r="D15" s="7"/>
      <c r="E15" s="7">
        <v>0.0</v>
      </c>
      <c r="F15" s="7" t="s">
        <v>15</v>
      </c>
      <c r="G15" s="7" t="s">
        <v>2049</v>
      </c>
      <c r="H15" s="8" t="s">
        <v>184</v>
      </c>
      <c r="I15" s="8"/>
      <c r="J15" s="8"/>
      <c r="K15" s="7"/>
      <c r="L15" s="8" t="s">
        <v>187</v>
      </c>
      <c r="M15" s="9"/>
      <c r="N15" s="20" t="s">
        <v>1997</v>
      </c>
      <c r="O15" s="10"/>
      <c r="P15" s="10"/>
      <c r="Q15" s="10"/>
      <c r="R15" s="10"/>
      <c r="S15" s="10"/>
      <c r="T15" s="10"/>
      <c r="U15" s="10"/>
      <c r="V15" s="10"/>
      <c r="W15" s="10"/>
      <c r="X15" s="10"/>
      <c r="Y15" s="10"/>
      <c r="Z15" s="10"/>
    </row>
    <row r="16" ht="15.75" customHeight="1">
      <c r="A16" s="6" t="s">
        <v>2050</v>
      </c>
      <c r="B16" s="7" t="s">
        <v>2051</v>
      </c>
      <c r="C16" s="7"/>
      <c r="D16" s="7"/>
      <c r="E16" s="7">
        <v>1.0</v>
      </c>
      <c r="F16" s="12" t="s">
        <v>1627</v>
      </c>
      <c r="G16" s="7" t="s">
        <v>2052</v>
      </c>
      <c r="H16" s="7" t="s">
        <v>184</v>
      </c>
      <c r="I16" s="8" t="s">
        <v>1630</v>
      </c>
      <c r="J16" s="13" t="str">
        <f>CONCATENATE(Doors!$M$1,$K16)</f>
        <v>https://inmapper.com/zorlucenter/img/logo/MARIPOSABURGER.png</v>
      </c>
      <c r="K16" s="7" t="s">
        <v>2053</v>
      </c>
      <c r="L16" s="7" t="s">
        <v>187</v>
      </c>
      <c r="M16" s="19" t="s">
        <v>2054</v>
      </c>
      <c r="N16" s="20" t="s">
        <v>1997</v>
      </c>
      <c r="O16" s="10"/>
      <c r="P16" s="10"/>
      <c r="Q16" s="10"/>
      <c r="R16" s="10"/>
      <c r="S16" s="10"/>
      <c r="T16" s="10"/>
      <c r="U16" s="10"/>
      <c r="V16" s="10"/>
      <c r="W16" s="10"/>
      <c r="X16" s="10"/>
      <c r="Y16" s="10"/>
      <c r="Z16" s="10"/>
    </row>
    <row r="17" ht="15.75" customHeight="1">
      <c r="A17" s="6" t="s">
        <v>103</v>
      </c>
      <c r="B17" s="18" t="s">
        <v>104</v>
      </c>
      <c r="C17" s="7"/>
      <c r="D17" s="7"/>
      <c r="E17" s="18">
        <v>-3.0</v>
      </c>
      <c r="F17" s="17" t="s">
        <v>105</v>
      </c>
      <c r="G17" s="7" t="s">
        <v>60</v>
      </c>
      <c r="H17" s="8" t="s">
        <v>21</v>
      </c>
      <c r="I17" s="24"/>
      <c r="J17" s="13" t="str">
        <f t="shared" ref="J17:J18" si="1">CONCATENATE($M$1,$K17)</f>
        <v>DATEERKANTAS.png</v>
      </c>
      <c r="K17" s="18" t="s">
        <v>106</v>
      </c>
      <c r="L17" s="8" t="s">
        <v>24</v>
      </c>
      <c r="M17" s="19" t="s">
        <v>2055</v>
      </c>
      <c r="N17" s="92" t="s">
        <v>2043</v>
      </c>
      <c r="O17" s="10"/>
      <c r="P17" s="10"/>
      <c r="Q17" s="10"/>
      <c r="R17" s="16"/>
      <c r="S17" s="10"/>
      <c r="T17" s="10"/>
      <c r="U17" s="10"/>
      <c r="V17" s="10"/>
      <c r="W17" s="10"/>
      <c r="X17" s="10"/>
      <c r="Y17" s="10"/>
      <c r="Z17" s="10"/>
    </row>
    <row r="18" ht="15.75" customHeight="1">
      <c r="A18" s="21" t="s">
        <v>1681</v>
      </c>
      <c r="B18" s="18" t="s">
        <v>1682</v>
      </c>
      <c r="C18" s="7"/>
      <c r="D18" s="7"/>
      <c r="E18" s="18">
        <v>1.0</v>
      </c>
      <c r="F18" s="17" t="s">
        <v>1683</v>
      </c>
      <c r="G18" s="18" t="s">
        <v>1684</v>
      </c>
      <c r="H18" s="18" t="s">
        <v>184</v>
      </c>
      <c r="I18" s="68" t="s">
        <v>1685</v>
      </c>
      <c r="J18" s="13" t="str">
        <f t="shared" si="1"/>
        <v>DATEVAKKOLATELIER.png</v>
      </c>
      <c r="K18" s="19" t="s">
        <v>1686</v>
      </c>
      <c r="L18" s="7" t="s">
        <v>187</v>
      </c>
      <c r="M18" s="19" t="s">
        <v>2055</v>
      </c>
      <c r="N18" s="20" t="s">
        <v>2043</v>
      </c>
      <c r="O18" s="10"/>
      <c r="P18" s="10"/>
      <c r="Q18" s="10"/>
      <c r="R18" s="10"/>
      <c r="S18" s="10"/>
      <c r="T18" s="10"/>
      <c r="U18" s="10"/>
      <c r="V18" s="10"/>
      <c r="W18" s="10"/>
      <c r="X18" s="10"/>
      <c r="Y18" s="10"/>
      <c r="Z18" s="10"/>
    </row>
    <row r="19" ht="15.75" customHeight="1">
      <c r="A19" s="56" t="s">
        <v>1313</v>
      </c>
      <c r="B19" s="57" t="s">
        <v>1314</v>
      </c>
      <c r="C19" s="58"/>
      <c r="D19" s="58"/>
      <c r="E19" s="58">
        <v>0.0</v>
      </c>
      <c r="F19" s="59" t="s">
        <v>1315</v>
      </c>
      <c r="G19" s="58"/>
      <c r="H19" s="48" t="s">
        <v>160</v>
      </c>
      <c r="I19" s="60" t="s">
        <v>1316</v>
      </c>
      <c r="J19" s="61" t="str">
        <f>CONCATENATE(Doors!$M$1,$K19)</f>
        <v>https://inmapper.com/zorlucenter/img/logo/GUCCI.png</v>
      </c>
      <c r="K19" s="20" t="s">
        <v>1317</v>
      </c>
      <c r="L19" s="48" t="s">
        <v>163</v>
      </c>
      <c r="M19" s="91" t="s">
        <v>2056</v>
      </c>
      <c r="N19" s="20" t="s">
        <v>2043</v>
      </c>
      <c r="O19" s="10"/>
      <c r="P19" s="10"/>
      <c r="Q19" s="10"/>
      <c r="R19" s="10"/>
      <c r="S19" s="10"/>
      <c r="T19" s="10"/>
      <c r="U19" s="10"/>
      <c r="V19" s="10"/>
      <c r="W19" s="10"/>
      <c r="X19" s="10"/>
      <c r="Y19" s="10"/>
      <c r="Z19" s="10"/>
    </row>
    <row r="20" ht="15.75" customHeight="1">
      <c r="A20" s="6" t="s">
        <v>99</v>
      </c>
      <c r="B20" s="7" t="s">
        <v>2057</v>
      </c>
      <c r="C20" s="7"/>
      <c r="D20" s="7"/>
      <c r="E20" s="7">
        <v>-3.0</v>
      </c>
      <c r="F20" s="17" t="s">
        <v>2058</v>
      </c>
      <c r="G20" s="18" t="s">
        <v>2059</v>
      </c>
      <c r="H20" s="8" t="s">
        <v>152</v>
      </c>
      <c r="I20" s="22" t="s">
        <v>2060</v>
      </c>
      <c r="J20" s="13" t="str">
        <f t="shared" ref="J20:J22" si="2">CONCATENATE($M$1,$K20)</f>
        <v>DATEDESIGNMARKET.png</v>
      </c>
      <c r="K20" s="7" t="s">
        <v>2061</v>
      </c>
      <c r="L20" s="8" t="s">
        <v>155</v>
      </c>
      <c r="M20" s="19" t="s">
        <v>2062</v>
      </c>
      <c r="N20" s="92" t="s">
        <v>1997</v>
      </c>
      <c r="O20" s="10"/>
      <c r="P20" s="10"/>
      <c r="Q20" s="10"/>
      <c r="R20" s="16"/>
      <c r="S20" s="10"/>
      <c r="T20" s="10"/>
      <c r="U20" s="10"/>
      <c r="V20" s="10"/>
      <c r="W20" s="10"/>
      <c r="X20" s="10"/>
      <c r="Y20" s="10"/>
      <c r="Z20" s="10"/>
    </row>
    <row r="21" ht="15.75" customHeight="1">
      <c r="A21" s="6" t="s">
        <v>669</v>
      </c>
      <c r="B21" s="7" t="s">
        <v>694</v>
      </c>
      <c r="C21" s="7"/>
      <c r="D21" s="7"/>
      <c r="E21" s="7">
        <v>-1.0</v>
      </c>
      <c r="F21" s="12" t="s">
        <v>671</v>
      </c>
      <c r="G21" s="7" t="s">
        <v>2063</v>
      </c>
      <c r="H21" s="8" t="s">
        <v>160</v>
      </c>
      <c r="I21" s="8" t="s">
        <v>2064</v>
      </c>
      <c r="J21" s="13" t="str">
        <f t="shared" si="2"/>
        <v>DATEBROOKSBROTHERS.png</v>
      </c>
      <c r="K21" s="7" t="s">
        <v>697</v>
      </c>
      <c r="L21" s="8" t="s">
        <v>163</v>
      </c>
      <c r="M21" s="19" t="s">
        <v>1965</v>
      </c>
      <c r="N21" s="92" t="s">
        <v>1997</v>
      </c>
      <c r="O21" s="10"/>
      <c r="P21" s="10"/>
      <c r="Q21" s="10"/>
      <c r="R21" s="10"/>
      <c r="S21" s="10"/>
      <c r="T21" s="10"/>
      <c r="U21" s="10"/>
      <c r="V21" s="10"/>
      <c r="W21" s="10"/>
      <c r="X21" s="10"/>
      <c r="Y21" s="10"/>
      <c r="Z21" s="10"/>
    </row>
    <row r="22" ht="15.75" customHeight="1">
      <c r="A22" s="6" t="s">
        <v>1036</v>
      </c>
      <c r="B22" s="7" t="s">
        <v>2065</v>
      </c>
      <c r="C22" s="7"/>
      <c r="D22" s="7"/>
      <c r="E22" s="7">
        <v>0.0</v>
      </c>
      <c r="F22" s="12" t="s">
        <v>1038</v>
      </c>
      <c r="G22" s="7" t="s">
        <v>2037</v>
      </c>
      <c r="H22" s="8" t="s">
        <v>160</v>
      </c>
      <c r="I22" s="8" t="s">
        <v>2066</v>
      </c>
      <c r="J22" s="13" t="str">
        <f t="shared" si="2"/>
        <v>DATESAINTLAURENT.png</v>
      </c>
      <c r="K22" s="7" t="s">
        <v>2067</v>
      </c>
      <c r="L22" s="8" t="s">
        <v>163</v>
      </c>
      <c r="M22" s="19" t="s">
        <v>1958</v>
      </c>
      <c r="N22" s="20" t="s">
        <v>1997</v>
      </c>
      <c r="O22" s="10"/>
      <c r="P22" s="10"/>
      <c r="Q22" s="10"/>
      <c r="R22" s="10"/>
      <c r="S22" s="10"/>
      <c r="T22" s="10"/>
      <c r="U22" s="10"/>
      <c r="V22" s="10"/>
      <c r="W22" s="10"/>
      <c r="X22" s="10"/>
      <c r="Y22" s="10"/>
      <c r="Z22" s="10"/>
    </row>
    <row r="23" ht="15.75" customHeight="1">
      <c r="A23" s="6" t="s">
        <v>1036</v>
      </c>
      <c r="B23" s="18" t="s">
        <v>1037</v>
      </c>
      <c r="C23" s="7"/>
      <c r="D23" s="7"/>
      <c r="E23" s="18">
        <v>0.0</v>
      </c>
      <c r="F23" s="7"/>
      <c r="G23" s="7"/>
      <c r="H23" s="43" t="s">
        <v>160</v>
      </c>
      <c r="I23" s="8"/>
      <c r="J23" s="13"/>
      <c r="K23" s="7"/>
      <c r="L23" s="43" t="s">
        <v>163</v>
      </c>
      <c r="M23" s="19" t="s">
        <v>1958</v>
      </c>
      <c r="N23" s="20" t="s">
        <v>2068</v>
      </c>
      <c r="O23" s="10"/>
      <c r="P23" s="10"/>
      <c r="Q23" s="10"/>
      <c r="R23" s="10"/>
      <c r="S23" s="10"/>
      <c r="T23" s="10"/>
      <c r="U23" s="10"/>
      <c r="V23" s="10"/>
      <c r="W23" s="10"/>
      <c r="X23" s="10"/>
      <c r="Y23" s="10"/>
      <c r="Z23" s="10"/>
    </row>
    <row r="24" ht="15.75" customHeight="1">
      <c r="A24" s="6" t="s">
        <v>1959</v>
      </c>
      <c r="B24" s="18" t="s">
        <v>2044</v>
      </c>
      <c r="C24" s="7"/>
      <c r="D24" s="7"/>
      <c r="E24" s="7">
        <v>1.0</v>
      </c>
      <c r="F24" s="18"/>
      <c r="G24" s="7"/>
      <c r="H24" s="8" t="s">
        <v>160</v>
      </c>
      <c r="I24" s="40" t="s">
        <v>2045</v>
      </c>
      <c r="J24" s="13" t="str">
        <f>CONCATENATE(Doors!$M$1,$K24)</f>
        <v>https://inmapper.com/zorlucenter/img/logo/BOHOLOVESELIFMISIRLI.png</v>
      </c>
      <c r="K24" s="18" t="s">
        <v>2046</v>
      </c>
      <c r="L24" s="8" t="s">
        <v>163</v>
      </c>
      <c r="M24" s="48" t="s">
        <v>2069</v>
      </c>
      <c r="N24" s="91" t="s">
        <v>1997</v>
      </c>
    </row>
    <row r="25" ht="15.75" customHeight="1">
      <c r="A25" s="6" t="s">
        <v>1959</v>
      </c>
      <c r="B25" s="18" t="s">
        <v>2070</v>
      </c>
      <c r="C25" s="7"/>
      <c r="D25" s="7"/>
      <c r="E25" s="7">
        <v>1.0</v>
      </c>
      <c r="F25" s="18" t="s">
        <v>15</v>
      </c>
      <c r="G25" s="7"/>
      <c r="H25" s="8" t="s">
        <v>160</v>
      </c>
      <c r="I25" s="93" t="s">
        <v>2071</v>
      </c>
      <c r="J25" s="13" t="str">
        <f>CONCATENATE(Doors!$M$1,$K25)</f>
        <v>https://inmapper.com/zorlucenter/img/logo/SAGAZA.png</v>
      </c>
      <c r="K25" s="18" t="s">
        <v>2072</v>
      </c>
      <c r="L25" s="8" t="s">
        <v>163</v>
      </c>
      <c r="M25" s="19" t="s">
        <v>2069</v>
      </c>
      <c r="N25" s="20" t="s">
        <v>2043</v>
      </c>
      <c r="O25" s="10"/>
      <c r="P25" s="10"/>
      <c r="Q25" s="10"/>
      <c r="R25" s="10"/>
      <c r="S25" s="10"/>
      <c r="T25" s="10"/>
      <c r="U25" s="10"/>
      <c r="V25" s="10"/>
      <c r="W25" s="10"/>
      <c r="X25" s="10"/>
      <c r="Y25" s="10"/>
      <c r="Z25" s="10"/>
    </row>
    <row r="26" ht="15.75" customHeight="1">
      <c r="A26" s="21" t="s">
        <v>412</v>
      </c>
      <c r="B26" s="18" t="s">
        <v>413</v>
      </c>
      <c r="C26" s="18"/>
      <c r="D26" s="7"/>
      <c r="E26" s="18">
        <v>-2.0</v>
      </c>
      <c r="F26" s="17" t="s">
        <v>2073</v>
      </c>
      <c r="G26" s="7"/>
      <c r="H26" s="8" t="s">
        <v>176</v>
      </c>
      <c r="I26" s="41" t="s">
        <v>415</v>
      </c>
      <c r="J26" s="13" t="str">
        <f t="shared" ref="J26:J28" si="3">CONCATENATE($M$1,$K26)</f>
        <v>DATETUMI.png</v>
      </c>
      <c r="K26" s="18" t="s">
        <v>416</v>
      </c>
      <c r="L26" s="8" t="s">
        <v>179</v>
      </c>
      <c r="M26" s="19" t="s">
        <v>2074</v>
      </c>
      <c r="N26" s="20" t="s">
        <v>2043</v>
      </c>
      <c r="O26" s="10"/>
      <c r="P26" s="10"/>
      <c r="Q26" s="10"/>
      <c r="R26" s="10"/>
      <c r="S26" s="10"/>
      <c r="T26" s="10"/>
      <c r="U26" s="10"/>
      <c r="V26" s="10"/>
      <c r="W26" s="10"/>
      <c r="X26" s="10"/>
      <c r="Y26" s="10"/>
      <c r="Z26" s="10"/>
    </row>
    <row r="27" ht="15.75" customHeight="1">
      <c r="A27" s="6" t="s">
        <v>1427</v>
      </c>
      <c r="B27" s="18" t="s">
        <v>1428</v>
      </c>
      <c r="C27" s="18"/>
      <c r="D27" s="7"/>
      <c r="E27" s="7">
        <v>0.0</v>
      </c>
      <c r="F27" s="17" t="s">
        <v>1429</v>
      </c>
      <c r="G27" s="7"/>
      <c r="H27" s="43" t="s">
        <v>160</v>
      </c>
      <c r="I27" s="40" t="s">
        <v>1430</v>
      </c>
      <c r="J27" s="8" t="str">
        <f t="shared" si="3"/>
        <v>DATELOROPIANA.png</v>
      </c>
      <c r="K27" s="18" t="s">
        <v>1431</v>
      </c>
      <c r="L27" s="8" t="s">
        <v>163</v>
      </c>
      <c r="M27" s="19" t="s">
        <v>2075</v>
      </c>
      <c r="N27" s="20" t="s">
        <v>2043</v>
      </c>
    </row>
    <row r="28" ht="15.75" customHeight="1">
      <c r="A28" s="6" t="s">
        <v>669</v>
      </c>
      <c r="B28" s="18" t="s">
        <v>670</v>
      </c>
      <c r="C28" s="7"/>
      <c r="D28" s="7"/>
      <c r="E28" s="7">
        <v>-1.0</v>
      </c>
      <c r="F28" s="12" t="s">
        <v>671</v>
      </c>
      <c r="G28" s="18" t="s">
        <v>672</v>
      </c>
      <c r="H28" s="8" t="s">
        <v>160</v>
      </c>
      <c r="I28" s="41" t="s">
        <v>673</v>
      </c>
      <c r="J28" s="13" t="str">
        <f t="shared" si="3"/>
        <v>DATEEDWARDS.png</v>
      </c>
      <c r="K28" s="18" t="s">
        <v>674</v>
      </c>
      <c r="L28" s="8" t="s">
        <v>163</v>
      </c>
      <c r="M28" s="19" t="s">
        <v>2076</v>
      </c>
      <c r="N28" s="20" t="s">
        <v>2043</v>
      </c>
      <c r="O28" s="10"/>
      <c r="P28" s="10"/>
      <c r="Q28" s="10"/>
      <c r="R28" s="10"/>
      <c r="S28" s="10"/>
      <c r="T28" s="10"/>
      <c r="U28" s="10"/>
      <c r="V28" s="10"/>
      <c r="W28" s="10"/>
      <c r="X28" s="10"/>
      <c r="Y28" s="10"/>
      <c r="Z28" s="10"/>
    </row>
    <row r="29" ht="15.75" customHeight="1">
      <c r="A29" s="6" t="s">
        <v>71</v>
      </c>
      <c r="B29" s="7" t="s">
        <v>2077</v>
      </c>
      <c r="C29" s="7"/>
      <c r="D29" s="7"/>
      <c r="E29" s="7">
        <v>-3.0</v>
      </c>
      <c r="F29" s="12" t="s">
        <v>2078</v>
      </c>
      <c r="G29" s="18" t="s">
        <v>2079</v>
      </c>
      <c r="H29" s="8" t="s">
        <v>21</v>
      </c>
      <c r="I29" s="8" t="s">
        <v>2080</v>
      </c>
      <c r="J29" s="13" t="str">
        <f>CONCATENATE(Doors!$M$1,$K29)</f>
        <v>https://inmapper.com/zorlucenter/img/logo/WATCHDOCTOR.png</v>
      </c>
      <c r="K29" s="7" t="s">
        <v>2081</v>
      </c>
      <c r="L29" s="8" t="s">
        <v>24</v>
      </c>
      <c r="M29" s="19" t="s">
        <v>2082</v>
      </c>
      <c r="N29" s="20" t="s">
        <v>1997</v>
      </c>
      <c r="O29" s="10"/>
      <c r="P29" s="10"/>
      <c r="Q29" s="10"/>
      <c r="R29" s="10"/>
      <c r="S29" s="10"/>
      <c r="T29" s="10"/>
      <c r="U29" s="10"/>
      <c r="V29" s="10"/>
      <c r="W29" s="10"/>
      <c r="X29" s="10"/>
      <c r="Y29" s="10"/>
      <c r="Z29" s="10"/>
    </row>
    <row r="30" ht="15.75" customHeight="1">
      <c r="A30" s="6" t="s">
        <v>574</v>
      </c>
      <c r="B30" s="7" t="s">
        <v>2083</v>
      </c>
      <c r="C30" s="7"/>
      <c r="D30" s="7"/>
      <c r="E30" s="7">
        <v>-1.0</v>
      </c>
      <c r="F30" s="12" t="s">
        <v>2084</v>
      </c>
      <c r="G30" s="7" t="s">
        <v>2085</v>
      </c>
      <c r="H30" s="8" t="s">
        <v>558</v>
      </c>
      <c r="I30" s="13" t="s">
        <v>2086</v>
      </c>
      <c r="J30" s="8" t="str">
        <f>CONCATENATE(Doors!$M$1,$K30)</f>
        <v>https://inmapper.com/zorlucenter/img/logo/DÖNERSTOP.png</v>
      </c>
      <c r="K30" s="7" t="s">
        <v>2087</v>
      </c>
      <c r="L30" s="8" t="s">
        <v>561</v>
      </c>
      <c r="M30" s="19" t="s">
        <v>2082</v>
      </c>
      <c r="N30" s="20" t="s">
        <v>1997</v>
      </c>
      <c r="O30" s="10"/>
      <c r="P30" s="10"/>
      <c r="Q30" s="10"/>
      <c r="R30" s="10"/>
      <c r="S30" s="10"/>
      <c r="T30" s="10"/>
      <c r="U30" s="10"/>
      <c r="V30" s="10"/>
      <c r="W30" s="10"/>
      <c r="X30" s="10"/>
      <c r="Y30" s="10"/>
      <c r="Z30" s="10"/>
    </row>
    <row r="31" ht="15.75" customHeight="1">
      <c r="A31" s="6" t="s">
        <v>1393</v>
      </c>
      <c r="B31" s="18" t="s">
        <v>2088</v>
      </c>
      <c r="C31" s="7"/>
      <c r="D31" s="7"/>
      <c r="E31" s="7">
        <v>0.0</v>
      </c>
      <c r="F31" s="7" t="s">
        <v>15</v>
      </c>
      <c r="G31" s="18" t="s">
        <v>2089</v>
      </c>
      <c r="H31" s="8" t="s">
        <v>184</v>
      </c>
      <c r="I31" s="40" t="s">
        <v>2090</v>
      </c>
      <c r="J31" s="8"/>
      <c r="K31" s="19" t="s">
        <v>2091</v>
      </c>
      <c r="L31" s="8" t="s">
        <v>187</v>
      </c>
      <c r="M31" s="19" t="s">
        <v>2092</v>
      </c>
      <c r="N31" s="20" t="s">
        <v>2043</v>
      </c>
      <c r="O31" s="20" t="s">
        <v>2093</v>
      </c>
      <c r="P31" s="10"/>
      <c r="Q31" s="10"/>
      <c r="R31" s="10"/>
      <c r="S31" s="10"/>
      <c r="T31" s="10"/>
      <c r="U31" s="10"/>
      <c r="V31" s="10"/>
      <c r="W31" s="10"/>
      <c r="X31" s="10"/>
      <c r="Y31" s="10"/>
      <c r="Z31" s="10"/>
    </row>
    <row r="32" ht="15.75" customHeight="1">
      <c r="A32" s="21" t="s">
        <v>1432</v>
      </c>
      <c r="B32" s="18" t="s">
        <v>1433</v>
      </c>
      <c r="C32" s="18"/>
      <c r="D32" s="7"/>
      <c r="E32" s="7">
        <v>0.0</v>
      </c>
      <c r="F32" s="17" t="s">
        <v>1434</v>
      </c>
      <c r="G32" s="7"/>
      <c r="H32" s="43" t="s">
        <v>160</v>
      </c>
      <c r="I32" s="40" t="s">
        <v>1435</v>
      </c>
      <c r="J32" s="13" t="str">
        <f>CONCATENATE(Doors!$M$1,$K32)</f>
        <v>https://inmapper.com/zorlucenter/img/logo/LESBENJAMINS.png</v>
      </c>
      <c r="K32" s="18" t="s">
        <v>1436</v>
      </c>
      <c r="L32" s="8" t="s">
        <v>163</v>
      </c>
      <c r="M32" s="19" t="s">
        <v>2094</v>
      </c>
      <c r="N32" s="20" t="s">
        <v>2043</v>
      </c>
      <c r="O32" s="10"/>
      <c r="P32" s="10"/>
      <c r="Q32" s="10"/>
      <c r="R32" s="10"/>
      <c r="S32" s="10"/>
      <c r="T32" s="10"/>
      <c r="U32" s="10"/>
      <c r="V32" s="10"/>
      <c r="W32" s="10"/>
      <c r="X32" s="10"/>
      <c r="Y32" s="10"/>
      <c r="Z32" s="10"/>
    </row>
    <row r="33" ht="15.75" customHeight="1">
      <c r="A33" s="6" t="s">
        <v>574</v>
      </c>
      <c r="B33" s="18" t="s">
        <v>575</v>
      </c>
      <c r="C33" s="7"/>
      <c r="D33" s="7"/>
      <c r="E33" s="7">
        <v>-1.0</v>
      </c>
      <c r="F33" s="18" t="s">
        <v>15</v>
      </c>
      <c r="G33" s="7"/>
      <c r="H33" s="8" t="s">
        <v>558</v>
      </c>
      <c r="I33" s="40" t="s">
        <v>576</v>
      </c>
      <c r="J33" s="13" t="str">
        <f>CONCATENATE(Doors!$M$1,$K33)</f>
        <v>https://inmapper.com/zorlucenter/img/logo/USTADONERCI.png</v>
      </c>
      <c r="K33" s="18" t="s">
        <v>577</v>
      </c>
      <c r="L33" s="8" t="s">
        <v>561</v>
      </c>
      <c r="M33" s="19" t="s">
        <v>2095</v>
      </c>
      <c r="N33" s="20" t="s">
        <v>2043</v>
      </c>
      <c r="O33" s="10"/>
      <c r="P33" s="10"/>
      <c r="Q33" s="10"/>
      <c r="R33" s="10"/>
      <c r="S33" s="10"/>
      <c r="T33" s="10"/>
      <c r="U33" s="10"/>
      <c r="V33" s="10"/>
      <c r="W33" s="10"/>
      <c r="X33" s="10"/>
      <c r="Y33" s="10"/>
      <c r="Z33" s="10"/>
    </row>
    <row r="34" ht="15.75" customHeight="1">
      <c r="A34" s="6" t="s">
        <v>71</v>
      </c>
      <c r="B34" s="18" t="s">
        <v>82</v>
      </c>
      <c r="C34" s="7"/>
      <c r="D34" s="7"/>
      <c r="E34" s="7">
        <v>-3.0</v>
      </c>
      <c r="F34" s="18" t="s">
        <v>15</v>
      </c>
      <c r="G34" s="18" t="s">
        <v>84</v>
      </c>
      <c r="H34" s="8" t="s">
        <v>21</v>
      </c>
      <c r="I34" s="8"/>
      <c r="J34" s="13" t="str">
        <f>CONCATENATE(Doors!$M$1,$K34)</f>
        <v>https://inmapper.com/zorlucenter/img/logo/USTASAAT.png</v>
      </c>
      <c r="K34" s="18" t="s">
        <v>85</v>
      </c>
      <c r="L34" s="8" t="s">
        <v>24</v>
      </c>
      <c r="M34" s="19" t="s">
        <v>2096</v>
      </c>
      <c r="N34" s="20" t="s">
        <v>2043</v>
      </c>
      <c r="O34" s="10"/>
      <c r="P34" s="10"/>
      <c r="Q34" s="10"/>
      <c r="R34" s="10"/>
      <c r="S34" s="10"/>
      <c r="T34" s="10"/>
      <c r="U34" s="10"/>
      <c r="V34" s="10"/>
      <c r="W34" s="10"/>
      <c r="X34" s="10"/>
      <c r="Y34" s="10"/>
      <c r="Z34" s="10"/>
    </row>
    <row r="35" ht="15.75" customHeight="1">
      <c r="A35" s="6" t="s">
        <v>1959</v>
      </c>
      <c r="B35" s="18" t="s">
        <v>2070</v>
      </c>
      <c r="C35" s="7"/>
      <c r="D35" s="7"/>
      <c r="E35" s="7">
        <v>1.0</v>
      </c>
      <c r="F35" s="18" t="s">
        <v>15</v>
      </c>
      <c r="G35" s="7"/>
      <c r="H35" s="8" t="s">
        <v>160</v>
      </c>
      <c r="I35" s="94" t="s">
        <v>2097</v>
      </c>
      <c r="J35" s="13" t="str">
        <f>CONCATENATE(Doors!$M$1,$K35)</f>
        <v>https://inmapper.com/zorlucenter/img/logo/SAGAZA.png</v>
      </c>
      <c r="K35" s="18" t="s">
        <v>2072</v>
      </c>
      <c r="L35" s="8" t="s">
        <v>163</v>
      </c>
      <c r="M35" s="19" t="s">
        <v>2098</v>
      </c>
      <c r="N35" s="20" t="s">
        <v>1997</v>
      </c>
      <c r="O35" s="10"/>
      <c r="P35" s="10"/>
      <c r="Q35" s="10"/>
      <c r="R35" s="10"/>
      <c r="S35" s="10"/>
      <c r="T35" s="10"/>
      <c r="U35" s="10"/>
      <c r="V35" s="10"/>
      <c r="W35" s="10"/>
      <c r="X35" s="10"/>
      <c r="Y35" s="10"/>
      <c r="Z35" s="10"/>
    </row>
    <row r="36" ht="15.75" customHeight="1">
      <c r="A36" s="6" t="s">
        <v>1959</v>
      </c>
      <c r="B36" s="18" t="s">
        <v>2099</v>
      </c>
      <c r="C36" s="7"/>
      <c r="D36" s="7"/>
      <c r="E36" s="7">
        <v>1.0</v>
      </c>
      <c r="F36" s="18" t="s">
        <v>15</v>
      </c>
      <c r="G36" s="7"/>
      <c r="H36" s="8" t="s">
        <v>160</v>
      </c>
      <c r="I36" s="94" t="s">
        <v>2100</v>
      </c>
      <c r="J36" s="13" t="str">
        <f>CONCATENATE(Doors!$M$1,$K36)</f>
        <v>https://inmapper.com/zorlucenter/img/logo/WABISABI.png</v>
      </c>
      <c r="K36" s="18" t="s">
        <v>2101</v>
      </c>
      <c r="L36" s="8" t="s">
        <v>163</v>
      </c>
      <c r="M36" s="19" t="s">
        <v>2102</v>
      </c>
      <c r="N36" s="20" t="s">
        <v>2043</v>
      </c>
      <c r="O36" s="20" t="s">
        <v>2103</v>
      </c>
      <c r="P36" s="10"/>
      <c r="Q36" s="10"/>
      <c r="R36" s="10"/>
      <c r="S36" s="10"/>
      <c r="T36" s="10"/>
      <c r="U36" s="10"/>
      <c r="V36" s="10"/>
      <c r="W36" s="10"/>
      <c r="X36" s="10"/>
      <c r="Y36" s="10"/>
      <c r="Z36" s="10"/>
    </row>
    <row r="37" ht="15.75" customHeight="1">
      <c r="A37" s="6" t="s">
        <v>1701</v>
      </c>
      <c r="B37" s="7" t="s">
        <v>108</v>
      </c>
      <c r="C37" s="7"/>
      <c r="D37" s="7"/>
      <c r="E37" s="7">
        <v>1.0</v>
      </c>
      <c r="F37" s="12" t="s">
        <v>109</v>
      </c>
      <c r="G37" s="7" t="s">
        <v>110</v>
      </c>
      <c r="H37" s="7" t="s">
        <v>21</v>
      </c>
      <c r="I37" s="8" t="s">
        <v>111</v>
      </c>
      <c r="J37" s="8" t="str">
        <f t="shared" ref="J37:J56" si="4">CONCATENATE($M$1,$K37)</f>
        <v>DATEYALÇINLAR.png</v>
      </c>
      <c r="K37" s="7" t="s">
        <v>112</v>
      </c>
      <c r="L37" s="7" t="s">
        <v>24</v>
      </c>
      <c r="M37" s="19" t="s">
        <v>2102</v>
      </c>
      <c r="N37" s="20" t="s">
        <v>2104</v>
      </c>
      <c r="O37" s="10"/>
      <c r="P37" s="10"/>
      <c r="Q37" s="10"/>
      <c r="R37" s="10"/>
      <c r="S37" s="10"/>
      <c r="T37" s="10"/>
      <c r="U37" s="10"/>
      <c r="V37" s="10"/>
      <c r="W37" s="10"/>
      <c r="X37" s="10"/>
      <c r="Y37" s="10"/>
      <c r="Z37" s="10"/>
    </row>
    <row r="38" ht="15.75" customHeight="1">
      <c r="A38" s="91" t="s">
        <v>107</v>
      </c>
      <c r="B38" s="7" t="s">
        <v>108</v>
      </c>
      <c r="C38" s="7"/>
      <c r="D38" s="7"/>
      <c r="E38" s="18">
        <v>-3.0</v>
      </c>
      <c r="F38" s="12" t="s">
        <v>109</v>
      </c>
      <c r="G38" s="7" t="s">
        <v>110</v>
      </c>
      <c r="H38" s="7" t="s">
        <v>21</v>
      </c>
      <c r="I38" s="8" t="s">
        <v>111</v>
      </c>
      <c r="J38" s="8" t="str">
        <f t="shared" si="4"/>
        <v>DATEYALÇINLAR.png</v>
      </c>
      <c r="K38" s="7" t="s">
        <v>112</v>
      </c>
      <c r="L38" s="7" t="s">
        <v>24</v>
      </c>
      <c r="M38" s="19" t="s">
        <v>2102</v>
      </c>
      <c r="N38" s="91" t="s">
        <v>2043</v>
      </c>
    </row>
    <row r="39" ht="15.75" customHeight="1">
      <c r="A39" s="63" t="s">
        <v>2105</v>
      </c>
      <c r="B39" s="62" t="s">
        <v>2106</v>
      </c>
      <c r="C39" s="38"/>
      <c r="D39" s="38"/>
      <c r="E39" s="95">
        <v>-2.0</v>
      </c>
      <c r="F39" s="62" t="s">
        <v>15</v>
      </c>
      <c r="G39" s="62" t="s">
        <v>1339</v>
      </c>
      <c r="H39" s="96" t="s">
        <v>395</v>
      </c>
      <c r="I39" s="32" t="s">
        <v>1340</v>
      </c>
      <c r="J39" s="37" t="str">
        <f t="shared" si="4"/>
        <v>DATEGODIVA.png</v>
      </c>
      <c r="K39" s="62" t="s">
        <v>1341</v>
      </c>
      <c r="L39" s="96" t="s">
        <v>397</v>
      </c>
      <c r="M39" s="97" t="s">
        <v>1776</v>
      </c>
      <c r="N39" s="67" t="s">
        <v>1997</v>
      </c>
      <c r="O39" s="38"/>
      <c r="P39" s="38"/>
      <c r="Q39" s="38"/>
      <c r="R39" s="38"/>
      <c r="S39" s="38"/>
      <c r="T39" s="38"/>
      <c r="U39" s="38"/>
      <c r="V39" s="38"/>
      <c r="W39" s="38"/>
      <c r="X39" s="38"/>
      <c r="Y39" s="38"/>
      <c r="Z39" s="38"/>
    </row>
    <row r="40" ht="15.75" customHeight="1">
      <c r="A40" s="63" t="s">
        <v>2107</v>
      </c>
      <c r="B40" s="62" t="s">
        <v>2108</v>
      </c>
      <c r="C40" s="38"/>
      <c r="D40" s="38"/>
      <c r="E40" s="95">
        <v>1.0</v>
      </c>
      <c r="F40" s="98" t="s">
        <v>2109</v>
      </c>
      <c r="G40" s="62" t="s">
        <v>2110</v>
      </c>
      <c r="H40" s="62" t="s">
        <v>122</v>
      </c>
      <c r="I40" s="62" t="s">
        <v>2111</v>
      </c>
      <c r="J40" s="37" t="str">
        <f t="shared" si="4"/>
        <v>DATERICETERIA.png</v>
      </c>
      <c r="K40" s="62" t="s">
        <v>2112</v>
      </c>
      <c r="L40" s="62" t="s">
        <v>125</v>
      </c>
      <c r="M40" s="97" t="s">
        <v>2113</v>
      </c>
      <c r="N40" s="67" t="s">
        <v>1997</v>
      </c>
      <c r="O40" s="38"/>
      <c r="P40" s="38"/>
      <c r="Q40" s="38"/>
      <c r="R40" s="38"/>
      <c r="S40" s="38"/>
      <c r="T40" s="38"/>
      <c r="U40" s="38"/>
      <c r="V40" s="38"/>
      <c r="W40" s="38"/>
      <c r="X40" s="38"/>
      <c r="Y40" s="38"/>
      <c r="Z40" s="38"/>
    </row>
    <row r="41" ht="15.75" customHeight="1">
      <c r="A41" s="6" t="s">
        <v>336</v>
      </c>
      <c r="B41" s="7" t="s">
        <v>337</v>
      </c>
      <c r="C41" s="18"/>
      <c r="D41" s="7"/>
      <c r="E41" s="7">
        <v>-2.0</v>
      </c>
      <c r="F41" s="12" t="s">
        <v>338</v>
      </c>
      <c r="G41" s="18" t="s">
        <v>339</v>
      </c>
      <c r="H41" s="8" t="s">
        <v>152</v>
      </c>
      <c r="I41" s="8" t="s">
        <v>340</v>
      </c>
      <c r="J41" s="13" t="str">
        <f t="shared" si="4"/>
        <v>DATESAAT&amp;SAAT.png</v>
      </c>
      <c r="K41" s="7" t="s">
        <v>341</v>
      </c>
      <c r="L41" s="8" t="s">
        <v>155</v>
      </c>
      <c r="M41" s="19" t="s">
        <v>2114</v>
      </c>
      <c r="N41" s="20" t="s">
        <v>2115</v>
      </c>
      <c r="O41" s="10"/>
      <c r="P41" s="10"/>
      <c r="Q41" s="10"/>
      <c r="R41" s="10"/>
      <c r="S41" s="10"/>
      <c r="T41" s="10"/>
      <c r="U41" s="10"/>
      <c r="V41" s="10"/>
      <c r="W41" s="10"/>
      <c r="X41" s="10"/>
      <c r="Y41" s="10"/>
      <c r="Z41" s="10"/>
    </row>
    <row r="42" ht="15.75" customHeight="1">
      <c r="A42" s="63" t="s">
        <v>1132</v>
      </c>
      <c r="B42" s="62" t="s">
        <v>2116</v>
      </c>
      <c r="C42" s="38"/>
      <c r="D42" s="38"/>
      <c r="E42" s="95">
        <v>0.0</v>
      </c>
      <c r="F42" s="98" t="s">
        <v>2117</v>
      </c>
      <c r="G42" s="62" t="s">
        <v>2118</v>
      </c>
      <c r="H42" s="32" t="s">
        <v>184</v>
      </c>
      <c r="I42" s="99"/>
      <c r="J42" s="37" t="str">
        <f t="shared" si="4"/>
        <v>DATEBONESSERIEISTANBUL.png</v>
      </c>
      <c r="K42" s="62" t="s">
        <v>2119</v>
      </c>
      <c r="L42" s="32" t="s">
        <v>187</v>
      </c>
      <c r="M42" s="97" t="s">
        <v>2120</v>
      </c>
      <c r="N42" s="67" t="s">
        <v>1997</v>
      </c>
      <c r="O42" s="38"/>
      <c r="P42" s="38"/>
      <c r="Q42" s="38"/>
      <c r="R42" s="38"/>
      <c r="S42" s="38"/>
      <c r="T42" s="38"/>
      <c r="U42" s="38"/>
      <c r="V42" s="38"/>
      <c r="W42" s="38"/>
      <c r="X42" s="38"/>
      <c r="Y42" s="38"/>
      <c r="Z42" s="38"/>
    </row>
    <row r="43" ht="15.75" customHeight="1">
      <c r="A43" s="6" t="s">
        <v>227</v>
      </c>
      <c r="B43" s="7" t="s">
        <v>228</v>
      </c>
      <c r="C43" s="18"/>
      <c r="D43" s="7"/>
      <c r="E43" s="7">
        <v>-2.0</v>
      </c>
      <c r="F43" s="12" t="s">
        <v>229</v>
      </c>
      <c r="G43" s="7" t="s">
        <v>230</v>
      </c>
      <c r="H43" s="8" t="s">
        <v>160</v>
      </c>
      <c r="I43" s="8" t="s">
        <v>231</v>
      </c>
      <c r="J43" s="13" t="str">
        <f t="shared" si="4"/>
        <v>DATEİPEKYOL.png</v>
      </c>
      <c r="K43" s="7" t="s">
        <v>232</v>
      </c>
      <c r="L43" s="8" t="s">
        <v>163</v>
      </c>
      <c r="M43" s="19" t="s">
        <v>2121</v>
      </c>
      <c r="N43" s="20" t="s">
        <v>2115</v>
      </c>
      <c r="O43" s="20" t="s">
        <v>2122</v>
      </c>
      <c r="P43" s="10"/>
      <c r="Q43" s="10"/>
      <c r="R43" s="10"/>
      <c r="S43" s="10"/>
      <c r="T43" s="10"/>
      <c r="U43" s="10"/>
      <c r="V43" s="10"/>
      <c r="W43" s="10"/>
      <c r="X43" s="10"/>
      <c r="Y43" s="10"/>
      <c r="Z43" s="10"/>
    </row>
    <row r="44" ht="15.75" customHeight="1">
      <c r="A44" s="6" t="s">
        <v>227</v>
      </c>
      <c r="B44" s="7" t="s">
        <v>228</v>
      </c>
      <c r="C44" s="18"/>
      <c r="D44" s="7"/>
      <c r="E44" s="7">
        <v>-2.0</v>
      </c>
      <c r="F44" s="12" t="s">
        <v>229</v>
      </c>
      <c r="G44" s="7" t="s">
        <v>230</v>
      </c>
      <c r="H44" s="8" t="s">
        <v>160</v>
      </c>
      <c r="I44" s="8" t="s">
        <v>231</v>
      </c>
      <c r="J44" s="13" t="str">
        <f t="shared" si="4"/>
        <v>DATEİPEKYOL.png</v>
      </c>
      <c r="K44" s="7" t="s">
        <v>232</v>
      </c>
      <c r="L44" s="8" t="s">
        <v>163</v>
      </c>
      <c r="M44" s="19" t="s">
        <v>2121</v>
      </c>
      <c r="N44" s="20" t="s">
        <v>2043</v>
      </c>
      <c r="O44" s="20"/>
      <c r="P44" s="10"/>
      <c r="Q44" s="10"/>
      <c r="R44" s="10"/>
      <c r="S44" s="10"/>
      <c r="T44" s="10"/>
      <c r="U44" s="10"/>
      <c r="V44" s="10"/>
      <c r="W44" s="10"/>
      <c r="X44" s="10"/>
      <c r="Y44" s="10"/>
      <c r="Z44" s="10"/>
    </row>
    <row r="45" ht="15.75" customHeight="1">
      <c r="A45" s="6" t="s">
        <v>336</v>
      </c>
      <c r="B45" s="7" t="s">
        <v>337</v>
      </c>
      <c r="C45" s="18"/>
      <c r="D45" s="7"/>
      <c r="E45" s="7">
        <v>-2.0</v>
      </c>
      <c r="F45" s="12" t="s">
        <v>338</v>
      </c>
      <c r="G45" s="18" t="s">
        <v>339</v>
      </c>
      <c r="H45" s="8" t="s">
        <v>152</v>
      </c>
      <c r="I45" s="8" t="s">
        <v>340</v>
      </c>
      <c r="J45" s="13" t="str">
        <f t="shared" si="4"/>
        <v>DATESAAT&amp;SAAT.png</v>
      </c>
      <c r="K45" s="7" t="s">
        <v>341</v>
      </c>
      <c r="L45" s="8" t="s">
        <v>155</v>
      </c>
      <c r="M45" s="19" t="s">
        <v>2123</v>
      </c>
      <c r="N45" s="91" t="s">
        <v>2043</v>
      </c>
      <c r="O45" s="10"/>
      <c r="P45" s="10"/>
      <c r="Q45" s="10"/>
      <c r="R45" s="10"/>
      <c r="S45" s="10"/>
      <c r="T45" s="10"/>
      <c r="U45" s="10"/>
      <c r="V45" s="10"/>
      <c r="W45" s="10"/>
      <c r="X45" s="10"/>
      <c r="Y45" s="10"/>
      <c r="Z45" s="10"/>
    </row>
    <row r="46" ht="15.75" customHeight="1">
      <c r="A46" s="6" t="s">
        <v>1036</v>
      </c>
      <c r="B46" s="18" t="s">
        <v>1037</v>
      </c>
      <c r="C46" s="18"/>
      <c r="D46" s="7"/>
      <c r="E46" s="7">
        <v>0.0</v>
      </c>
      <c r="F46" s="12" t="s">
        <v>1038</v>
      </c>
      <c r="G46" s="18" t="s">
        <v>1005</v>
      </c>
      <c r="H46" s="8" t="s">
        <v>160</v>
      </c>
      <c r="I46" s="41" t="s">
        <v>1039</v>
      </c>
      <c r="J46" s="13" t="str">
        <f t="shared" si="4"/>
        <v>DATECELINE.png</v>
      </c>
      <c r="K46" s="18" t="s">
        <v>1040</v>
      </c>
      <c r="L46" s="8" t="s">
        <v>163</v>
      </c>
      <c r="M46" s="19" t="s">
        <v>2124</v>
      </c>
      <c r="N46" s="20" t="s">
        <v>2043</v>
      </c>
      <c r="O46" s="10"/>
      <c r="P46" s="10"/>
      <c r="Q46" s="10"/>
      <c r="R46" s="10"/>
      <c r="S46" s="10"/>
      <c r="T46" s="10"/>
      <c r="U46" s="10"/>
      <c r="V46" s="10"/>
      <c r="W46" s="10"/>
      <c r="X46" s="10"/>
      <c r="Y46" s="10"/>
      <c r="Z46" s="10"/>
    </row>
    <row r="47" ht="15.75" customHeight="1">
      <c r="A47" s="6" t="s">
        <v>739</v>
      </c>
      <c r="B47" s="7" t="s">
        <v>740</v>
      </c>
      <c r="C47" s="18"/>
      <c r="D47" s="7"/>
      <c r="E47" s="7">
        <v>-1.0</v>
      </c>
      <c r="F47" s="12" t="s">
        <v>741</v>
      </c>
      <c r="G47" s="7" t="s">
        <v>742</v>
      </c>
      <c r="H47" s="8" t="s">
        <v>160</v>
      </c>
      <c r="I47" s="8" t="s">
        <v>743</v>
      </c>
      <c r="J47" s="13" t="str">
        <f t="shared" si="4"/>
        <v>DATEDIESEL.png</v>
      </c>
      <c r="K47" s="7" t="s">
        <v>744</v>
      </c>
      <c r="L47" s="8" t="s">
        <v>163</v>
      </c>
      <c r="M47" s="19" t="s">
        <v>2125</v>
      </c>
      <c r="N47" s="20" t="s">
        <v>2115</v>
      </c>
      <c r="O47" s="91" t="s">
        <v>2126</v>
      </c>
      <c r="P47" s="100" t="s">
        <v>2127</v>
      </c>
      <c r="Q47" s="10"/>
      <c r="R47" s="10"/>
      <c r="S47" s="10"/>
      <c r="T47" s="10"/>
      <c r="U47" s="10"/>
      <c r="V47" s="10"/>
      <c r="W47" s="10"/>
      <c r="X47" s="10"/>
      <c r="Y47" s="10"/>
      <c r="Z47" s="10"/>
    </row>
    <row r="48" ht="15.75" customHeight="1">
      <c r="A48" s="6" t="s">
        <v>1529</v>
      </c>
      <c r="B48" s="7" t="s">
        <v>1530</v>
      </c>
      <c r="C48" s="18"/>
      <c r="D48" s="7"/>
      <c r="E48" s="7">
        <v>1.0</v>
      </c>
      <c r="F48" s="12" t="s">
        <v>1531</v>
      </c>
      <c r="G48" s="7" t="s">
        <v>1532</v>
      </c>
      <c r="H48" s="8" t="s">
        <v>122</v>
      </c>
      <c r="I48" s="8" t="s">
        <v>1533</v>
      </c>
      <c r="J48" s="13" t="str">
        <f t="shared" si="4"/>
        <v>DATELINENS.png</v>
      </c>
      <c r="K48" s="7" t="s">
        <v>1534</v>
      </c>
      <c r="L48" s="8" t="s">
        <v>125</v>
      </c>
      <c r="M48" s="19" t="s">
        <v>2128</v>
      </c>
      <c r="N48" s="20" t="s">
        <v>2115</v>
      </c>
      <c r="O48" s="20"/>
      <c r="P48" s="10"/>
      <c r="Q48" s="10"/>
      <c r="R48" s="10"/>
      <c r="S48" s="10"/>
      <c r="T48" s="10"/>
      <c r="U48" s="10"/>
      <c r="V48" s="10"/>
      <c r="W48" s="10"/>
      <c r="X48" s="10"/>
      <c r="Y48" s="10"/>
      <c r="Z48" s="10"/>
    </row>
    <row r="49" ht="15.75" customHeight="1">
      <c r="A49" s="6" t="s">
        <v>1164</v>
      </c>
      <c r="B49" s="7" t="s">
        <v>1165</v>
      </c>
      <c r="C49" s="7"/>
      <c r="D49" s="7"/>
      <c r="E49" s="7">
        <v>0.0</v>
      </c>
      <c r="F49" s="12" t="s">
        <v>1166</v>
      </c>
      <c r="G49" s="7" t="s">
        <v>1167</v>
      </c>
      <c r="H49" s="8" t="s">
        <v>152</v>
      </c>
      <c r="I49" s="8" t="s">
        <v>1168</v>
      </c>
      <c r="J49" s="13" t="str">
        <f t="shared" si="4"/>
        <v>DATETIFFANY&amp;CO.png</v>
      </c>
      <c r="K49" s="7" t="s">
        <v>1169</v>
      </c>
      <c r="L49" s="8" t="s">
        <v>155</v>
      </c>
      <c r="M49" s="19" t="s">
        <v>2129</v>
      </c>
      <c r="N49" s="20" t="s">
        <v>2115</v>
      </c>
      <c r="O49" s="20" t="s">
        <v>2130</v>
      </c>
      <c r="P49" s="10"/>
      <c r="Q49" s="10"/>
      <c r="R49" s="10"/>
      <c r="S49" s="10"/>
      <c r="T49" s="10"/>
      <c r="U49" s="10"/>
      <c r="V49" s="10"/>
      <c r="W49" s="10"/>
      <c r="X49" s="10"/>
      <c r="Y49" s="10"/>
      <c r="Z49" s="10"/>
    </row>
    <row r="50" ht="15.75" customHeight="1">
      <c r="A50" s="6" t="s">
        <v>1529</v>
      </c>
      <c r="B50" s="7" t="s">
        <v>1530</v>
      </c>
      <c r="C50" s="18"/>
      <c r="D50" s="7"/>
      <c r="E50" s="7">
        <v>1.0</v>
      </c>
      <c r="F50" s="12" t="s">
        <v>1531</v>
      </c>
      <c r="G50" s="7" t="s">
        <v>1532</v>
      </c>
      <c r="H50" s="8" t="s">
        <v>122</v>
      </c>
      <c r="I50" s="8" t="s">
        <v>1533</v>
      </c>
      <c r="J50" s="13" t="str">
        <f t="shared" si="4"/>
        <v>DATELINENS.png</v>
      </c>
      <c r="K50" s="7" t="s">
        <v>1534</v>
      </c>
      <c r="L50" s="8" t="s">
        <v>125</v>
      </c>
      <c r="M50" s="19" t="s">
        <v>2131</v>
      </c>
      <c r="N50" s="20" t="s">
        <v>2043</v>
      </c>
      <c r="O50" s="10"/>
      <c r="P50" s="10"/>
      <c r="Q50" s="10"/>
      <c r="R50" s="10"/>
      <c r="S50" s="10"/>
      <c r="T50" s="10"/>
      <c r="U50" s="10"/>
      <c r="V50" s="10"/>
      <c r="W50" s="10"/>
      <c r="X50" s="10"/>
      <c r="Y50" s="10"/>
      <c r="Z50" s="10"/>
    </row>
    <row r="51" ht="15.75" customHeight="1">
      <c r="A51" s="6" t="s">
        <v>986</v>
      </c>
      <c r="B51" s="7" t="s">
        <v>2132</v>
      </c>
      <c r="C51" s="7"/>
      <c r="D51" s="7"/>
      <c r="E51" s="7">
        <v>0.0</v>
      </c>
      <c r="F51" s="12" t="s">
        <v>988</v>
      </c>
      <c r="G51" s="7" t="s">
        <v>989</v>
      </c>
      <c r="H51" s="8" t="s">
        <v>184</v>
      </c>
      <c r="I51" s="8" t="s">
        <v>990</v>
      </c>
      <c r="J51" s="13" t="str">
        <f t="shared" si="4"/>
        <v>DATEVAKKORAMACAFE.png</v>
      </c>
      <c r="K51" s="9" t="s">
        <v>991</v>
      </c>
      <c r="L51" s="8" t="s">
        <v>187</v>
      </c>
      <c r="M51" s="19" t="s">
        <v>2133</v>
      </c>
      <c r="N51" s="67" t="s">
        <v>1997</v>
      </c>
      <c r="O51" s="10"/>
      <c r="P51" s="10"/>
      <c r="Q51" s="10"/>
      <c r="R51" s="10"/>
      <c r="S51" s="10"/>
      <c r="T51" s="10"/>
      <c r="U51" s="10"/>
      <c r="V51" s="10"/>
      <c r="W51" s="10"/>
      <c r="X51" s="10"/>
      <c r="Y51" s="10"/>
      <c r="Z51" s="10"/>
    </row>
    <row r="52" ht="15.75" customHeight="1">
      <c r="A52" s="6" t="s">
        <v>986</v>
      </c>
      <c r="B52" s="18" t="s">
        <v>987</v>
      </c>
      <c r="C52" s="7"/>
      <c r="D52" s="7"/>
      <c r="E52" s="7">
        <v>0.0</v>
      </c>
      <c r="F52" s="12" t="s">
        <v>988</v>
      </c>
      <c r="G52" s="7" t="s">
        <v>989</v>
      </c>
      <c r="H52" s="8" t="s">
        <v>184</v>
      </c>
      <c r="I52" s="8" t="s">
        <v>990</v>
      </c>
      <c r="J52" s="13" t="str">
        <f t="shared" si="4"/>
        <v>DATEVAKKORAMACAFE.png</v>
      </c>
      <c r="K52" s="9" t="s">
        <v>991</v>
      </c>
      <c r="L52" s="8" t="s">
        <v>187</v>
      </c>
      <c r="M52" s="19" t="s">
        <v>2133</v>
      </c>
      <c r="N52" s="20" t="s">
        <v>2043</v>
      </c>
      <c r="O52" s="10"/>
      <c r="P52" s="10"/>
      <c r="Q52" s="10"/>
      <c r="R52" s="10"/>
      <c r="S52" s="10"/>
      <c r="T52" s="10"/>
      <c r="U52" s="10"/>
      <c r="V52" s="10"/>
      <c r="W52" s="10"/>
      <c r="X52" s="10"/>
      <c r="Y52" s="10"/>
      <c r="Z52" s="10"/>
    </row>
    <row r="53" ht="15.75" customHeight="1">
      <c r="A53" s="21" t="s">
        <v>1615</v>
      </c>
      <c r="B53" s="18" t="s">
        <v>1616</v>
      </c>
      <c r="C53" s="7"/>
      <c r="D53" s="7"/>
      <c r="E53" s="18">
        <v>1.0</v>
      </c>
      <c r="F53" s="18" t="s">
        <v>15</v>
      </c>
      <c r="G53" s="18" t="s">
        <v>1617</v>
      </c>
      <c r="H53" s="8" t="s">
        <v>122</v>
      </c>
      <c r="I53" s="41" t="s">
        <v>1618</v>
      </c>
      <c r="J53" s="13" t="str">
        <f t="shared" si="4"/>
        <v>DATEVAKKORAMACAFE.png</v>
      </c>
      <c r="K53" s="9" t="s">
        <v>991</v>
      </c>
      <c r="L53" s="62" t="s">
        <v>125</v>
      </c>
      <c r="M53" s="19" t="s">
        <v>2134</v>
      </c>
      <c r="N53" s="20" t="s">
        <v>2043</v>
      </c>
      <c r="O53" s="10"/>
      <c r="P53" s="10"/>
      <c r="Q53" s="10"/>
      <c r="R53" s="10"/>
      <c r="S53" s="10"/>
      <c r="T53" s="10"/>
      <c r="U53" s="10"/>
      <c r="V53" s="10"/>
      <c r="W53" s="10"/>
      <c r="X53" s="10"/>
      <c r="Y53" s="10"/>
      <c r="Z53" s="10"/>
    </row>
    <row r="54" ht="15.75" customHeight="1">
      <c r="A54" s="21" t="s">
        <v>1620</v>
      </c>
      <c r="B54" s="18" t="s">
        <v>1621</v>
      </c>
      <c r="C54" s="7"/>
      <c r="D54" s="7"/>
      <c r="E54" s="18">
        <v>1.0</v>
      </c>
      <c r="F54" s="18" t="s">
        <v>15</v>
      </c>
      <c r="G54" s="18" t="s">
        <v>1623</v>
      </c>
      <c r="H54" s="8" t="s">
        <v>184</v>
      </c>
      <c r="I54" s="8"/>
      <c r="J54" s="13" t="str">
        <f t="shared" si="4"/>
        <v>DATEVAKKORAMACAFE.png</v>
      </c>
      <c r="K54" s="9" t="s">
        <v>991</v>
      </c>
      <c r="L54" s="8" t="s">
        <v>187</v>
      </c>
      <c r="M54" s="19" t="s">
        <v>2135</v>
      </c>
      <c r="N54" s="20" t="s">
        <v>2043</v>
      </c>
      <c r="O54" s="10"/>
      <c r="P54" s="10"/>
      <c r="Q54" s="10"/>
      <c r="R54" s="10"/>
      <c r="S54" s="10"/>
      <c r="T54" s="10"/>
      <c r="U54" s="10"/>
      <c r="V54" s="10"/>
      <c r="W54" s="10"/>
      <c r="X54" s="10"/>
      <c r="Y54" s="10"/>
      <c r="Z54" s="10"/>
    </row>
    <row r="55" ht="15.75" customHeight="1">
      <c r="A55" s="6" t="s">
        <v>361</v>
      </c>
      <c r="B55" s="7" t="s">
        <v>362</v>
      </c>
      <c r="C55" s="18"/>
      <c r="D55" s="7"/>
      <c r="E55" s="7">
        <v>-2.0</v>
      </c>
      <c r="F55" s="12" t="s">
        <v>363</v>
      </c>
      <c r="G55" s="7" t="s">
        <v>364</v>
      </c>
      <c r="H55" s="8" t="s">
        <v>168</v>
      </c>
      <c r="I55" s="8" t="s">
        <v>365</v>
      </c>
      <c r="J55" s="13" t="str">
        <f t="shared" si="4"/>
        <v>DATEB&amp;GSTORE.png</v>
      </c>
      <c r="K55" s="7" t="s">
        <v>366</v>
      </c>
      <c r="L55" s="8" t="s">
        <v>171</v>
      </c>
      <c r="M55" s="19" t="s">
        <v>2136</v>
      </c>
      <c r="N55" s="20" t="s">
        <v>2115</v>
      </c>
      <c r="O55" s="20" t="s">
        <v>2137</v>
      </c>
      <c r="P55" s="10"/>
      <c r="Q55" s="10"/>
      <c r="R55" s="10"/>
      <c r="S55" s="10"/>
      <c r="T55" s="10"/>
      <c r="U55" s="10"/>
      <c r="V55" s="10"/>
      <c r="W55" s="10"/>
      <c r="X55" s="10"/>
      <c r="Y55" s="10"/>
      <c r="Z55" s="10"/>
    </row>
    <row r="56" ht="15.75" customHeight="1">
      <c r="A56" s="6" t="s">
        <v>1164</v>
      </c>
      <c r="B56" s="7" t="s">
        <v>1165</v>
      </c>
      <c r="C56" s="7"/>
      <c r="D56" s="7"/>
      <c r="E56" s="7">
        <v>0.0</v>
      </c>
      <c r="F56" s="12" t="s">
        <v>1166</v>
      </c>
      <c r="G56" s="7" t="s">
        <v>1167</v>
      </c>
      <c r="H56" s="8" t="s">
        <v>152</v>
      </c>
      <c r="I56" s="8" t="s">
        <v>1168</v>
      </c>
      <c r="J56" s="13" t="str">
        <f t="shared" si="4"/>
        <v>DATETIFFANY&amp;CO.png</v>
      </c>
      <c r="K56" s="7" t="s">
        <v>1169</v>
      </c>
      <c r="L56" s="8" t="s">
        <v>155</v>
      </c>
      <c r="M56" s="19" t="s">
        <v>2138</v>
      </c>
      <c r="N56" s="20" t="s">
        <v>2043</v>
      </c>
      <c r="O56" s="20"/>
      <c r="P56" s="10"/>
      <c r="Q56" s="10"/>
      <c r="R56" s="10"/>
      <c r="S56" s="10"/>
      <c r="T56" s="10"/>
      <c r="U56" s="10"/>
      <c r="V56" s="10"/>
      <c r="W56" s="10"/>
      <c r="X56" s="10"/>
      <c r="Y56" s="10"/>
      <c r="Z56" s="10"/>
    </row>
    <row r="57" ht="15.75" customHeight="1">
      <c r="A57" s="21" t="s">
        <v>1751</v>
      </c>
      <c r="B57" s="18" t="s">
        <v>2139</v>
      </c>
      <c r="C57" s="7"/>
      <c r="D57" s="7"/>
      <c r="E57" s="7">
        <v>0.0</v>
      </c>
      <c r="F57" s="17" t="s">
        <v>1346</v>
      </c>
      <c r="G57" s="18"/>
      <c r="H57" s="8" t="s">
        <v>184</v>
      </c>
      <c r="I57" s="43"/>
      <c r="J57" s="13"/>
      <c r="K57" s="18"/>
      <c r="L57" s="8" t="s">
        <v>187</v>
      </c>
      <c r="M57" s="19" t="s">
        <v>2140</v>
      </c>
      <c r="N57" s="20" t="s">
        <v>1997</v>
      </c>
      <c r="O57" s="10"/>
      <c r="P57" s="10"/>
      <c r="Q57" s="10"/>
      <c r="R57" s="10"/>
      <c r="S57" s="10"/>
      <c r="T57" s="10"/>
      <c r="U57" s="10"/>
      <c r="V57" s="10"/>
      <c r="W57" s="10"/>
      <c r="X57" s="10"/>
      <c r="Y57" s="10"/>
      <c r="Z57" s="10"/>
    </row>
    <row r="58" ht="15.75" customHeight="1">
      <c r="A58" s="21" t="s">
        <v>1367</v>
      </c>
      <c r="B58" s="18" t="s">
        <v>1368</v>
      </c>
      <c r="C58" s="7"/>
      <c r="D58" s="7"/>
      <c r="E58" s="7">
        <v>0.0</v>
      </c>
      <c r="F58" s="17" t="s">
        <v>1369</v>
      </c>
      <c r="G58" s="18" t="s">
        <v>1370</v>
      </c>
      <c r="H58" s="8" t="s">
        <v>184</v>
      </c>
      <c r="I58" s="43" t="s">
        <v>1371</v>
      </c>
      <c r="J58" s="13" t="str">
        <f t="shared" ref="J58:J60" si="5">CONCATENATE($M$1,$K58)</f>
        <v>DATESAKHALINISTANBUL.png</v>
      </c>
      <c r="K58" s="18" t="s">
        <v>1372</v>
      </c>
      <c r="L58" s="8" t="s">
        <v>187</v>
      </c>
      <c r="M58" s="19" t="s">
        <v>2140</v>
      </c>
      <c r="N58" s="20" t="s">
        <v>2043</v>
      </c>
      <c r="O58" s="10"/>
      <c r="P58" s="10"/>
      <c r="Q58" s="10"/>
      <c r="R58" s="10"/>
      <c r="S58" s="10"/>
      <c r="T58" s="10"/>
      <c r="U58" s="10"/>
      <c r="V58" s="10"/>
      <c r="W58" s="10"/>
      <c r="X58" s="10"/>
      <c r="Y58" s="10"/>
      <c r="Z58" s="10"/>
    </row>
    <row r="59" ht="15.75" customHeight="1">
      <c r="A59" s="6" t="s">
        <v>361</v>
      </c>
      <c r="B59" s="7" t="s">
        <v>362</v>
      </c>
      <c r="C59" s="18"/>
      <c r="D59" s="7"/>
      <c r="E59" s="7">
        <v>-2.0</v>
      </c>
      <c r="F59" s="12" t="s">
        <v>363</v>
      </c>
      <c r="G59" s="7" t="s">
        <v>364</v>
      </c>
      <c r="H59" s="8" t="s">
        <v>168</v>
      </c>
      <c r="I59" s="8" t="s">
        <v>365</v>
      </c>
      <c r="J59" s="13" t="str">
        <f t="shared" si="5"/>
        <v>DATEB&amp;GSTORE.png</v>
      </c>
      <c r="K59" s="7" t="s">
        <v>366</v>
      </c>
      <c r="L59" s="8" t="s">
        <v>171</v>
      </c>
      <c r="M59" s="19" t="s">
        <v>2137</v>
      </c>
      <c r="N59" s="20" t="s">
        <v>2043</v>
      </c>
      <c r="O59" s="20"/>
      <c r="P59" s="10"/>
      <c r="Q59" s="10"/>
      <c r="R59" s="10"/>
      <c r="S59" s="10"/>
      <c r="T59" s="10"/>
      <c r="U59" s="10"/>
      <c r="V59" s="10"/>
      <c r="W59" s="10"/>
      <c r="X59" s="10"/>
      <c r="Y59" s="10"/>
      <c r="Z59" s="10"/>
    </row>
    <row r="60" ht="15.75" customHeight="1">
      <c r="A60" s="21" t="s">
        <v>446</v>
      </c>
      <c r="B60" s="18" t="s">
        <v>447</v>
      </c>
      <c r="C60" s="7"/>
      <c r="D60" s="7"/>
      <c r="E60" s="18">
        <v>-2.0</v>
      </c>
      <c r="F60" s="17" t="s">
        <v>448</v>
      </c>
      <c r="G60" s="7"/>
      <c r="H60" s="8" t="s">
        <v>67</v>
      </c>
      <c r="I60" s="40" t="s">
        <v>449</v>
      </c>
      <c r="J60" s="13" t="str">
        <f t="shared" si="5"/>
        <v>DATEKIKOMILANO.png</v>
      </c>
      <c r="K60" s="18" t="s">
        <v>450</v>
      </c>
      <c r="L60" s="8" t="s">
        <v>70</v>
      </c>
      <c r="M60" s="19" t="s">
        <v>2141</v>
      </c>
      <c r="N60" s="20" t="s">
        <v>2043</v>
      </c>
      <c r="O60" s="10"/>
      <c r="P60" s="10"/>
      <c r="Q60" s="10"/>
      <c r="R60" s="10"/>
      <c r="S60" s="10"/>
      <c r="T60" s="10"/>
      <c r="U60" s="10"/>
      <c r="V60" s="10"/>
      <c r="W60" s="10"/>
      <c r="X60" s="10"/>
      <c r="Y60" s="10"/>
      <c r="Z60" s="10"/>
    </row>
    <row r="61" ht="15.75" customHeight="1">
      <c r="A61" s="6" t="s">
        <v>1959</v>
      </c>
      <c r="B61" s="18" t="s">
        <v>2099</v>
      </c>
      <c r="C61" s="7"/>
      <c r="D61" s="7"/>
      <c r="E61" s="7">
        <v>1.0</v>
      </c>
      <c r="F61" s="17" t="s">
        <v>2142</v>
      </c>
      <c r="G61" s="7"/>
      <c r="H61" s="8" t="s">
        <v>160</v>
      </c>
      <c r="I61" s="94" t="s">
        <v>2100</v>
      </c>
      <c r="J61" s="13" t="str">
        <f>CONCATENATE(Doors!$M$1,$K61)</f>
        <v>https://inmapper.com/zorlucenter/img/logo/WABISABI.png</v>
      </c>
      <c r="K61" s="18" t="s">
        <v>2101</v>
      </c>
      <c r="L61" s="8" t="s">
        <v>163</v>
      </c>
      <c r="M61" s="19" t="s">
        <v>2103</v>
      </c>
      <c r="N61" s="20" t="s">
        <v>1997</v>
      </c>
      <c r="O61" s="10"/>
      <c r="P61" s="10"/>
      <c r="Q61" s="10"/>
      <c r="R61" s="10"/>
      <c r="S61" s="10"/>
      <c r="T61" s="10"/>
      <c r="U61" s="10"/>
      <c r="V61" s="10"/>
      <c r="W61" s="10"/>
      <c r="X61" s="10"/>
      <c r="Y61" s="10"/>
      <c r="Z61" s="10"/>
    </row>
    <row r="62" ht="15.75" customHeight="1">
      <c r="A62" s="6" t="s">
        <v>1959</v>
      </c>
      <c r="B62" s="18" t="s">
        <v>2143</v>
      </c>
      <c r="C62" s="7"/>
      <c r="D62" s="7"/>
      <c r="E62" s="7">
        <v>1.0</v>
      </c>
      <c r="F62" s="101" t="s">
        <v>2031</v>
      </c>
      <c r="G62" s="7"/>
      <c r="H62" s="8" t="s">
        <v>160</v>
      </c>
      <c r="I62" s="40" t="s">
        <v>2032</v>
      </c>
      <c r="J62" s="13" t="str">
        <f>CONCATENATE(Doors!$M$1,$K62)</f>
        <v>https://inmapper.com/zorlucenter/img/logo/MUSEFORALL.png</v>
      </c>
      <c r="K62" s="7" t="s">
        <v>2033</v>
      </c>
      <c r="L62" s="8" t="s">
        <v>163</v>
      </c>
      <c r="M62" s="19" t="s">
        <v>2144</v>
      </c>
      <c r="N62" s="20" t="s">
        <v>2068</v>
      </c>
      <c r="O62" s="20" t="s">
        <v>2145</v>
      </c>
      <c r="P62" s="10"/>
      <c r="Q62" s="10"/>
      <c r="R62" s="10"/>
      <c r="S62" s="10"/>
      <c r="T62" s="10"/>
      <c r="U62" s="10"/>
      <c r="V62" s="10"/>
      <c r="W62" s="10"/>
      <c r="X62" s="10"/>
      <c r="Y62" s="10"/>
      <c r="Z62" s="10"/>
    </row>
    <row r="63" ht="15.75" customHeight="1">
      <c r="A63" s="6" t="s">
        <v>1529</v>
      </c>
      <c r="B63" s="7" t="s">
        <v>1530</v>
      </c>
      <c r="C63" s="18"/>
      <c r="D63" s="7"/>
      <c r="E63" s="7">
        <v>1.0</v>
      </c>
      <c r="F63" s="12" t="s">
        <v>1531</v>
      </c>
      <c r="G63" s="7" t="s">
        <v>1532</v>
      </c>
      <c r="H63" s="8" t="s">
        <v>122</v>
      </c>
      <c r="I63" s="8" t="s">
        <v>1533</v>
      </c>
      <c r="J63" s="13" t="str">
        <f t="shared" ref="J63:J66" si="6">CONCATENATE($M$1,$K63)</f>
        <v>DATELINENS.png</v>
      </c>
      <c r="K63" s="7" t="s">
        <v>1534</v>
      </c>
      <c r="L63" s="8" t="s">
        <v>125</v>
      </c>
      <c r="M63" s="19" t="s">
        <v>2146</v>
      </c>
      <c r="N63" s="20" t="s">
        <v>2115</v>
      </c>
      <c r="O63" s="20" t="s">
        <v>2147</v>
      </c>
      <c r="P63" s="10"/>
      <c r="Q63" s="10"/>
      <c r="R63" s="10"/>
      <c r="S63" s="10"/>
      <c r="T63" s="10"/>
      <c r="U63" s="10"/>
      <c r="V63" s="10"/>
      <c r="W63" s="10"/>
      <c r="X63" s="10"/>
      <c r="Y63" s="10"/>
      <c r="Z63" s="10"/>
    </row>
    <row r="64" ht="15.75" customHeight="1">
      <c r="A64" s="6" t="s">
        <v>99</v>
      </c>
      <c r="B64" s="18" t="s">
        <v>100</v>
      </c>
      <c r="C64" s="7"/>
      <c r="D64" s="7"/>
      <c r="E64" s="7">
        <v>-3.0</v>
      </c>
      <c r="F64" s="18" t="s">
        <v>15</v>
      </c>
      <c r="G64" s="18"/>
      <c r="H64" s="8" t="s">
        <v>67</v>
      </c>
      <c r="I64" s="23" t="s">
        <v>101</v>
      </c>
      <c r="J64" s="13" t="str">
        <f t="shared" si="6"/>
        <v>DATEEVE.png</v>
      </c>
      <c r="K64" s="18" t="s">
        <v>102</v>
      </c>
      <c r="L64" s="8" t="s">
        <v>70</v>
      </c>
      <c r="M64" s="19" t="s">
        <v>2148</v>
      </c>
      <c r="N64" s="92" t="s">
        <v>2043</v>
      </c>
      <c r="O64" s="10"/>
      <c r="P64" s="10"/>
      <c r="Q64" s="10"/>
      <c r="R64" s="16"/>
      <c r="S64" s="10"/>
      <c r="T64" s="10"/>
      <c r="U64" s="10"/>
      <c r="V64" s="10"/>
      <c r="W64" s="10"/>
      <c r="X64" s="10"/>
      <c r="Y64" s="10"/>
      <c r="Z64" s="10"/>
    </row>
    <row r="65" ht="15.75" customHeight="1">
      <c r="A65" s="6" t="s">
        <v>1529</v>
      </c>
      <c r="B65" s="7" t="s">
        <v>1530</v>
      </c>
      <c r="C65" s="18"/>
      <c r="D65" s="7"/>
      <c r="E65" s="7">
        <v>1.0</v>
      </c>
      <c r="F65" s="12" t="s">
        <v>1531</v>
      </c>
      <c r="G65" s="7" t="s">
        <v>1532</v>
      </c>
      <c r="H65" s="8" t="s">
        <v>122</v>
      </c>
      <c r="I65" s="8" t="s">
        <v>1533</v>
      </c>
      <c r="J65" s="13" t="str">
        <f t="shared" si="6"/>
        <v>DATELINENS.png</v>
      </c>
      <c r="K65" s="7" t="s">
        <v>1534</v>
      </c>
      <c r="L65" s="8" t="s">
        <v>125</v>
      </c>
      <c r="M65" s="19" t="s">
        <v>2147</v>
      </c>
      <c r="N65" s="20" t="s">
        <v>2043</v>
      </c>
      <c r="O65" s="20"/>
      <c r="P65" s="10"/>
      <c r="Q65" s="10"/>
      <c r="R65" s="10"/>
      <c r="S65" s="10"/>
      <c r="T65" s="10"/>
      <c r="U65" s="10"/>
      <c r="V65" s="10"/>
      <c r="W65" s="10"/>
      <c r="X65" s="10"/>
      <c r="Y65" s="10"/>
      <c r="Z65" s="10"/>
    </row>
    <row r="66" ht="15.75" customHeight="1">
      <c r="A66" s="6" t="s">
        <v>739</v>
      </c>
      <c r="B66" s="7" t="s">
        <v>740</v>
      </c>
      <c r="C66" s="18"/>
      <c r="D66" s="7"/>
      <c r="E66" s="7">
        <v>-1.0</v>
      </c>
      <c r="F66" s="12" t="s">
        <v>741</v>
      </c>
      <c r="G66" s="7" t="s">
        <v>742</v>
      </c>
      <c r="H66" s="8" t="s">
        <v>160</v>
      </c>
      <c r="I66" s="8" t="s">
        <v>743</v>
      </c>
      <c r="J66" s="13" t="str">
        <f t="shared" si="6"/>
        <v>DATEDIESEL.png</v>
      </c>
      <c r="K66" s="7" t="s">
        <v>744</v>
      </c>
      <c r="L66" s="8" t="s">
        <v>163</v>
      </c>
      <c r="M66" s="19" t="s">
        <v>2126</v>
      </c>
      <c r="N66" s="20" t="s">
        <v>2043</v>
      </c>
      <c r="O66" s="91"/>
      <c r="P66" s="102"/>
      <c r="Q66" s="10"/>
      <c r="R66" s="10"/>
      <c r="S66" s="10"/>
      <c r="T66" s="10"/>
      <c r="U66" s="10"/>
      <c r="V66" s="10"/>
      <c r="W66" s="10"/>
      <c r="X66" s="10"/>
      <c r="Y66" s="10"/>
      <c r="Z66" s="10"/>
    </row>
    <row r="67" ht="15.75" customHeight="1">
      <c r="A67" s="6" t="s">
        <v>1959</v>
      </c>
      <c r="B67" s="18" t="s">
        <v>2143</v>
      </c>
      <c r="C67" s="7"/>
      <c r="D67" s="7"/>
      <c r="E67" s="7">
        <v>1.0</v>
      </c>
      <c r="F67" s="101" t="s">
        <v>2031</v>
      </c>
      <c r="G67" s="7"/>
      <c r="H67" s="8" t="s">
        <v>160</v>
      </c>
      <c r="I67" s="40" t="s">
        <v>2032</v>
      </c>
      <c r="J67" s="13" t="str">
        <f>CONCATENATE(Doors!$M$1,$K67)</f>
        <v>https://inmapper.com/zorlucenter/img/logo/MUSEFORALL.png</v>
      </c>
      <c r="K67" s="7" t="s">
        <v>2033</v>
      </c>
      <c r="L67" s="8" t="s">
        <v>163</v>
      </c>
      <c r="M67" s="19" t="s">
        <v>2145</v>
      </c>
      <c r="N67" s="20" t="s">
        <v>2043</v>
      </c>
      <c r="O67" s="20" t="s">
        <v>2149</v>
      </c>
      <c r="P67" s="10"/>
      <c r="Q67" s="10"/>
      <c r="R67" s="10"/>
      <c r="S67" s="10"/>
      <c r="T67" s="10"/>
      <c r="U67" s="10"/>
      <c r="V67" s="10"/>
      <c r="W67" s="10"/>
      <c r="X67" s="10"/>
      <c r="Y67" s="10"/>
      <c r="Z67" s="10"/>
    </row>
    <row r="68" ht="15.75" customHeight="1">
      <c r="A68" s="63" t="s">
        <v>1132</v>
      </c>
      <c r="B68" s="39" t="s">
        <v>1133</v>
      </c>
      <c r="C68" s="38"/>
      <c r="D68" s="38"/>
      <c r="E68" s="95">
        <v>0.0</v>
      </c>
      <c r="F68" s="39" t="s">
        <v>15</v>
      </c>
      <c r="G68" s="62"/>
      <c r="H68" s="32" t="s">
        <v>184</v>
      </c>
      <c r="I68" s="103" t="s">
        <v>1135</v>
      </c>
      <c r="J68" s="37" t="str">
        <f t="shared" ref="J68:J77" si="7">CONCATENATE($M$1,$K68)</f>
        <v>DATEREYORGANIC.png</v>
      </c>
      <c r="K68" s="39" t="s">
        <v>1136</v>
      </c>
      <c r="L68" s="32" t="s">
        <v>187</v>
      </c>
      <c r="M68" s="97" t="s">
        <v>2150</v>
      </c>
      <c r="N68" s="67" t="s">
        <v>2068</v>
      </c>
      <c r="O68" s="38"/>
      <c r="P68" s="38"/>
      <c r="Q68" s="38"/>
      <c r="R68" s="38"/>
      <c r="S68" s="38"/>
      <c r="T68" s="38"/>
      <c r="U68" s="38"/>
      <c r="V68" s="38"/>
      <c r="W68" s="38"/>
      <c r="X68" s="38"/>
      <c r="Y68" s="38"/>
      <c r="Z68" s="38"/>
    </row>
    <row r="69" ht="15.75" customHeight="1">
      <c r="A69" s="6" t="s">
        <v>319</v>
      </c>
      <c r="B69" s="7" t="s">
        <v>320</v>
      </c>
      <c r="C69" s="7"/>
      <c r="D69" s="7"/>
      <c r="E69" s="7">
        <v>-2.0</v>
      </c>
      <c r="F69" s="12" t="s">
        <v>321</v>
      </c>
      <c r="G69" s="7" t="s">
        <v>322</v>
      </c>
      <c r="H69" s="8" t="s">
        <v>160</v>
      </c>
      <c r="I69" s="8" t="s">
        <v>323</v>
      </c>
      <c r="J69" s="8" t="str">
        <f t="shared" si="7"/>
        <v>DATEU.S.POLO ASSN.png</v>
      </c>
      <c r="K69" s="7" t="s">
        <v>324</v>
      </c>
      <c r="L69" s="8" t="s">
        <v>163</v>
      </c>
      <c r="M69" s="19" t="s">
        <v>2151</v>
      </c>
      <c r="N69" s="20" t="s">
        <v>2115</v>
      </c>
      <c r="O69" s="20"/>
      <c r="P69" s="10"/>
      <c r="Q69" s="10"/>
      <c r="R69" s="10"/>
      <c r="S69" s="10"/>
      <c r="T69" s="10"/>
      <c r="U69" s="10"/>
      <c r="V69" s="10"/>
      <c r="W69" s="10"/>
      <c r="X69" s="10"/>
      <c r="Y69" s="10"/>
      <c r="Z69" s="10"/>
    </row>
    <row r="70" ht="15.75" customHeight="1">
      <c r="A70" s="6" t="s">
        <v>1427</v>
      </c>
      <c r="B70" s="18" t="s">
        <v>1428</v>
      </c>
      <c r="C70" s="18"/>
      <c r="D70" s="7"/>
      <c r="E70" s="7">
        <v>0.0</v>
      </c>
      <c r="F70" s="17" t="s">
        <v>1429</v>
      </c>
      <c r="G70" s="7"/>
      <c r="H70" s="43" t="s">
        <v>160</v>
      </c>
      <c r="I70" s="40" t="s">
        <v>1430</v>
      </c>
      <c r="J70" s="8" t="str">
        <f t="shared" si="7"/>
        <v>DATELOROPIANA.png</v>
      </c>
      <c r="K70" s="18" t="s">
        <v>1431</v>
      </c>
      <c r="L70" s="8" t="s">
        <v>163</v>
      </c>
      <c r="M70" s="19" t="s">
        <v>2152</v>
      </c>
      <c r="N70" s="20" t="s">
        <v>2115</v>
      </c>
      <c r="O70" s="20" t="s">
        <v>2153</v>
      </c>
      <c r="P70" s="10"/>
      <c r="Q70" s="10"/>
      <c r="R70" s="10"/>
      <c r="S70" s="10"/>
      <c r="T70" s="10"/>
      <c r="U70" s="10"/>
      <c r="V70" s="10"/>
      <c r="W70" s="10"/>
      <c r="X70" s="10"/>
      <c r="Y70" s="10"/>
      <c r="Z70" s="10"/>
    </row>
    <row r="71" ht="15.75" customHeight="1">
      <c r="A71" s="6" t="s">
        <v>770</v>
      </c>
      <c r="B71" s="7" t="s">
        <v>771</v>
      </c>
      <c r="C71" s="7"/>
      <c r="D71" s="7"/>
      <c r="E71" s="7">
        <v>-1.0</v>
      </c>
      <c r="F71" s="12" t="s">
        <v>772</v>
      </c>
      <c r="G71" s="7" t="s">
        <v>773</v>
      </c>
      <c r="H71" s="8" t="s">
        <v>160</v>
      </c>
      <c r="I71" s="8" t="s">
        <v>774</v>
      </c>
      <c r="J71" s="13" t="str">
        <f t="shared" si="7"/>
        <v>DATELACOSTE.png</v>
      </c>
      <c r="K71" s="7" t="s">
        <v>775</v>
      </c>
      <c r="L71" s="8" t="s">
        <v>163</v>
      </c>
      <c r="M71" s="19" t="s">
        <v>2154</v>
      </c>
      <c r="N71" s="20" t="s">
        <v>2115</v>
      </c>
      <c r="O71" s="10"/>
      <c r="P71" s="10"/>
      <c r="Q71" s="10"/>
      <c r="R71" s="10"/>
      <c r="S71" s="10"/>
      <c r="T71" s="10"/>
      <c r="U71" s="10"/>
      <c r="V71" s="10"/>
      <c r="W71" s="10"/>
      <c r="X71" s="10"/>
      <c r="Y71" s="10"/>
      <c r="Z71" s="10"/>
    </row>
    <row r="72" ht="15.75" customHeight="1">
      <c r="A72" s="6" t="s">
        <v>770</v>
      </c>
      <c r="B72" s="7" t="s">
        <v>771</v>
      </c>
      <c r="C72" s="7"/>
      <c r="D72" s="7"/>
      <c r="E72" s="7">
        <v>-1.0</v>
      </c>
      <c r="F72" s="12" t="s">
        <v>772</v>
      </c>
      <c r="G72" s="7" t="s">
        <v>773</v>
      </c>
      <c r="H72" s="8" t="s">
        <v>160</v>
      </c>
      <c r="I72" s="8" t="s">
        <v>774</v>
      </c>
      <c r="J72" s="13" t="str">
        <f t="shared" si="7"/>
        <v>DATELACOSTE.png</v>
      </c>
      <c r="K72" s="7" t="s">
        <v>775</v>
      </c>
      <c r="L72" s="8" t="s">
        <v>163</v>
      </c>
      <c r="M72" s="19" t="s">
        <v>2153</v>
      </c>
      <c r="N72" s="20" t="s">
        <v>2043</v>
      </c>
      <c r="O72" s="10"/>
      <c r="P72" s="10"/>
      <c r="Q72" s="10"/>
      <c r="R72" s="10"/>
      <c r="S72" s="10"/>
      <c r="T72" s="10"/>
      <c r="U72" s="10"/>
      <c r="V72" s="10"/>
      <c r="W72" s="10"/>
      <c r="X72" s="10"/>
      <c r="Y72" s="10"/>
      <c r="Z72" s="10"/>
    </row>
    <row r="73" ht="15.75" customHeight="1">
      <c r="A73" s="6" t="s">
        <v>1427</v>
      </c>
      <c r="B73" s="18" t="s">
        <v>1428</v>
      </c>
      <c r="C73" s="18"/>
      <c r="D73" s="7"/>
      <c r="E73" s="7">
        <v>0.0</v>
      </c>
      <c r="F73" s="17" t="s">
        <v>1429</v>
      </c>
      <c r="G73" s="7"/>
      <c r="H73" s="43" t="s">
        <v>160</v>
      </c>
      <c r="I73" s="40" t="s">
        <v>1430</v>
      </c>
      <c r="J73" s="8" t="str">
        <f t="shared" si="7"/>
        <v>DATELOROPIANA.png</v>
      </c>
      <c r="K73" s="18" t="s">
        <v>1431</v>
      </c>
      <c r="L73" s="8" t="s">
        <v>163</v>
      </c>
      <c r="M73" s="19" t="s">
        <v>2155</v>
      </c>
      <c r="N73" s="20" t="s">
        <v>2043</v>
      </c>
      <c r="O73" s="20"/>
      <c r="P73" s="10"/>
      <c r="Q73" s="10"/>
      <c r="R73" s="10"/>
      <c r="S73" s="10"/>
      <c r="T73" s="10"/>
      <c r="U73" s="10"/>
      <c r="V73" s="10"/>
      <c r="W73" s="10"/>
      <c r="X73" s="10"/>
      <c r="Y73" s="10"/>
      <c r="Z73" s="10"/>
    </row>
    <row r="74" ht="15.75" customHeight="1">
      <c r="A74" s="6" t="s">
        <v>704</v>
      </c>
      <c r="B74" s="7" t="s">
        <v>705</v>
      </c>
      <c r="C74" s="7"/>
      <c r="D74" s="7"/>
      <c r="E74" s="7">
        <v>-1.0</v>
      </c>
      <c r="F74" s="12" t="s">
        <v>706</v>
      </c>
      <c r="G74" s="7" t="s">
        <v>707</v>
      </c>
      <c r="H74" s="8" t="s">
        <v>152</v>
      </c>
      <c r="I74" s="8" t="s">
        <v>708</v>
      </c>
      <c r="J74" s="13" t="str">
        <f t="shared" si="7"/>
        <v>DATEATASAY.png</v>
      </c>
      <c r="K74" s="7" t="s">
        <v>709</v>
      </c>
      <c r="L74" s="8" t="s">
        <v>155</v>
      </c>
      <c r="M74" s="19" t="s">
        <v>2156</v>
      </c>
      <c r="N74" s="20" t="s">
        <v>2115</v>
      </c>
      <c r="O74" s="20"/>
      <c r="P74" s="10"/>
      <c r="Q74" s="10"/>
      <c r="R74" s="10"/>
      <c r="S74" s="10"/>
      <c r="T74" s="10"/>
      <c r="U74" s="10"/>
      <c r="V74" s="10"/>
      <c r="W74" s="10"/>
      <c r="X74" s="10"/>
      <c r="Y74" s="10"/>
      <c r="Z74" s="10"/>
    </row>
    <row r="75" ht="15.75" customHeight="1">
      <c r="A75" s="63" t="s">
        <v>1132</v>
      </c>
      <c r="B75" s="62" t="s">
        <v>1133</v>
      </c>
      <c r="C75" s="38"/>
      <c r="D75" s="104"/>
      <c r="E75" s="95">
        <v>0.0</v>
      </c>
      <c r="F75" s="62" t="s">
        <v>15</v>
      </c>
      <c r="G75" s="38"/>
      <c r="H75" s="32" t="s">
        <v>184</v>
      </c>
      <c r="I75" s="105" t="s">
        <v>1135</v>
      </c>
      <c r="J75" s="37" t="str">
        <f t="shared" si="7"/>
        <v>DATEREYORGANIC.png</v>
      </c>
      <c r="K75" s="62" t="s">
        <v>1136</v>
      </c>
      <c r="L75" s="32" t="s">
        <v>187</v>
      </c>
      <c r="M75" s="97" t="s">
        <v>2157</v>
      </c>
      <c r="N75" s="67" t="s">
        <v>2043</v>
      </c>
      <c r="O75" s="38"/>
      <c r="P75" s="38"/>
      <c r="Q75" s="38"/>
      <c r="R75" s="38"/>
      <c r="S75" s="38"/>
      <c r="T75" s="38"/>
      <c r="U75" s="38"/>
      <c r="V75" s="38"/>
      <c r="W75" s="38"/>
      <c r="X75" s="38"/>
      <c r="Y75" s="38"/>
      <c r="Z75" s="38"/>
    </row>
    <row r="76" ht="15.75" customHeight="1">
      <c r="A76" s="6" t="s">
        <v>319</v>
      </c>
      <c r="B76" s="7" t="s">
        <v>320</v>
      </c>
      <c r="C76" s="7"/>
      <c r="D76" s="7"/>
      <c r="E76" s="7">
        <v>-2.0</v>
      </c>
      <c r="F76" s="12" t="s">
        <v>321</v>
      </c>
      <c r="G76" s="7" t="s">
        <v>322</v>
      </c>
      <c r="H76" s="8" t="s">
        <v>160</v>
      </c>
      <c r="I76" s="8" t="s">
        <v>323</v>
      </c>
      <c r="J76" s="8" t="str">
        <f t="shared" si="7"/>
        <v>DATEU.S.POLO ASSN.png</v>
      </c>
      <c r="K76" s="7" t="s">
        <v>324</v>
      </c>
      <c r="L76" s="8" t="s">
        <v>163</v>
      </c>
      <c r="M76" s="19" t="s">
        <v>2158</v>
      </c>
      <c r="N76" s="20" t="s">
        <v>2043</v>
      </c>
      <c r="O76" s="20"/>
      <c r="P76" s="10"/>
      <c r="Q76" s="10"/>
      <c r="R76" s="10"/>
      <c r="S76" s="10"/>
      <c r="T76" s="10"/>
      <c r="U76" s="10"/>
      <c r="V76" s="10"/>
      <c r="W76" s="10"/>
      <c r="X76" s="10"/>
      <c r="Y76" s="10"/>
      <c r="Z76" s="10"/>
    </row>
    <row r="77" ht="15.75" customHeight="1">
      <c r="A77" s="6" t="s">
        <v>1124</v>
      </c>
      <c r="B77" s="18" t="s">
        <v>1125</v>
      </c>
      <c r="C77" s="7"/>
      <c r="D77" s="7"/>
      <c r="E77" s="7">
        <v>0.0</v>
      </c>
      <c r="F77" s="12" t="s">
        <v>1126</v>
      </c>
      <c r="G77" s="7" t="s">
        <v>1127</v>
      </c>
      <c r="H77" s="8" t="s">
        <v>1128</v>
      </c>
      <c r="I77" s="8" t="s">
        <v>1129</v>
      </c>
      <c r="J77" s="13" t="str">
        <f t="shared" si="7"/>
        <v>DATEMACMARSATHLETICCLUB.png</v>
      </c>
      <c r="K77" s="7" t="s">
        <v>1130</v>
      </c>
      <c r="L77" s="43" t="s">
        <v>1131</v>
      </c>
      <c r="M77" s="19" t="s">
        <v>2159</v>
      </c>
      <c r="N77" s="20" t="s">
        <v>2115</v>
      </c>
      <c r="O77" s="20"/>
      <c r="P77" s="10"/>
      <c r="Q77" s="10"/>
      <c r="R77" s="10"/>
      <c r="S77" s="10"/>
      <c r="T77" s="10"/>
      <c r="U77" s="10"/>
      <c r="V77" s="10"/>
      <c r="W77" s="10"/>
      <c r="X77" s="10"/>
      <c r="Y77" s="10"/>
      <c r="Z77" s="10"/>
    </row>
    <row r="78" ht="15.75" customHeight="1">
      <c r="A78" s="6" t="s">
        <v>1590</v>
      </c>
      <c r="B78" s="7" t="s">
        <v>2160</v>
      </c>
      <c r="C78" s="7"/>
      <c r="D78" s="7"/>
      <c r="E78" s="7">
        <v>1.0</v>
      </c>
      <c r="F78" s="12" t="s">
        <v>2161</v>
      </c>
      <c r="G78" s="7" t="s">
        <v>2162</v>
      </c>
      <c r="H78" s="8" t="s">
        <v>122</v>
      </c>
      <c r="I78" s="13" t="s">
        <v>2163</v>
      </c>
      <c r="J78" s="13" t="str">
        <f>CONCATENATE(Doors!$M$1,$K78)</f>
        <v>https://inmapper.com/zorlucenter/img/logo/CASA.png</v>
      </c>
      <c r="K78" s="7" t="s">
        <v>2164</v>
      </c>
      <c r="L78" s="8" t="s">
        <v>125</v>
      </c>
      <c r="M78" s="19" t="s">
        <v>2165</v>
      </c>
      <c r="N78" s="20" t="s">
        <v>1997</v>
      </c>
      <c r="O78" s="10"/>
      <c r="P78" s="10"/>
      <c r="Q78" s="10"/>
      <c r="R78" s="10"/>
      <c r="S78" s="10"/>
      <c r="T78" s="10"/>
      <c r="U78" s="10"/>
      <c r="V78" s="10"/>
      <c r="W78" s="10"/>
      <c r="X78" s="10"/>
      <c r="Y78" s="10"/>
      <c r="Z78" s="10"/>
    </row>
    <row r="79" ht="15.75" customHeight="1">
      <c r="A79" s="6" t="s">
        <v>325</v>
      </c>
      <c r="B79" s="7" t="s">
        <v>326</v>
      </c>
      <c r="C79" s="7"/>
      <c r="D79" s="7"/>
      <c r="E79" s="7">
        <v>-2.0</v>
      </c>
      <c r="F79" s="12" t="s">
        <v>2166</v>
      </c>
      <c r="G79" s="7" t="s">
        <v>328</v>
      </c>
      <c r="H79" s="8" t="s">
        <v>160</v>
      </c>
      <c r="I79" s="8" t="s">
        <v>329</v>
      </c>
      <c r="J79" s="13" t="str">
        <f t="shared" ref="J79:J85" si="8">CONCATENATE($M$1,$K79)</f>
        <v>DATEMASSIMODUTTI.png</v>
      </c>
      <c r="K79" s="7" t="s">
        <v>330</v>
      </c>
      <c r="L79" s="8" t="s">
        <v>163</v>
      </c>
      <c r="M79" s="19" t="s">
        <v>2167</v>
      </c>
      <c r="N79" s="20" t="s">
        <v>2115</v>
      </c>
      <c r="O79" s="20"/>
      <c r="P79" s="10"/>
      <c r="Q79" s="10"/>
      <c r="R79" s="10"/>
      <c r="S79" s="10"/>
      <c r="T79" s="10"/>
      <c r="U79" s="10"/>
      <c r="V79" s="10"/>
      <c r="W79" s="10"/>
      <c r="X79" s="10"/>
      <c r="Y79" s="10"/>
      <c r="Z79" s="10"/>
    </row>
    <row r="80" ht="15.75" customHeight="1">
      <c r="A80" s="6" t="s">
        <v>1064</v>
      </c>
      <c r="B80" s="19" t="s">
        <v>1065</v>
      </c>
      <c r="C80" s="18"/>
      <c r="D80" s="7"/>
      <c r="E80" s="7">
        <v>0.0</v>
      </c>
      <c r="F80" s="12" t="s">
        <v>1066</v>
      </c>
      <c r="G80" s="7" t="s">
        <v>1067</v>
      </c>
      <c r="H80" s="8" t="s">
        <v>184</v>
      </c>
      <c r="I80" s="8" t="s">
        <v>559</v>
      </c>
      <c r="J80" s="8" t="str">
        <f t="shared" si="8"/>
        <v>DATEGÜNAYDINSTEAKHOUSE.png</v>
      </c>
      <c r="K80" s="7" t="s">
        <v>1068</v>
      </c>
      <c r="L80" s="8" t="s">
        <v>187</v>
      </c>
      <c r="M80" s="19" t="s">
        <v>2168</v>
      </c>
      <c r="N80" s="20" t="s">
        <v>2115</v>
      </c>
      <c r="O80" s="20"/>
      <c r="P80" s="10"/>
      <c r="Q80" s="10"/>
      <c r="R80" s="10"/>
      <c r="S80" s="10"/>
      <c r="T80" s="10"/>
      <c r="U80" s="10"/>
      <c r="V80" s="10"/>
      <c r="W80" s="10"/>
      <c r="X80" s="10"/>
      <c r="Y80" s="10"/>
      <c r="Z80" s="10"/>
    </row>
    <row r="81" ht="15.75" customHeight="1">
      <c r="A81" s="63" t="s">
        <v>704</v>
      </c>
      <c r="B81" s="62" t="s">
        <v>705</v>
      </c>
      <c r="C81" s="38"/>
      <c r="D81" s="104"/>
      <c r="E81" s="95">
        <v>-1.0</v>
      </c>
      <c r="F81" s="98" t="s">
        <v>706</v>
      </c>
      <c r="G81" s="62" t="s">
        <v>707</v>
      </c>
      <c r="H81" s="32" t="s">
        <v>152</v>
      </c>
      <c r="I81" s="32" t="s">
        <v>708</v>
      </c>
      <c r="J81" s="37" t="str">
        <f t="shared" si="8"/>
        <v>DATEATASAY.png</v>
      </c>
      <c r="K81" s="62" t="s">
        <v>709</v>
      </c>
      <c r="L81" s="32" t="s">
        <v>155</v>
      </c>
      <c r="M81" s="65" t="s">
        <v>2169</v>
      </c>
      <c r="N81" s="67" t="s">
        <v>2043</v>
      </c>
      <c r="O81" s="20"/>
      <c r="P81" s="38"/>
      <c r="Q81" s="38"/>
      <c r="R81" s="38"/>
      <c r="S81" s="38"/>
      <c r="T81" s="38"/>
      <c r="U81" s="38"/>
      <c r="V81" s="38"/>
      <c r="W81" s="38"/>
      <c r="X81" s="38"/>
      <c r="Y81" s="38"/>
      <c r="Z81" s="38"/>
    </row>
    <row r="82" ht="15.75" customHeight="1">
      <c r="A82" s="26" t="s">
        <v>2170</v>
      </c>
      <c r="B82" s="39" t="s">
        <v>2171</v>
      </c>
      <c r="C82" s="38"/>
      <c r="D82" s="104"/>
      <c r="E82" s="29">
        <v>0.0</v>
      </c>
      <c r="F82" s="39" t="s">
        <v>15</v>
      </c>
      <c r="G82" s="39" t="s">
        <v>2172</v>
      </c>
      <c r="H82" s="8" t="s">
        <v>184</v>
      </c>
      <c r="I82" s="32"/>
      <c r="J82" s="37" t="str">
        <f t="shared" si="8"/>
        <v>DATETHESUNDAESOCIETY.png</v>
      </c>
      <c r="K82" s="39" t="s">
        <v>2173</v>
      </c>
      <c r="L82" s="32" t="s">
        <v>187</v>
      </c>
      <c r="M82" s="65" t="s">
        <v>2174</v>
      </c>
      <c r="N82" s="67" t="s">
        <v>2043</v>
      </c>
      <c r="O82" s="20"/>
      <c r="P82" s="38"/>
      <c r="Q82" s="38"/>
      <c r="R82" s="38"/>
      <c r="S82" s="38"/>
      <c r="T82" s="38"/>
      <c r="U82" s="38"/>
      <c r="V82" s="38"/>
      <c r="W82" s="38"/>
      <c r="X82" s="38"/>
      <c r="Y82" s="38"/>
      <c r="Z82" s="38"/>
    </row>
    <row r="83" ht="15.75" customHeight="1">
      <c r="A83" s="63" t="s">
        <v>1691</v>
      </c>
      <c r="B83" s="27" t="s">
        <v>1692</v>
      </c>
      <c r="C83" s="38"/>
      <c r="D83" s="104"/>
      <c r="E83" s="106">
        <v>1.0</v>
      </c>
      <c r="F83" s="39" t="s">
        <v>15</v>
      </c>
      <c r="G83" s="27" t="s">
        <v>1593</v>
      </c>
      <c r="H83" s="32" t="s">
        <v>184</v>
      </c>
      <c r="I83" s="32" t="s">
        <v>1693</v>
      </c>
      <c r="J83" s="37" t="str">
        <f t="shared" si="8"/>
        <v>DATEVOICOFFEECOMPANY.png</v>
      </c>
      <c r="K83" s="27" t="s">
        <v>1694</v>
      </c>
      <c r="L83" s="32" t="s">
        <v>187</v>
      </c>
      <c r="M83" s="97" t="s">
        <v>2175</v>
      </c>
      <c r="N83" s="67" t="s">
        <v>2176</v>
      </c>
      <c r="O83" s="107" t="s">
        <v>2109</v>
      </c>
      <c r="P83" s="38"/>
      <c r="Q83" s="38"/>
      <c r="R83" s="38"/>
      <c r="S83" s="38"/>
      <c r="T83" s="38"/>
      <c r="U83" s="38"/>
      <c r="V83" s="38"/>
      <c r="W83" s="38"/>
      <c r="X83" s="38"/>
      <c r="Y83" s="38"/>
      <c r="Z83" s="38"/>
    </row>
    <row r="84" ht="15.75" customHeight="1">
      <c r="A84" s="6" t="s">
        <v>1075</v>
      </c>
      <c r="B84" s="24" t="s">
        <v>1076</v>
      </c>
      <c r="C84" s="18"/>
      <c r="D84" s="7"/>
      <c r="E84" s="7">
        <v>0.0</v>
      </c>
      <c r="F84" s="12" t="s">
        <v>1077</v>
      </c>
      <c r="G84" s="7" t="s">
        <v>1078</v>
      </c>
      <c r="H84" s="8" t="s">
        <v>184</v>
      </c>
      <c r="I84" s="8" t="s">
        <v>1079</v>
      </c>
      <c r="J84" s="13" t="str">
        <f t="shared" si="8"/>
        <v>DATESUSHICO.png</v>
      </c>
      <c r="K84" s="7" t="s">
        <v>1080</v>
      </c>
      <c r="L84" s="8" t="s">
        <v>187</v>
      </c>
      <c r="M84" s="19" t="s">
        <v>2177</v>
      </c>
      <c r="N84" s="108" t="s">
        <v>2115</v>
      </c>
      <c r="O84" s="20"/>
      <c r="P84" s="10"/>
      <c r="Q84" s="10"/>
      <c r="R84" s="16"/>
      <c r="S84" s="10"/>
      <c r="T84" s="10"/>
      <c r="U84" s="10"/>
      <c r="V84" s="10"/>
      <c r="W84" s="10"/>
      <c r="X84" s="10"/>
      <c r="Y84" s="10"/>
      <c r="Z84" s="10"/>
    </row>
    <row r="85" ht="15.75" customHeight="1">
      <c r="A85" s="6" t="s">
        <v>651</v>
      </c>
      <c r="B85" s="7" t="s">
        <v>652</v>
      </c>
      <c r="C85" s="7"/>
      <c r="D85" s="7"/>
      <c r="E85" s="7">
        <v>-1.0</v>
      </c>
      <c r="F85" s="12" t="s">
        <v>653</v>
      </c>
      <c r="G85" s="7" t="s">
        <v>654</v>
      </c>
      <c r="H85" s="8" t="s">
        <v>67</v>
      </c>
      <c r="I85" s="8" t="s">
        <v>655</v>
      </c>
      <c r="J85" s="13" t="str">
        <f t="shared" si="8"/>
        <v>DATEBOBBIBROWN.png</v>
      </c>
      <c r="K85" s="7" t="s">
        <v>656</v>
      </c>
      <c r="L85" s="8" t="s">
        <v>70</v>
      </c>
      <c r="M85" s="19" t="s">
        <v>2178</v>
      </c>
      <c r="N85" s="67" t="s">
        <v>2176</v>
      </c>
      <c r="O85" s="109" t="s">
        <v>2179</v>
      </c>
      <c r="P85" s="10"/>
      <c r="Q85" s="10"/>
      <c r="R85" s="10"/>
      <c r="S85" s="10"/>
      <c r="T85" s="10"/>
      <c r="U85" s="10"/>
      <c r="V85" s="10"/>
      <c r="W85" s="10"/>
      <c r="X85" s="10"/>
      <c r="Y85" s="10"/>
      <c r="Z85" s="10"/>
    </row>
    <row r="86" ht="15.75" customHeight="1">
      <c r="A86" s="6" t="s">
        <v>1701</v>
      </c>
      <c r="B86" s="18" t="s">
        <v>1702</v>
      </c>
      <c r="C86" s="7"/>
      <c r="D86" s="7"/>
      <c r="E86" s="18">
        <v>1.0</v>
      </c>
      <c r="F86" s="7"/>
      <c r="G86" s="7"/>
      <c r="H86" s="8"/>
      <c r="I86" s="8"/>
      <c r="J86" s="13"/>
      <c r="K86" s="7"/>
      <c r="L86" s="8"/>
      <c r="M86" s="19" t="s">
        <v>2178</v>
      </c>
      <c r="N86" s="67" t="s">
        <v>2068</v>
      </c>
      <c r="O86" s="20"/>
      <c r="P86" s="10"/>
      <c r="Q86" s="10"/>
      <c r="R86" s="10"/>
      <c r="S86" s="10"/>
      <c r="T86" s="10"/>
      <c r="U86" s="10"/>
      <c r="V86" s="10"/>
      <c r="W86" s="10"/>
      <c r="X86" s="10"/>
      <c r="Y86" s="10"/>
      <c r="Z86" s="10"/>
    </row>
    <row r="87" ht="15.75" customHeight="1">
      <c r="A87" s="6" t="s">
        <v>1075</v>
      </c>
      <c r="B87" s="24" t="s">
        <v>1076</v>
      </c>
      <c r="C87" s="18"/>
      <c r="D87" s="7"/>
      <c r="E87" s="7">
        <v>0.0</v>
      </c>
      <c r="F87" s="12" t="s">
        <v>1077</v>
      </c>
      <c r="G87" s="7" t="s">
        <v>1078</v>
      </c>
      <c r="H87" s="8" t="s">
        <v>184</v>
      </c>
      <c r="I87" s="8" t="s">
        <v>1079</v>
      </c>
      <c r="J87" s="13" t="str">
        <f>CONCATENATE($M$1,$K87)</f>
        <v>DATESUSHICO.png</v>
      </c>
      <c r="K87" s="7" t="s">
        <v>1080</v>
      </c>
      <c r="L87" s="8" t="s">
        <v>187</v>
      </c>
      <c r="M87" s="19" t="s">
        <v>2178</v>
      </c>
      <c r="N87" s="67" t="s">
        <v>2180</v>
      </c>
      <c r="O87" s="20"/>
      <c r="P87" s="10"/>
      <c r="Q87" s="10"/>
      <c r="R87" s="16"/>
      <c r="S87" s="10"/>
      <c r="T87" s="10"/>
      <c r="U87" s="10"/>
      <c r="V87" s="10"/>
      <c r="W87" s="10"/>
      <c r="X87" s="10"/>
      <c r="Y87" s="10"/>
      <c r="Z87" s="10"/>
    </row>
    <row r="88" ht="15.75" customHeight="1">
      <c r="A88" s="6" t="s">
        <v>1959</v>
      </c>
      <c r="B88" s="18" t="s">
        <v>2143</v>
      </c>
      <c r="C88" s="7"/>
      <c r="D88" s="7"/>
      <c r="E88" s="7">
        <v>1.0</v>
      </c>
      <c r="F88" s="18"/>
      <c r="G88" s="7"/>
      <c r="H88" s="8" t="s">
        <v>160</v>
      </c>
      <c r="I88" s="40" t="s">
        <v>2032</v>
      </c>
      <c r="J88" s="13" t="str">
        <f>CONCATENATE(Doors!$M$1,$K88)</f>
        <v>https://inmapper.com/zorlucenter/img/logo/MUSEFORALL.png</v>
      </c>
      <c r="K88" s="7" t="s">
        <v>2033</v>
      </c>
      <c r="L88" s="8" t="s">
        <v>163</v>
      </c>
      <c r="M88" s="19" t="s">
        <v>2178</v>
      </c>
      <c r="N88" s="20" t="s">
        <v>1997</v>
      </c>
      <c r="O88" s="20"/>
      <c r="P88" s="10"/>
      <c r="Q88" s="10"/>
      <c r="R88" s="10"/>
      <c r="S88" s="10"/>
      <c r="T88" s="10"/>
      <c r="U88" s="10"/>
      <c r="V88" s="10"/>
      <c r="W88" s="10"/>
      <c r="X88" s="10"/>
      <c r="Y88" s="10"/>
      <c r="Z88" s="10"/>
    </row>
    <row r="89" ht="15.75" customHeight="1">
      <c r="A89" s="21" t="s">
        <v>635</v>
      </c>
      <c r="B89" s="18" t="s">
        <v>636</v>
      </c>
      <c r="C89" s="7"/>
      <c r="D89" s="7"/>
      <c r="E89" s="18">
        <v>-1.0</v>
      </c>
      <c r="F89" s="18">
        <v>4448850.0</v>
      </c>
      <c r="G89" s="7"/>
      <c r="H89" s="8" t="s">
        <v>558</v>
      </c>
      <c r="I89" s="40" t="s">
        <v>638</v>
      </c>
      <c r="J89" s="13"/>
      <c r="K89" s="7"/>
      <c r="L89" s="43" t="s">
        <v>561</v>
      </c>
      <c r="M89" s="19" t="s">
        <v>2181</v>
      </c>
      <c r="N89" s="67" t="s">
        <v>2043</v>
      </c>
      <c r="O89" s="10"/>
      <c r="P89" s="10"/>
      <c r="Q89" s="10"/>
      <c r="R89" s="10"/>
      <c r="S89" s="10"/>
      <c r="T89" s="10"/>
      <c r="U89" s="10"/>
      <c r="V89" s="10"/>
      <c r="W89" s="10"/>
      <c r="X89" s="10"/>
      <c r="Y89" s="10"/>
      <c r="Z89" s="10"/>
    </row>
    <row r="90" ht="15.75" customHeight="1">
      <c r="A90" s="21" t="s">
        <v>1620</v>
      </c>
      <c r="B90" s="18" t="s">
        <v>1621</v>
      </c>
      <c r="C90" s="7"/>
      <c r="D90" s="7"/>
      <c r="E90" s="18">
        <v>1.0</v>
      </c>
      <c r="F90" s="17" t="s">
        <v>2182</v>
      </c>
      <c r="G90" s="18" t="s">
        <v>1623</v>
      </c>
      <c r="H90" s="8" t="s">
        <v>184</v>
      </c>
      <c r="I90" s="8"/>
      <c r="J90" s="13" t="str">
        <f t="shared" ref="J90:J92" si="9">CONCATENATE($M$1,$K90)</f>
        <v>DATECONICO.png</v>
      </c>
      <c r="K90" s="19" t="s">
        <v>1624</v>
      </c>
      <c r="L90" s="8" t="s">
        <v>187</v>
      </c>
      <c r="M90" s="19" t="s">
        <v>2183</v>
      </c>
      <c r="N90" s="67" t="s">
        <v>2176</v>
      </c>
      <c r="O90" s="109" t="s">
        <v>1622</v>
      </c>
      <c r="P90" s="10"/>
      <c r="Q90" s="10"/>
      <c r="R90" s="10"/>
      <c r="S90" s="10"/>
      <c r="T90" s="10"/>
      <c r="U90" s="10"/>
      <c r="V90" s="10"/>
      <c r="W90" s="10"/>
      <c r="X90" s="10"/>
      <c r="Y90" s="10"/>
      <c r="Z90" s="10"/>
    </row>
    <row r="91" ht="15.75" customHeight="1">
      <c r="A91" s="63" t="s">
        <v>1124</v>
      </c>
      <c r="B91" s="27" t="s">
        <v>1125</v>
      </c>
      <c r="C91" s="31" t="s">
        <v>2184</v>
      </c>
      <c r="D91" s="28"/>
      <c r="E91" s="106">
        <v>0.0</v>
      </c>
      <c r="F91" s="30" t="s">
        <v>1126</v>
      </c>
      <c r="G91" s="27" t="s">
        <v>1127</v>
      </c>
      <c r="H91" s="32" t="s">
        <v>1128</v>
      </c>
      <c r="I91" s="32" t="s">
        <v>1129</v>
      </c>
      <c r="J91" s="37" t="str">
        <f t="shared" si="9"/>
        <v>DATEMACMARSATHLETICCLUB.png</v>
      </c>
      <c r="K91" s="27" t="s">
        <v>1130</v>
      </c>
      <c r="L91" s="32" t="s">
        <v>1131</v>
      </c>
      <c r="M91" s="67" t="s">
        <v>2183</v>
      </c>
      <c r="N91" s="67" t="s">
        <v>2180</v>
      </c>
      <c r="O91" s="104"/>
      <c r="P91" s="28"/>
      <c r="Q91" s="28"/>
      <c r="R91" s="28"/>
      <c r="S91" s="28"/>
      <c r="T91" s="28"/>
      <c r="U91" s="28"/>
      <c r="V91" s="28"/>
      <c r="W91" s="28"/>
      <c r="X91" s="28"/>
      <c r="Y91" s="28"/>
      <c r="Z91" s="28"/>
    </row>
    <row r="92" ht="15.75" customHeight="1">
      <c r="A92" s="6" t="s">
        <v>325</v>
      </c>
      <c r="B92" s="7" t="s">
        <v>326</v>
      </c>
      <c r="C92" s="18"/>
      <c r="D92" s="7"/>
      <c r="E92" s="7">
        <v>-2.0</v>
      </c>
      <c r="F92" s="12" t="s">
        <v>2166</v>
      </c>
      <c r="G92" s="7" t="s">
        <v>328</v>
      </c>
      <c r="H92" s="8" t="s">
        <v>160</v>
      </c>
      <c r="I92" s="8" t="s">
        <v>329</v>
      </c>
      <c r="J92" s="13" t="str">
        <f t="shared" si="9"/>
        <v>DATEMASSIMODUTTI.png</v>
      </c>
      <c r="K92" s="7" t="s">
        <v>330</v>
      </c>
      <c r="L92" s="8" t="s">
        <v>163</v>
      </c>
      <c r="M92" s="19" t="s">
        <v>2185</v>
      </c>
      <c r="N92" s="20" t="s">
        <v>2186</v>
      </c>
      <c r="O92" s="10"/>
      <c r="P92" s="10"/>
      <c r="Q92" s="10"/>
      <c r="R92" s="10"/>
      <c r="S92" s="10"/>
      <c r="T92" s="10"/>
      <c r="U92" s="10"/>
      <c r="V92" s="10"/>
      <c r="W92" s="10"/>
      <c r="X92" s="10"/>
      <c r="Y92" s="10"/>
      <c r="Z92" s="10"/>
    </row>
    <row r="93" ht="15.75" customHeight="1">
      <c r="A93" s="6" t="s">
        <v>1959</v>
      </c>
      <c r="B93" s="91" t="s">
        <v>2187</v>
      </c>
      <c r="C93" s="7"/>
      <c r="D93" s="7"/>
      <c r="E93" s="7">
        <v>1.0</v>
      </c>
      <c r="F93" s="17" t="s">
        <v>2188</v>
      </c>
      <c r="G93" s="18" t="s">
        <v>2189</v>
      </c>
      <c r="H93" s="8" t="s">
        <v>160</v>
      </c>
      <c r="I93" s="40" t="s">
        <v>2190</v>
      </c>
      <c r="J93" s="13" t="str">
        <f>CONCATENATE(Doors!$M$1,$K93)</f>
        <v>https://inmapper.com/zorlucenter/img/logo/ASIMPLEWAY.png</v>
      </c>
      <c r="K93" s="18" t="s">
        <v>2191</v>
      </c>
      <c r="L93" s="8" t="s">
        <v>163</v>
      </c>
      <c r="M93" s="19" t="s">
        <v>2192</v>
      </c>
      <c r="N93" s="20" t="s">
        <v>2043</v>
      </c>
      <c r="O93" s="20"/>
      <c r="P93" s="10"/>
      <c r="Q93" s="10"/>
      <c r="R93" s="10"/>
      <c r="S93" s="10"/>
      <c r="T93" s="10"/>
      <c r="U93" s="10"/>
      <c r="V93" s="10"/>
      <c r="W93" s="10"/>
      <c r="X93" s="10"/>
      <c r="Y93" s="10"/>
      <c r="Z93" s="10"/>
    </row>
    <row r="94" ht="15.75" customHeight="1">
      <c r="A94" s="6" t="s">
        <v>884</v>
      </c>
      <c r="B94" s="18" t="s">
        <v>885</v>
      </c>
      <c r="C94" s="7"/>
      <c r="D94" s="7"/>
      <c r="E94" s="18">
        <v>-1.0</v>
      </c>
      <c r="F94" s="17" t="s">
        <v>886</v>
      </c>
      <c r="G94" s="18" t="s">
        <v>887</v>
      </c>
      <c r="H94" s="43" t="s">
        <v>184</v>
      </c>
      <c r="I94" s="41" t="s">
        <v>888</v>
      </c>
      <c r="J94" s="8"/>
      <c r="K94" s="9"/>
      <c r="L94" s="8" t="s">
        <v>187</v>
      </c>
      <c r="M94" s="19" t="s">
        <v>2193</v>
      </c>
      <c r="N94" s="20" t="s">
        <v>2043</v>
      </c>
      <c r="O94" s="10"/>
      <c r="P94" s="10"/>
      <c r="Q94" s="10"/>
      <c r="R94" s="10"/>
      <c r="S94" s="10"/>
      <c r="T94" s="10"/>
      <c r="U94" s="10"/>
      <c r="V94" s="10"/>
      <c r="W94" s="10"/>
      <c r="X94" s="10"/>
      <c r="Y94" s="10"/>
      <c r="Z94" s="10"/>
    </row>
    <row r="95" ht="15.75" customHeight="1">
      <c r="A95" s="6" t="s">
        <v>1490</v>
      </c>
      <c r="B95" s="18" t="s">
        <v>2194</v>
      </c>
      <c r="C95" s="24"/>
      <c r="D95" s="7"/>
      <c r="E95" s="18">
        <v>0.0</v>
      </c>
      <c r="F95" s="18" t="s">
        <v>15</v>
      </c>
      <c r="G95" s="18" t="s">
        <v>1492</v>
      </c>
      <c r="H95" s="8" t="s">
        <v>900</v>
      </c>
      <c r="I95" s="8"/>
      <c r="J95" s="8"/>
      <c r="K95" s="7"/>
      <c r="L95" s="8" t="s">
        <v>901</v>
      </c>
      <c r="M95" s="19" t="s">
        <v>2195</v>
      </c>
      <c r="N95" s="20" t="s">
        <v>1997</v>
      </c>
      <c r="O95" s="10"/>
      <c r="P95" s="10"/>
      <c r="Q95" s="10"/>
      <c r="R95" s="10"/>
      <c r="S95" s="10"/>
      <c r="T95" s="10"/>
      <c r="U95" s="10"/>
      <c r="V95" s="10"/>
      <c r="W95" s="10"/>
      <c r="X95" s="10"/>
      <c r="Y95" s="10"/>
      <c r="Z95" s="10"/>
    </row>
    <row r="96" ht="15.75" customHeight="1">
      <c r="A96" s="6" t="s">
        <v>1490</v>
      </c>
      <c r="B96" s="7" t="s">
        <v>2196</v>
      </c>
      <c r="C96" s="24"/>
      <c r="D96" s="7"/>
      <c r="E96" s="7">
        <v>0.0</v>
      </c>
      <c r="F96" s="7" t="s">
        <v>15</v>
      </c>
      <c r="G96" s="7" t="s">
        <v>1492</v>
      </c>
      <c r="H96" s="8" t="s">
        <v>900</v>
      </c>
      <c r="I96" s="8"/>
      <c r="J96" s="8"/>
      <c r="K96" s="7"/>
      <c r="L96" s="8" t="s">
        <v>901</v>
      </c>
      <c r="M96" s="19" t="s">
        <v>2195</v>
      </c>
      <c r="N96" s="20" t="s">
        <v>1997</v>
      </c>
      <c r="O96" s="10"/>
      <c r="P96" s="10"/>
      <c r="Q96" s="10"/>
      <c r="R96" s="10"/>
      <c r="S96" s="10"/>
      <c r="T96" s="10"/>
      <c r="U96" s="10"/>
      <c r="V96" s="10"/>
      <c r="W96" s="10"/>
      <c r="X96" s="10"/>
      <c r="Y96" s="10"/>
      <c r="Z96" s="10"/>
    </row>
    <row r="97" ht="15.75" customHeight="1">
      <c r="A97" s="6" t="s">
        <v>897</v>
      </c>
      <c r="B97" s="18" t="s">
        <v>2197</v>
      </c>
      <c r="C97" s="24"/>
      <c r="D97" s="7"/>
      <c r="E97" s="7">
        <v>-1.0</v>
      </c>
      <c r="F97" s="7" t="s">
        <v>15</v>
      </c>
      <c r="G97" s="7" t="s">
        <v>899</v>
      </c>
      <c r="H97" s="8" t="s">
        <v>900</v>
      </c>
      <c r="I97" s="8"/>
      <c r="J97" s="8"/>
      <c r="K97" s="7"/>
      <c r="L97" s="8" t="s">
        <v>901</v>
      </c>
      <c r="M97" s="19" t="s">
        <v>2195</v>
      </c>
      <c r="N97" s="91" t="s">
        <v>2043</v>
      </c>
    </row>
    <row r="98" ht="15.75" customHeight="1">
      <c r="A98" s="6" t="s">
        <v>1450</v>
      </c>
      <c r="B98" s="18" t="s">
        <v>1462</v>
      </c>
      <c r="C98" s="24"/>
      <c r="D98" s="7"/>
      <c r="E98" s="7">
        <v>0.0</v>
      </c>
      <c r="F98" s="7" t="s">
        <v>15</v>
      </c>
      <c r="G98" s="7" t="s">
        <v>1452</v>
      </c>
      <c r="H98" s="53" t="s">
        <v>900</v>
      </c>
      <c r="I98" s="53"/>
      <c r="J98" s="53"/>
      <c r="K98" s="7"/>
      <c r="L98" s="53" t="s">
        <v>901</v>
      </c>
      <c r="M98" s="19" t="s">
        <v>2195</v>
      </c>
      <c r="N98" s="20" t="s">
        <v>2043</v>
      </c>
      <c r="O98" s="10"/>
      <c r="P98" s="10"/>
      <c r="Q98" s="10"/>
      <c r="R98" s="10"/>
      <c r="S98" s="10"/>
      <c r="T98" s="10"/>
      <c r="U98" s="10"/>
      <c r="V98" s="10"/>
      <c r="W98" s="10"/>
      <c r="X98" s="10"/>
      <c r="Y98" s="10"/>
      <c r="Z98" s="10"/>
    </row>
    <row r="99" ht="15.75" customHeight="1">
      <c r="A99" s="6" t="s">
        <v>1510</v>
      </c>
      <c r="B99" s="7" t="s">
        <v>2198</v>
      </c>
      <c r="C99" s="24"/>
      <c r="D99" s="7"/>
      <c r="E99" s="7">
        <v>0.0</v>
      </c>
      <c r="F99" s="7" t="s">
        <v>15</v>
      </c>
      <c r="G99" s="7" t="s">
        <v>1512</v>
      </c>
      <c r="H99" s="8" t="s">
        <v>900</v>
      </c>
      <c r="I99" s="8"/>
      <c r="J99" s="8"/>
      <c r="K99" s="7"/>
      <c r="L99" s="53" t="s">
        <v>901</v>
      </c>
      <c r="M99" s="19" t="s">
        <v>2199</v>
      </c>
      <c r="N99" s="20" t="s">
        <v>1997</v>
      </c>
      <c r="O99" s="10"/>
      <c r="P99" s="10"/>
      <c r="Q99" s="10"/>
      <c r="R99" s="10"/>
      <c r="S99" s="10"/>
      <c r="T99" s="10"/>
      <c r="U99" s="10"/>
      <c r="V99" s="10"/>
      <c r="W99" s="10"/>
      <c r="X99" s="10"/>
      <c r="Y99" s="10"/>
      <c r="Z99" s="10"/>
    </row>
    <row r="100" ht="15.75" customHeight="1">
      <c r="A100" s="21" t="s">
        <v>2014</v>
      </c>
      <c r="B100" s="18" t="s">
        <v>2200</v>
      </c>
      <c r="C100" s="24"/>
      <c r="D100" s="7"/>
      <c r="E100" s="18">
        <v>-1.0</v>
      </c>
      <c r="F100" s="18" t="s">
        <v>15</v>
      </c>
      <c r="G100" s="18" t="s">
        <v>2201</v>
      </c>
      <c r="H100" s="43" t="s">
        <v>558</v>
      </c>
      <c r="I100" s="40" t="s">
        <v>2202</v>
      </c>
      <c r="J100" s="8"/>
      <c r="K100" s="7"/>
      <c r="L100" s="43" t="s">
        <v>561</v>
      </c>
      <c r="M100" s="48" t="s">
        <v>2199</v>
      </c>
      <c r="N100" s="91" t="s">
        <v>2068</v>
      </c>
    </row>
    <row r="101" ht="15.75" customHeight="1">
      <c r="A101" s="21" t="s">
        <v>612</v>
      </c>
      <c r="B101" s="18" t="s">
        <v>613</v>
      </c>
      <c r="C101" s="24"/>
      <c r="D101" s="7"/>
      <c r="E101" s="18">
        <v>-1.0</v>
      </c>
      <c r="F101" s="18" t="s">
        <v>15</v>
      </c>
      <c r="G101" s="18" t="s">
        <v>614</v>
      </c>
      <c r="H101" s="43" t="s">
        <v>558</v>
      </c>
      <c r="I101" s="40" t="s">
        <v>615</v>
      </c>
      <c r="J101" s="8"/>
      <c r="K101" s="7"/>
      <c r="L101" s="43" t="s">
        <v>561</v>
      </c>
      <c r="M101" s="48" t="s">
        <v>2199</v>
      </c>
      <c r="N101" s="91" t="s">
        <v>2068</v>
      </c>
    </row>
    <row r="102" ht="15.75" customHeight="1">
      <c r="A102" s="6" t="s">
        <v>1064</v>
      </c>
      <c r="B102" s="19" t="s">
        <v>1065</v>
      </c>
      <c r="C102" s="18"/>
      <c r="D102" s="7"/>
      <c r="E102" s="7">
        <v>0.0</v>
      </c>
      <c r="F102" s="12" t="s">
        <v>1066</v>
      </c>
      <c r="G102" s="7" t="s">
        <v>1067</v>
      </c>
      <c r="H102" s="8" t="s">
        <v>184</v>
      </c>
      <c r="I102" s="8" t="s">
        <v>559</v>
      </c>
      <c r="J102" s="8" t="str">
        <f>CONCATENATE($M$1,$K102)</f>
        <v>DATEGÜNAYDINSTEAKHOUSE.png</v>
      </c>
      <c r="K102" s="7" t="s">
        <v>1068</v>
      </c>
      <c r="L102" s="8" t="s">
        <v>187</v>
      </c>
      <c r="M102" s="19" t="s">
        <v>2203</v>
      </c>
      <c r="N102" s="20" t="s">
        <v>2180</v>
      </c>
      <c r="P102" s="10"/>
      <c r="Q102" s="10"/>
      <c r="R102" s="10"/>
      <c r="S102" s="10"/>
      <c r="T102" s="10"/>
      <c r="U102" s="10"/>
      <c r="V102" s="10"/>
      <c r="W102" s="10"/>
      <c r="X102" s="10"/>
      <c r="Y102" s="10"/>
      <c r="Z102" s="10"/>
    </row>
    <row r="103" ht="15.75" customHeight="1">
      <c r="A103" s="21" t="s">
        <v>879</v>
      </c>
      <c r="B103" s="18" t="s">
        <v>880</v>
      </c>
      <c r="C103" s="24"/>
      <c r="D103" s="7"/>
      <c r="E103" s="18">
        <v>-1.0</v>
      </c>
      <c r="F103" s="17" t="s">
        <v>881</v>
      </c>
      <c r="G103" s="7" t="s">
        <v>660</v>
      </c>
      <c r="H103" s="32" t="s">
        <v>152</v>
      </c>
      <c r="I103" s="40" t="s">
        <v>882</v>
      </c>
      <c r="J103" s="8"/>
      <c r="K103" s="18" t="s">
        <v>883</v>
      </c>
      <c r="L103" s="8" t="s">
        <v>155</v>
      </c>
      <c r="M103" s="110" t="s">
        <v>2204</v>
      </c>
      <c r="N103" s="91" t="s">
        <v>2043</v>
      </c>
    </row>
    <row r="104" ht="15.75" customHeight="1">
      <c r="A104" s="6" t="s">
        <v>473</v>
      </c>
      <c r="B104" s="7" t="s">
        <v>474</v>
      </c>
      <c r="C104" s="7"/>
      <c r="D104" s="7"/>
      <c r="E104" s="7">
        <v>-1.0</v>
      </c>
      <c r="F104" s="18" t="s">
        <v>15</v>
      </c>
      <c r="G104" s="7" t="s">
        <v>475</v>
      </c>
      <c r="H104" s="8" t="s">
        <v>160</v>
      </c>
      <c r="I104" s="8" t="s">
        <v>476</v>
      </c>
      <c r="J104" s="13" t="str">
        <f t="shared" ref="J104:J107" si="10">CONCATENATE($M$1,$K104)</f>
        <v>DATEZARA.png</v>
      </c>
      <c r="K104" s="7" t="s">
        <v>477</v>
      </c>
      <c r="L104" s="8" t="s">
        <v>163</v>
      </c>
      <c r="M104" s="19" t="s">
        <v>2205</v>
      </c>
      <c r="N104" s="20" t="s">
        <v>2176</v>
      </c>
      <c r="O104" s="20" t="s">
        <v>15</v>
      </c>
      <c r="P104" s="10"/>
      <c r="Q104" s="10"/>
      <c r="R104" s="10"/>
      <c r="S104" s="10"/>
      <c r="T104" s="10"/>
      <c r="U104" s="10"/>
      <c r="V104" s="10"/>
      <c r="W104" s="10"/>
      <c r="X104" s="10"/>
      <c r="Y104" s="10"/>
      <c r="Z104" s="10"/>
    </row>
    <row r="105" ht="15.75" customHeight="1">
      <c r="A105" s="63" t="s">
        <v>1701</v>
      </c>
      <c r="B105" s="39" t="s">
        <v>1702</v>
      </c>
      <c r="C105" s="28"/>
      <c r="D105" s="28"/>
      <c r="E105" s="64">
        <v>1.0</v>
      </c>
      <c r="F105" s="70" t="s">
        <v>1703</v>
      </c>
      <c r="G105" s="39" t="s">
        <v>2206</v>
      </c>
      <c r="H105" s="8" t="s">
        <v>122</v>
      </c>
      <c r="I105" s="71" t="s">
        <v>1705</v>
      </c>
      <c r="J105" s="32" t="str">
        <f t="shared" si="10"/>
        <v>DATEZWILLING.png</v>
      </c>
      <c r="K105" s="39" t="s">
        <v>1706</v>
      </c>
      <c r="L105" s="62" t="s">
        <v>125</v>
      </c>
      <c r="M105" s="39" t="s">
        <v>2207</v>
      </c>
      <c r="N105" s="67" t="s">
        <v>2068</v>
      </c>
      <c r="O105" s="39" t="s">
        <v>2208</v>
      </c>
      <c r="P105" s="28"/>
      <c r="Q105" s="28"/>
      <c r="R105" s="28"/>
      <c r="S105" s="28"/>
      <c r="T105" s="28"/>
      <c r="U105" s="28"/>
      <c r="V105" s="28"/>
      <c r="W105" s="28"/>
      <c r="X105" s="28"/>
      <c r="Y105" s="28"/>
      <c r="Z105" s="28"/>
    </row>
    <row r="106" ht="15.75" customHeight="1">
      <c r="A106" s="6" t="s">
        <v>260</v>
      </c>
      <c r="B106" s="7" t="s">
        <v>261</v>
      </c>
      <c r="C106" s="7"/>
      <c r="D106" s="7"/>
      <c r="E106" s="7">
        <v>-2.0</v>
      </c>
      <c r="F106" s="12" t="s">
        <v>262</v>
      </c>
      <c r="G106" s="7" t="s">
        <v>263</v>
      </c>
      <c r="H106" s="8" t="s">
        <v>160</v>
      </c>
      <c r="I106" s="8" t="s">
        <v>264</v>
      </c>
      <c r="J106" s="13" t="str">
        <f t="shared" si="10"/>
        <v>DATEPENTİ.png</v>
      </c>
      <c r="K106" s="7" t="s">
        <v>265</v>
      </c>
      <c r="L106" s="8" t="s">
        <v>163</v>
      </c>
      <c r="M106" s="19" t="s">
        <v>2209</v>
      </c>
      <c r="N106" s="20" t="s">
        <v>2115</v>
      </c>
      <c r="O106" s="38"/>
      <c r="P106" s="10"/>
      <c r="Q106" s="10"/>
      <c r="R106" s="10"/>
      <c r="S106" s="10"/>
      <c r="T106" s="10"/>
      <c r="U106" s="10"/>
      <c r="V106" s="10"/>
      <c r="W106" s="10"/>
      <c r="X106" s="10"/>
      <c r="Y106" s="10"/>
      <c r="Z106" s="10"/>
    </row>
    <row r="107" ht="15.75" customHeight="1">
      <c r="A107" s="63" t="s">
        <v>1701</v>
      </c>
      <c r="B107" s="39" t="s">
        <v>1702</v>
      </c>
      <c r="C107" s="28"/>
      <c r="D107" s="28"/>
      <c r="E107" s="64">
        <v>1.0</v>
      </c>
      <c r="F107" s="70" t="s">
        <v>1703</v>
      </c>
      <c r="G107" s="39" t="s">
        <v>2206</v>
      </c>
      <c r="H107" s="8" t="s">
        <v>122</v>
      </c>
      <c r="I107" s="71" t="s">
        <v>1705</v>
      </c>
      <c r="J107" s="32" t="str">
        <f t="shared" si="10"/>
        <v>DATEZWILLING.png</v>
      </c>
      <c r="K107" s="39" t="s">
        <v>1706</v>
      </c>
      <c r="L107" s="62" t="s">
        <v>125</v>
      </c>
      <c r="M107" s="39" t="s">
        <v>2208</v>
      </c>
      <c r="N107" s="20" t="s">
        <v>2180</v>
      </c>
      <c r="O107" s="39"/>
      <c r="P107" s="28"/>
      <c r="Q107" s="28"/>
      <c r="R107" s="28"/>
      <c r="S107" s="28"/>
      <c r="T107" s="28"/>
      <c r="U107" s="28"/>
      <c r="V107" s="28"/>
      <c r="W107" s="28"/>
      <c r="X107" s="28"/>
      <c r="Y107" s="28"/>
      <c r="Z107" s="28"/>
    </row>
    <row r="108" ht="15.75" customHeight="1">
      <c r="A108" s="63" t="s">
        <v>2014</v>
      </c>
      <c r="B108" s="62" t="s">
        <v>2200</v>
      </c>
      <c r="C108" s="38"/>
      <c r="D108" s="104"/>
      <c r="E108" s="95">
        <v>-1.0</v>
      </c>
      <c r="F108" s="70" t="s">
        <v>2210</v>
      </c>
      <c r="G108" s="62" t="s">
        <v>2201</v>
      </c>
      <c r="H108" s="32" t="s">
        <v>558</v>
      </c>
      <c r="I108" s="37" t="s">
        <v>2202</v>
      </c>
      <c r="J108" s="99"/>
      <c r="K108" s="18" t="s">
        <v>2211</v>
      </c>
      <c r="L108" s="32" t="s">
        <v>561</v>
      </c>
      <c r="M108" s="97" t="s">
        <v>2212</v>
      </c>
      <c r="N108" s="67" t="s">
        <v>2043</v>
      </c>
      <c r="O108" s="38"/>
      <c r="P108" s="38"/>
      <c r="Q108" s="38"/>
      <c r="R108" s="38"/>
      <c r="S108" s="38"/>
      <c r="T108" s="38"/>
      <c r="U108" s="38"/>
      <c r="V108" s="38"/>
      <c r="W108" s="38"/>
      <c r="X108" s="38"/>
      <c r="Y108" s="38"/>
      <c r="Z108" s="38"/>
    </row>
    <row r="109" ht="15.75" customHeight="1">
      <c r="A109" s="6" t="s">
        <v>890</v>
      </c>
      <c r="B109" s="18" t="s">
        <v>891</v>
      </c>
      <c r="C109" s="7"/>
      <c r="D109" s="7"/>
      <c r="E109" s="18">
        <v>-1.0</v>
      </c>
      <c r="F109" s="18" t="s">
        <v>15</v>
      </c>
      <c r="G109" s="18" t="s">
        <v>892</v>
      </c>
      <c r="H109" s="8" t="s">
        <v>176</v>
      </c>
      <c r="I109" s="40" t="s">
        <v>893</v>
      </c>
      <c r="J109" s="13" t="str">
        <f t="shared" ref="J109:J113" si="11">CONCATENATE($M$1,$K109)</f>
        <v>DATEKIPLING.png</v>
      </c>
      <c r="K109" s="19" t="s">
        <v>894</v>
      </c>
      <c r="L109" s="8" t="s">
        <v>179</v>
      </c>
      <c r="M109" s="19" t="s">
        <v>2213</v>
      </c>
      <c r="N109" s="20" t="s">
        <v>2043</v>
      </c>
      <c r="O109" s="10"/>
      <c r="P109" s="10"/>
      <c r="Q109" s="10"/>
      <c r="R109" s="10"/>
      <c r="S109" s="10"/>
      <c r="T109" s="10"/>
      <c r="U109" s="10"/>
      <c r="V109" s="10"/>
      <c r="W109" s="10"/>
      <c r="X109" s="10"/>
      <c r="Y109" s="10"/>
      <c r="Z109" s="10"/>
    </row>
    <row r="110" ht="15.75" customHeight="1">
      <c r="A110" s="6" t="s">
        <v>325</v>
      </c>
      <c r="B110" s="7" t="s">
        <v>326</v>
      </c>
      <c r="C110" s="18"/>
      <c r="D110" s="7"/>
      <c r="E110" s="7">
        <v>-2.0</v>
      </c>
      <c r="F110" s="12" t="s">
        <v>2166</v>
      </c>
      <c r="G110" s="7" t="s">
        <v>328</v>
      </c>
      <c r="H110" s="8" t="s">
        <v>160</v>
      </c>
      <c r="I110" s="8" t="s">
        <v>329</v>
      </c>
      <c r="J110" s="13" t="str">
        <f t="shared" si="11"/>
        <v>DATEMASSIMODUTTI.png</v>
      </c>
      <c r="K110" s="7" t="s">
        <v>330</v>
      </c>
      <c r="L110" s="8" t="s">
        <v>163</v>
      </c>
      <c r="M110" s="19" t="s">
        <v>2214</v>
      </c>
      <c r="N110" s="67" t="s">
        <v>2176</v>
      </c>
      <c r="O110" s="109" t="s">
        <v>327</v>
      </c>
      <c r="P110" s="10"/>
      <c r="Q110" s="10"/>
      <c r="R110" s="10"/>
      <c r="S110" s="10"/>
      <c r="T110" s="10"/>
      <c r="U110" s="10"/>
      <c r="V110" s="10"/>
      <c r="W110" s="10"/>
      <c r="X110" s="10"/>
      <c r="Y110" s="10"/>
      <c r="Z110" s="10"/>
    </row>
    <row r="111" ht="15.75" customHeight="1">
      <c r="A111" s="6" t="s">
        <v>834</v>
      </c>
      <c r="B111" s="7" t="s">
        <v>2215</v>
      </c>
      <c r="C111" s="7"/>
      <c r="D111" s="7"/>
      <c r="E111" s="7">
        <v>-1.0</v>
      </c>
      <c r="F111" s="17" t="s">
        <v>2216</v>
      </c>
      <c r="G111" s="7" t="s">
        <v>2217</v>
      </c>
      <c r="H111" s="8" t="s">
        <v>67</v>
      </c>
      <c r="I111" s="8" t="s">
        <v>2218</v>
      </c>
      <c r="J111" s="13" t="str">
        <f t="shared" si="11"/>
        <v>DATETHEBODYSHOP.png</v>
      </c>
      <c r="K111" s="9" t="s">
        <v>2219</v>
      </c>
      <c r="L111" s="8" t="s">
        <v>70</v>
      </c>
      <c r="M111" s="19" t="s">
        <v>2220</v>
      </c>
      <c r="N111" s="20" t="s">
        <v>1997</v>
      </c>
      <c r="O111" s="10"/>
      <c r="P111" s="10"/>
      <c r="Q111" s="10"/>
      <c r="R111" s="10"/>
      <c r="S111" s="10"/>
      <c r="T111" s="10"/>
      <c r="U111" s="10"/>
      <c r="V111" s="10"/>
      <c r="W111" s="10"/>
      <c r="X111" s="10"/>
      <c r="Y111" s="10"/>
      <c r="Z111" s="10"/>
    </row>
    <row r="112" ht="15.75" customHeight="1">
      <c r="A112" s="6" t="s">
        <v>986</v>
      </c>
      <c r="B112" s="18" t="s">
        <v>987</v>
      </c>
      <c r="C112" s="7"/>
      <c r="D112" s="7"/>
      <c r="E112" s="7">
        <v>0.0</v>
      </c>
      <c r="F112" s="12" t="s">
        <v>988</v>
      </c>
      <c r="G112" s="7" t="s">
        <v>989</v>
      </c>
      <c r="H112" s="8" t="s">
        <v>184</v>
      </c>
      <c r="I112" s="8" t="s">
        <v>990</v>
      </c>
      <c r="J112" s="13" t="str">
        <f t="shared" si="11"/>
        <v>DATEVAKKORAMACAFE.png</v>
      </c>
      <c r="K112" s="9" t="s">
        <v>991</v>
      </c>
      <c r="L112" s="8" t="s">
        <v>187</v>
      </c>
      <c r="M112" s="19" t="s">
        <v>2220</v>
      </c>
      <c r="N112" s="67" t="s">
        <v>2176</v>
      </c>
      <c r="O112" s="111" t="s">
        <v>2221</v>
      </c>
      <c r="P112" s="10"/>
      <c r="Q112" s="10"/>
      <c r="R112" s="10"/>
      <c r="S112" s="10"/>
      <c r="T112" s="10"/>
      <c r="U112" s="10"/>
      <c r="V112" s="10"/>
      <c r="W112" s="10"/>
      <c r="X112" s="10"/>
      <c r="Y112" s="10"/>
      <c r="Z112" s="10"/>
    </row>
    <row r="113" ht="15.75" customHeight="1">
      <c r="A113" s="6" t="s">
        <v>260</v>
      </c>
      <c r="B113" s="7" t="s">
        <v>261</v>
      </c>
      <c r="C113" s="7"/>
      <c r="D113" s="7"/>
      <c r="E113" s="7">
        <v>-2.0</v>
      </c>
      <c r="F113" s="12" t="s">
        <v>262</v>
      </c>
      <c r="G113" s="7" t="s">
        <v>263</v>
      </c>
      <c r="H113" s="8" t="s">
        <v>160</v>
      </c>
      <c r="I113" s="8" t="s">
        <v>264</v>
      </c>
      <c r="J113" s="13" t="str">
        <f t="shared" si="11"/>
        <v>DATEPENTİ.png</v>
      </c>
      <c r="K113" s="7" t="s">
        <v>265</v>
      </c>
      <c r="L113" s="8" t="s">
        <v>163</v>
      </c>
      <c r="M113" s="19" t="s">
        <v>2214</v>
      </c>
      <c r="N113" s="20" t="s">
        <v>2180</v>
      </c>
    </row>
    <row r="114" ht="15.75" customHeight="1">
      <c r="A114" s="21" t="s">
        <v>612</v>
      </c>
      <c r="B114" s="18" t="s">
        <v>613</v>
      </c>
      <c r="C114" s="24"/>
      <c r="D114" s="7"/>
      <c r="E114" s="18">
        <v>-1.0</v>
      </c>
      <c r="F114" s="18" t="s">
        <v>15</v>
      </c>
      <c r="G114" s="18" t="s">
        <v>614</v>
      </c>
      <c r="H114" s="43" t="s">
        <v>558</v>
      </c>
      <c r="I114" s="40" t="s">
        <v>615</v>
      </c>
      <c r="J114" s="8"/>
      <c r="K114" s="18" t="s">
        <v>616</v>
      </c>
      <c r="L114" s="43" t="s">
        <v>561</v>
      </c>
      <c r="M114" s="48" t="s">
        <v>2222</v>
      </c>
      <c r="N114" s="91" t="s">
        <v>2043</v>
      </c>
    </row>
    <row r="115" ht="15.75" customHeight="1">
      <c r="A115" s="6" t="s">
        <v>1541</v>
      </c>
      <c r="B115" s="7" t="s">
        <v>1542</v>
      </c>
      <c r="C115" s="7"/>
      <c r="D115" s="7"/>
      <c r="E115" s="7">
        <v>1.0</v>
      </c>
      <c r="F115" s="12" t="s">
        <v>2223</v>
      </c>
      <c r="G115" s="7" t="s">
        <v>1544</v>
      </c>
      <c r="H115" s="8" t="s">
        <v>90</v>
      </c>
      <c r="I115" s="8" t="s">
        <v>1545</v>
      </c>
      <c r="J115" s="13" t="str">
        <f>CONCATENATE($M$1,$K115)</f>
        <v>DATEVESTEL.png</v>
      </c>
      <c r="K115" s="9" t="s">
        <v>1546</v>
      </c>
      <c r="L115" s="8" t="s">
        <v>92</v>
      </c>
      <c r="M115" s="19" t="s">
        <v>2224</v>
      </c>
      <c r="N115" s="20" t="s">
        <v>2176</v>
      </c>
      <c r="O115" s="109" t="s">
        <v>1543</v>
      </c>
      <c r="P115" s="10"/>
      <c r="Q115" s="10"/>
      <c r="R115" s="10"/>
      <c r="S115" s="10"/>
      <c r="T115" s="10"/>
      <c r="U115" s="10"/>
      <c r="V115" s="10"/>
      <c r="W115" s="10"/>
      <c r="X115" s="10"/>
      <c r="Y115" s="10"/>
      <c r="Z115" s="10"/>
    </row>
    <row r="116" ht="15.75" customHeight="1">
      <c r="A116" s="6" t="s">
        <v>1959</v>
      </c>
      <c r="B116" s="91" t="s">
        <v>2187</v>
      </c>
      <c r="C116" s="7"/>
      <c r="D116" s="7"/>
      <c r="E116" s="7">
        <v>1.0</v>
      </c>
      <c r="F116" s="17" t="s">
        <v>2188</v>
      </c>
      <c r="G116" s="18" t="s">
        <v>2189</v>
      </c>
      <c r="H116" s="8" t="s">
        <v>160</v>
      </c>
      <c r="I116" s="40" t="s">
        <v>2190</v>
      </c>
      <c r="J116" s="13" t="str">
        <f>CONCATENATE(Doors!$M$1,$K116)</f>
        <v>https://inmapper.com/zorlucenter/img/logo/ASIMPLEWAY.png</v>
      </c>
      <c r="K116" s="18" t="s">
        <v>2191</v>
      </c>
      <c r="L116" s="8" t="s">
        <v>163</v>
      </c>
      <c r="M116" s="19" t="s">
        <v>2225</v>
      </c>
      <c r="N116" s="20" t="s">
        <v>1997</v>
      </c>
      <c r="O116" s="20"/>
      <c r="P116" s="10"/>
      <c r="Q116" s="10"/>
      <c r="R116" s="10"/>
      <c r="S116" s="10"/>
      <c r="T116" s="10"/>
      <c r="U116" s="10"/>
      <c r="V116" s="10"/>
      <c r="W116" s="10"/>
      <c r="X116" s="10"/>
      <c r="Y116" s="10"/>
      <c r="Z116" s="10"/>
    </row>
    <row r="117" ht="15.75" customHeight="1">
      <c r="A117" s="63" t="s">
        <v>1069</v>
      </c>
      <c r="B117" s="27" t="s">
        <v>2226</v>
      </c>
      <c r="C117" s="28"/>
      <c r="D117" s="28"/>
      <c r="E117" s="64">
        <v>0.0</v>
      </c>
      <c r="F117" s="30" t="s">
        <v>1071</v>
      </c>
      <c r="G117" s="27" t="s">
        <v>2227</v>
      </c>
      <c r="H117" s="32" t="s">
        <v>184</v>
      </c>
      <c r="I117" s="37" t="s">
        <v>1073</v>
      </c>
      <c r="J117" s="37" t="str">
        <f t="shared" ref="J117:J124" si="12">CONCATENATE($M$1,$K117)</f>
        <v>DATENEVLOKANTAMEZE.png</v>
      </c>
      <c r="K117" s="27" t="s">
        <v>1074</v>
      </c>
      <c r="L117" s="32" t="s">
        <v>187</v>
      </c>
      <c r="M117" s="67" t="s">
        <v>2228</v>
      </c>
      <c r="N117" s="67" t="s">
        <v>2229</v>
      </c>
      <c r="O117" s="67" t="s">
        <v>1070</v>
      </c>
      <c r="P117" s="28"/>
      <c r="Q117" s="28"/>
      <c r="R117" s="28"/>
      <c r="S117" s="28"/>
      <c r="T117" s="28"/>
      <c r="U117" s="28"/>
      <c r="V117" s="28"/>
      <c r="W117" s="28"/>
      <c r="X117" s="28"/>
      <c r="Y117" s="28"/>
      <c r="Z117" s="28"/>
    </row>
    <row r="118" ht="15.75" customHeight="1">
      <c r="A118" s="6" t="s">
        <v>834</v>
      </c>
      <c r="B118" s="18" t="s">
        <v>2230</v>
      </c>
      <c r="C118" s="7"/>
      <c r="D118" s="7"/>
      <c r="E118" s="7">
        <v>-1.0</v>
      </c>
      <c r="F118" s="18" t="s">
        <v>15</v>
      </c>
      <c r="G118" s="7"/>
      <c r="H118" s="43" t="s">
        <v>168</v>
      </c>
      <c r="I118" s="40" t="s">
        <v>2231</v>
      </c>
      <c r="J118" s="13" t="str">
        <f t="shared" si="12"/>
        <v>DATELEGO.png</v>
      </c>
      <c r="K118" s="19" t="s">
        <v>2232</v>
      </c>
      <c r="L118" s="8" t="s">
        <v>171</v>
      </c>
      <c r="M118" s="19" t="s">
        <v>2233</v>
      </c>
      <c r="N118" s="20" t="s">
        <v>2043</v>
      </c>
      <c r="O118" s="10"/>
      <c r="P118" s="10"/>
      <c r="Q118" s="10"/>
      <c r="R118" s="10"/>
      <c r="S118" s="10"/>
      <c r="T118" s="10"/>
      <c r="U118" s="10"/>
      <c r="V118" s="10"/>
      <c r="W118" s="10"/>
      <c r="X118" s="10"/>
      <c r="Y118" s="10"/>
      <c r="Z118" s="10"/>
    </row>
    <row r="119" ht="15.75" customHeight="1">
      <c r="A119" s="21" t="s">
        <v>2170</v>
      </c>
      <c r="B119" s="18" t="s">
        <v>2171</v>
      </c>
      <c r="C119" s="7"/>
      <c r="D119" s="7"/>
      <c r="E119" s="18">
        <v>0.0</v>
      </c>
      <c r="F119" s="17" t="s">
        <v>2234</v>
      </c>
      <c r="G119" s="18" t="s">
        <v>2172</v>
      </c>
      <c r="H119" s="8" t="s">
        <v>184</v>
      </c>
      <c r="I119" s="43"/>
      <c r="J119" s="8" t="str">
        <f t="shared" si="12"/>
        <v>DATETHESUNDAESOCIETY.png</v>
      </c>
      <c r="K119" s="18" t="s">
        <v>2173</v>
      </c>
      <c r="L119" s="8" t="s">
        <v>187</v>
      </c>
      <c r="M119" s="65" t="s">
        <v>2235</v>
      </c>
      <c r="N119" s="67" t="s">
        <v>1997</v>
      </c>
      <c r="O119" s="10"/>
      <c r="P119" s="10"/>
      <c r="Q119" s="10"/>
      <c r="R119" s="10"/>
      <c r="S119" s="10"/>
      <c r="T119" s="10"/>
      <c r="U119" s="10"/>
      <c r="V119" s="10"/>
      <c r="W119" s="10"/>
      <c r="X119" s="10"/>
      <c r="Y119" s="10"/>
      <c r="Z119" s="10"/>
    </row>
    <row r="120" ht="15.75" customHeight="1">
      <c r="A120" s="6" t="s">
        <v>373</v>
      </c>
      <c r="B120" s="18" t="s">
        <v>374</v>
      </c>
      <c r="C120" s="7"/>
      <c r="D120" s="7"/>
      <c r="E120" s="7">
        <v>-2.0</v>
      </c>
      <c r="F120" s="12" t="s">
        <v>375</v>
      </c>
      <c r="G120" s="7" t="s">
        <v>376</v>
      </c>
      <c r="H120" s="8" t="s">
        <v>168</v>
      </c>
      <c r="I120" s="41" t="s">
        <v>377</v>
      </c>
      <c r="J120" s="13" t="str">
        <f t="shared" si="12"/>
        <v>DATEMINYCENTERCARTER'S.png</v>
      </c>
      <c r="K120" s="7" t="s">
        <v>378</v>
      </c>
      <c r="L120" s="8" t="s">
        <v>171</v>
      </c>
      <c r="M120" s="19" t="s">
        <v>2236</v>
      </c>
      <c r="N120" s="20" t="s">
        <v>2115</v>
      </c>
      <c r="O120" s="10"/>
      <c r="P120" s="10"/>
      <c r="Q120" s="10"/>
      <c r="R120" s="10"/>
      <c r="S120" s="10"/>
      <c r="T120" s="10"/>
      <c r="U120" s="10"/>
      <c r="V120" s="10"/>
      <c r="W120" s="10"/>
      <c r="X120" s="10"/>
      <c r="Y120" s="10"/>
      <c r="Z120" s="10"/>
    </row>
    <row r="121" ht="15.75" customHeight="1">
      <c r="A121" s="6" t="s">
        <v>554</v>
      </c>
      <c r="B121" s="7" t="s">
        <v>555</v>
      </c>
      <c r="C121" s="7"/>
      <c r="D121" s="7"/>
      <c r="E121" s="7">
        <v>-1.0</v>
      </c>
      <c r="F121" s="12" t="s">
        <v>556</v>
      </c>
      <c r="G121" s="7" t="s">
        <v>557</v>
      </c>
      <c r="H121" s="8" t="s">
        <v>558</v>
      </c>
      <c r="I121" s="8" t="s">
        <v>559</v>
      </c>
      <c r="J121" s="8" t="str">
        <f t="shared" si="12"/>
        <v>DATEGÜNAYDINKÖFTEDÖNER.png</v>
      </c>
      <c r="K121" s="7" t="s">
        <v>560</v>
      </c>
      <c r="L121" s="8" t="s">
        <v>561</v>
      </c>
      <c r="M121" s="19" t="s">
        <v>2237</v>
      </c>
      <c r="N121" s="112" t="s">
        <v>2115</v>
      </c>
      <c r="O121" s="10"/>
      <c r="P121" s="10"/>
      <c r="Q121" s="10"/>
      <c r="R121" s="10"/>
      <c r="S121" s="10"/>
      <c r="T121" s="10"/>
      <c r="U121" s="10"/>
      <c r="V121" s="10"/>
      <c r="W121" s="10"/>
      <c r="X121" s="10"/>
      <c r="Y121" s="10"/>
      <c r="Z121" s="10"/>
    </row>
    <row r="122" ht="15.75" customHeight="1">
      <c r="A122" s="6" t="s">
        <v>608</v>
      </c>
      <c r="B122" s="7" t="s">
        <v>2238</v>
      </c>
      <c r="C122" s="7"/>
      <c r="D122" s="7"/>
      <c r="E122" s="7">
        <v>-1.0</v>
      </c>
      <c r="F122" s="12" t="s">
        <v>2239</v>
      </c>
      <c r="G122" s="7" t="s">
        <v>593</v>
      </c>
      <c r="H122" s="8" t="s">
        <v>558</v>
      </c>
      <c r="I122" s="13" t="s">
        <v>2240</v>
      </c>
      <c r="J122" s="8" t="str">
        <f t="shared" si="12"/>
        <v>DATEETİŞLERİ.png</v>
      </c>
      <c r="K122" s="7" t="s">
        <v>2241</v>
      </c>
      <c r="L122" s="8" t="s">
        <v>561</v>
      </c>
      <c r="M122" s="19" t="s">
        <v>2242</v>
      </c>
      <c r="N122" s="20" t="s">
        <v>1997</v>
      </c>
      <c r="O122" s="10"/>
      <c r="P122" s="10"/>
      <c r="Q122" s="10"/>
      <c r="R122" s="10"/>
      <c r="S122" s="10"/>
      <c r="T122" s="10"/>
      <c r="U122" s="10"/>
      <c r="V122" s="10"/>
      <c r="W122" s="10"/>
      <c r="X122" s="10"/>
      <c r="Y122" s="10"/>
      <c r="Z122" s="10"/>
    </row>
    <row r="123" ht="15.75" customHeight="1">
      <c r="A123" s="6" t="s">
        <v>608</v>
      </c>
      <c r="B123" s="18" t="s">
        <v>609</v>
      </c>
      <c r="C123" s="7"/>
      <c r="D123" s="7"/>
      <c r="E123" s="7">
        <v>-1.0</v>
      </c>
      <c r="F123" s="18" t="s">
        <v>15</v>
      </c>
      <c r="G123" s="7" t="s">
        <v>593</v>
      </c>
      <c r="H123" s="8" t="s">
        <v>558</v>
      </c>
      <c r="I123" s="41" t="s">
        <v>610</v>
      </c>
      <c r="J123" s="8" t="str">
        <f t="shared" si="12"/>
        <v>DATEDOYUYO.png</v>
      </c>
      <c r="K123" s="18" t="s">
        <v>611</v>
      </c>
      <c r="L123" s="8" t="s">
        <v>561</v>
      </c>
      <c r="M123" s="19" t="s">
        <v>2242</v>
      </c>
      <c r="N123" s="20" t="s">
        <v>2043</v>
      </c>
      <c r="O123" s="10"/>
      <c r="P123" s="10"/>
      <c r="Q123" s="10"/>
      <c r="R123" s="10"/>
      <c r="S123" s="10"/>
      <c r="T123" s="10"/>
      <c r="U123" s="10"/>
      <c r="V123" s="10"/>
      <c r="W123" s="10"/>
      <c r="X123" s="10"/>
      <c r="Y123" s="10"/>
      <c r="Z123" s="10"/>
    </row>
    <row r="124" ht="15.75" customHeight="1">
      <c r="A124" s="6" t="s">
        <v>391</v>
      </c>
      <c r="B124" s="7" t="s">
        <v>392</v>
      </c>
      <c r="C124" s="7"/>
      <c r="D124" s="7"/>
      <c r="E124" s="7">
        <v>-2.0</v>
      </c>
      <c r="F124" s="12" t="s">
        <v>393</v>
      </c>
      <c r="G124" s="18" t="s">
        <v>394</v>
      </c>
      <c r="H124" s="42" t="s">
        <v>395</v>
      </c>
      <c r="I124" s="9"/>
      <c r="J124" s="13" t="str">
        <f t="shared" si="12"/>
        <v>DATEHELLOSWEETIE.png</v>
      </c>
      <c r="K124" s="7" t="s">
        <v>396</v>
      </c>
      <c r="L124" s="42" t="s">
        <v>397</v>
      </c>
      <c r="M124" s="19" t="s">
        <v>2243</v>
      </c>
      <c r="N124" s="20" t="s">
        <v>2115</v>
      </c>
      <c r="O124" s="10"/>
      <c r="P124" s="10"/>
      <c r="Q124" s="10"/>
      <c r="R124" s="10"/>
      <c r="S124" s="10"/>
      <c r="T124" s="10"/>
      <c r="U124" s="10"/>
      <c r="V124" s="10"/>
      <c r="W124" s="10"/>
      <c r="X124" s="10"/>
      <c r="Y124" s="10"/>
      <c r="Z124" s="10"/>
    </row>
    <row r="125" ht="15.75" customHeight="1">
      <c r="A125" s="113" t="s">
        <v>843</v>
      </c>
      <c r="B125" s="114" t="s">
        <v>846</v>
      </c>
      <c r="C125" s="115"/>
      <c r="D125" s="116"/>
      <c r="E125" s="116">
        <v>-1.0</v>
      </c>
      <c r="F125" s="116" t="s">
        <v>15</v>
      </c>
      <c r="G125" s="114" t="s">
        <v>847</v>
      </c>
      <c r="H125" s="117" t="s">
        <v>184</v>
      </c>
      <c r="I125" s="117"/>
      <c r="J125" s="117"/>
      <c r="K125" s="114" t="s">
        <v>848</v>
      </c>
      <c r="L125" s="117" t="s">
        <v>187</v>
      </c>
      <c r="M125" s="118" t="s">
        <v>2244</v>
      </c>
      <c r="N125" s="112" t="s">
        <v>2043</v>
      </c>
      <c r="O125" s="119"/>
      <c r="P125" s="119"/>
      <c r="Q125" s="119"/>
      <c r="R125" s="119"/>
      <c r="S125" s="119"/>
      <c r="T125" s="119"/>
      <c r="U125" s="119"/>
      <c r="V125" s="119"/>
      <c r="W125" s="119"/>
      <c r="X125" s="119"/>
      <c r="Y125" s="119"/>
      <c r="Z125" s="119"/>
    </row>
    <row r="126" ht="15.75" customHeight="1">
      <c r="A126" s="120" t="s">
        <v>843</v>
      </c>
      <c r="B126" s="114" t="s">
        <v>852</v>
      </c>
      <c r="C126" s="115"/>
      <c r="D126" s="116"/>
      <c r="E126" s="114">
        <v>-1.0</v>
      </c>
      <c r="F126" s="114" t="s">
        <v>15</v>
      </c>
      <c r="G126" s="116"/>
      <c r="H126" s="117" t="s">
        <v>184</v>
      </c>
      <c r="I126" s="117"/>
      <c r="J126" s="117"/>
      <c r="K126" s="114" t="s">
        <v>855</v>
      </c>
      <c r="L126" s="117" t="s">
        <v>187</v>
      </c>
      <c r="M126" s="118" t="s">
        <v>2244</v>
      </c>
      <c r="N126" s="112" t="s">
        <v>2043</v>
      </c>
      <c r="O126" s="119"/>
      <c r="P126" s="119"/>
      <c r="Q126" s="119"/>
      <c r="R126" s="119"/>
      <c r="S126" s="119"/>
      <c r="T126" s="119"/>
      <c r="U126" s="119"/>
      <c r="V126" s="119"/>
      <c r="W126" s="119"/>
      <c r="X126" s="119"/>
      <c r="Y126" s="119"/>
      <c r="Z126" s="119"/>
    </row>
    <row r="127" ht="15.75" customHeight="1">
      <c r="A127" s="120" t="s">
        <v>843</v>
      </c>
      <c r="B127" s="114" t="s">
        <v>849</v>
      </c>
      <c r="C127" s="115"/>
      <c r="D127" s="116"/>
      <c r="E127" s="114">
        <v>-1.0</v>
      </c>
      <c r="F127" s="114" t="s">
        <v>15</v>
      </c>
      <c r="G127" s="116"/>
      <c r="H127" s="117" t="s">
        <v>184</v>
      </c>
      <c r="I127" s="117"/>
      <c r="J127" s="117"/>
      <c r="K127" s="114" t="s">
        <v>851</v>
      </c>
      <c r="L127" s="117" t="s">
        <v>187</v>
      </c>
      <c r="M127" s="118" t="s">
        <v>2244</v>
      </c>
      <c r="N127" s="112" t="s">
        <v>2043</v>
      </c>
      <c r="O127" s="119"/>
      <c r="P127" s="119"/>
      <c r="Q127" s="119"/>
      <c r="R127" s="119"/>
      <c r="S127" s="119"/>
      <c r="T127" s="119"/>
      <c r="U127" s="119"/>
      <c r="V127" s="119"/>
      <c r="W127" s="119"/>
      <c r="X127" s="119"/>
      <c r="Y127" s="119"/>
      <c r="Z127" s="119"/>
    </row>
    <row r="128" ht="15.75" customHeight="1">
      <c r="A128" s="120" t="s">
        <v>843</v>
      </c>
      <c r="B128" s="114" t="s">
        <v>858</v>
      </c>
      <c r="C128" s="115"/>
      <c r="D128" s="116"/>
      <c r="E128" s="114">
        <v>-1.0</v>
      </c>
      <c r="F128" s="114" t="s">
        <v>15</v>
      </c>
      <c r="G128" s="116"/>
      <c r="H128" s="117" t="s">
        <v>184</v>
      </c>
      <c r="I128" s="117"/>
      <c r="J128" s="117"/>
      <c r="K128" s="114" t="s">
        <v>860</v>
      </c>
      <c r="L128" s="117" t="s">
        <v>187</v>
      </c>
      <c r="M128" s="118" t="s">
        <v>2244</v>
      </c>
      <c r="N128" s="112" t="s">
        <v>2043</v>
      </c>
      <c r="O128" s="119"/>
      <c r="P128" s="119"/>
      <c r="Q128" s="119"/>
      <c r="R128" s="119"/>
      <c r="S128" s="119"/>
      <c r="T128" s="119"/>
      <c r="U128" s="119"/>
      <c r="V128" s="119"/>
      <c r="W128" s="119"/>
      <c r="X128" s="119"/>
      <c r="Y128" s="119"/>
      <c r="Z128" s="119"/>
    </row>
    <row r="129" ht="15.75" customHeight="1">
      <c r="A129" s="6" t="s">
        <v>272</v>
      </c>
      <c r="B129" s="7" t="s">
        <v>273</v>
      </c>
      <c r="C129" s="7"/>
      <c r="D129" s="7"/>
      <c r="E129" s="7">
        <v>-2.0</v>
      </c>
      <c r="F129" s="12" t="s">
        <v>274</v>
      </c>
      <c r="G129" s="7" t="s">
        <v>275</v>
      </c>
      <c r="H129" s="8" t="s">
        <v>160</v>
      </c>
      <c r="I129" s="8" t="s">
        <v>276</v>
      </c>
      <c r="J129" s="13" t="str">
        <f t="shared" ref="J129:J131" si="13">CONCATENATE($M$1,$K129)</f>
        <v>DATEPERSPECTIVE.png</v>
      </c>
      <c r="K129" s="7" t="s">
        <v>277</v>
      </c>
      <c r="L129" s="8" t="s">
        <v>163</v>
      </c>
      <c r="M129" s="19" t="s">
        <v>2245</v>
      </c>
      <c r="N129" s="20" t="s">
        <v>2115</v>
      </c>
      <c r="O129" s="10"/>
      <c r="P129" s="10"/>
      <c r="Q129" s="10"/>
      <c r="R129" s="10"/>
      <c r="S129" s="10"/>
      <c r="T129" s="10"/>
      <c r="U129" s="10"/>
      <c r="V129" s="10"/>
      <c r="W129" s="10"/>
      <c r="X129" s="10"/>
      <c r="Y129" s="10"/>
      <c r="Z129" s="10"/>
    </row>
    <row r="130" ht="15.75" customHeight="1">
      <c r="A130" s="63" t="s">
        <v>391</v>
      </c>
      <c r="B130" s="31" t="s">
        <v>392</v>
      </c>
      <c r="C130" s="28"/>
      <c r="D130" s="28"/>
      <c r="E130" s="64">
        <v>-2.0</v>
      </c>
      <c r="F130" s="30" t="s">
        <v>393</v>
      </c>
      <c r="G130" s="31" t="s">
        <v>394</v>
      </c>
      <c r="H130" s="121" t="s">
        <v>395</v>
      </c>
      <c r="I130" s="99"/>
      <c r="J130" s="37" t="str">
        <f t="shared" si="13"/>
        <v>DATEHELLOSWEETIE.png</v>
      </c>
      <c r="K130" s="62" t="s">
        <v>396</v>
      </c>
      <c r="L130" s="121" t="s">
        <v>397</v>
      </c>
      <c r="M130" s="39" t="s">
        <v>2246</v>
      </c>
      <c r="N130" s="20" t="s">
        <v>2180</v>
      </c>
      <c r="O130" s="28"/>
      <c r="P130" s="28"/>
      <c r="Q130" s="28"/>
      <c r="R130" s="28"/>
      <c r="S130" s="28"/>
      <c r="T130" s="28"/>
      <c r="U130" s="28"/>
      <c r="V130" s="28"/>
      <c r="W130" s="28"/>
      <c r="X130" s="28"/>
      <c r="Y130" s="28"/>
      <c r="Z130" s="28"/>
    </row>
    <row r="131" ht="15.75" customHeight="1">
      <c r="A131" s="6" t="s">
        <v>373</v>
      </c>
      <c r="B131" s="18" t="s">
        <v>374</v>
      </c>
      <c r="C131" s="7"/>
      <c r="D131" s="7"/>
      <c r="E131" s="7">
        <v>-2.0</v>
      </c>
      <c r="F131" s="12" t="s">
        <v>375</v>
      </c>
      <c r="G131" s="7" t="s">
        <v>376</v>
      </c>
      <c r="H131" s="8" t="s">
        <v>168</v>
      </c>
      <c r="I131" s="41" t="s">
        <v>377</v>
      </c>
      <c r="J131" s="13" t="str">
        <f t="shared" si="13"/>
        <v>DATEMINYCENTERCARTER'S.png</v>
      </c>
      <c r="K131" s="7" t="s">
        <v>378</v>
      </c>
      <c r="L131" s="8" t="s">
        <v>171</v>
      </c>
      <c r="M131" s="19" t="s">
        <v>2247</v>
      </c>
      <c r="N131" s="20" t="s">
        <v>2180</v>
      </c>
      <c r="O131" s="10"/>
      <c r="P131" s="10"/>
      <c r="Q131" s="10"/>
      <c r="R131" s="10"/>
      <c r="S131" s="10"/>
      <c r="T131" s="10"/>
      <c r="U131" s="10"/>
      <c r="V131" s="10"/>
      <c r="W131" s="10"/>
      <c r="X131" s="10"/>
      <c r="Y131" s="10"/>
      <c r="Z131" s="10"/>
    </row>
    <row r="132" ht="15.75" customHeight="1">
      <c r="A132" s="113" t="s">
        <v>2248</v>
      </c>
      <c r="B132" s="116" t="s">
        <v>2249</v>
      </c>
      <c r="C132" s="116"/>
      <c r="D132" s="116"/>
      <c r="E132" s="116">
        <v>-1.0</v>
      </c>
      <c r="F132" s="122" t="s">
        <v>2250</v>
      </c>
      <c r="G132" s="116" t="s">
        <v>2251</v>
      </c>
      <c r="H132" s="117" t="s">
        <v>558</v>
      </c>
      <c r="I132" s="117" t="s">
        <v>2252</v>
      </c>
      <c r="J132" s="123" t="str">
        <f>CONCATENATE(Doors!$M$1,$K132)</f>
        <v>https://inmapper.com/zorlucenter/img/logo/KFC.png</v>
      </c>
      <c r="K132" s="116" t="s">
        <v>2253</v>
      </c>
      <c r="L132" s="117" t="s">
        <v>561</v>
      </c>
      <c r="M132" s="124"/>
      <c r="N132" s="112" t="s">
        <v>1997</v>
      </c>
      <c r="O132" s="119"/>
      <c r="P132" s="119"/>
      <c r="Q132" s="119"/>
      <c r="R132" s="119"/>
      <c r="S132" s="119"/>
      <c r="T132" s="119"/>
      <c r="U132" s="119"/>
      <c r="V132" s="119"/>
      <c r="W132" s="119"/>
      <c r="X132" s="119"/>
      <c r="Y132" s="119"/>
      <c r="Z132" s="119"/>
    </row>
    <row r="133" ht="15.75" customHeight="1">
      <c r="A133" s="6" t="s">
        <v>554</v>
      </c>
      <c r="B133" s="7" t="s">
        <v>555</v>
      </c>
      <c r="C133" s="18"/>
      <c r="D133" s="7"/>
      <c r="E133" s="7">
        <v>-1.0</v>
      </c>
      <c r="F133" s="12" t="s">
        <v>556</v>
      </c>
      <c r="G133" s="7" t="s">
        <v>557</v>
      </c>
      <c r="H133" s="8" t="s">
        <v>558</v>
      </c>
      <c r="I133" s="8" t="s">
        <v>559</v>
      </c>
      <c r="J133" s="8" t="str">
        <f t="shared" ref="J133:J138" si="14">CONCATENATE($M$1,$K133)</f>
        <v>DATEGÜNAYDINKÖFTEDÖNER.png</v>
      </c>
      <c r="K133" s="7" t="s">
        <v>560</v>
      </c>
      <c r="L133" s="8" t="s">
        <v>561</v>
      </c>
      <c r="M133" s="19" t="s">
        <v>2254</v>
      </c>
      <c r="N133" s="20" t="s">
        <v>2180</v>
      </c>
      <c r="O133" s="10"/>
      <c r="P133" s="10"/>
      <c r="Q133" s="10"/>
      <c r="R133" s="10"/>
      <c r="S133" s="10"/>
      <c r="T133" s="10"/>
      <c r="U133" s="10"/>
      <c r="V133" s="10"/>
      <c r="W133" s="10"/>
      <c r="X133" s="10"/>
      <c r="Y133" s="10"/>
      <c r="Z133" s="10"/>
    </row>
    <row r="134" ht="15.75" customHeight="1">
      <c r="A134" s="26" t="s">
        <v>1778</v>
      </c>
      <c r="B134" s="27" t="s">
        <v>119</v>
      </c>
      <c r="C134" s="28"/>
      <c r="D134" s="28"/>
      <c r="E134" s="29">
        <v>1.0</v>
      </c>
      <c r="F134" s="35" t="s">
        <v>120</v>
      </c>
      <c r="G134" s="31" t="s">
        <v>121</v>
      </c>
      <c r="H134" s="32" t="s">
        <v>122</v>
      </c>
      <c r="I134" s="36" t="s">
        <v>123</v>
      </c>
      <c r="J134" s="37" t="str">
        <f t="shared" si="14"/>
        <v>DATEPENELOPE.png</v>
      </c>
      <c r="K134" s="31" t="s">
        <v>124</v>
      </c>
      <c r="L134" s="32" t="s">
        <v>125</v>
      </c>
      <c r="M134" s="38"/>
      <c r="N134" s="67" t="s">
        <v>2255</v>
      </c>
      <c r="O134" s="28"/>
      <c r="P134" s="28"/>
      <c r="Q134" s="28"/>
      <c r="R134" s="28"/>
      <c r="S134" s="28"/>
      <c r="T134" s="28"/>
      <c r="U134" s="28"/>
      <c r="V134" s="28"/>
      <c r="W134" s="28"/>
      <c r="X134" s="28"/>
      <c r="Y134" s="28"/>
      <c r="Z134" s="28"/>
    </row>
    <row r="135" ht="15.75" customHeight="1">
      <c r="A135" s="26" t="s">
        <v>118</v>
      </c>
      <c r="B135" s="27" t="s">
        <v>119</v>
      </c>
      <c r="C135" s="28"/>
      <c r="D135" s="28"/>
      <c r="E135" s="29">
        <v>-3.0</v>
      </c>
      <c r="F135" s="35" t="s">
        <v>120</v>
      </c>
      <c r="G135" s="31" t="s">
        <v>121</v>
      </c>
      <c r="H135" s="32" t="s">
        <v>122</v>
      </c>
      <c r="I135" s="36" t="s">
        <v>123</v>
      </c>
      <c r="J135" s="37" t="str">
        <f t="shared" si="14"/>
        <v>DATEPENELOPE.png</v>
      </c>
      <c r="K135" s="31" t="s">
        <v>124</v>
      </c>
      <c r="L135" s="32" t="s">
        <v>125</v>
      </c>
      <c r="M135" s="67" t="s">
        <v>2256</v>
      </c>
      <c r="N135" s="67" t="s">
        <v>2257</v>
      </c>
      <c r="O135" s="28"/>
      <c r="P135" s="28"/>
      <c r="Q135" s="28"/>
      <c r="R135" s="28"/>
      <c r="S135" s="28"/>
      <c r="T135" s="28"/>
      <c r="U135" s="28"/>
      <c r="V135" s="28"/>
      <c r="W135" s="28"/>
      <c r="X135" s="28"/>
      <c r="Y135" s="28"/>
      <c r="Z135" s="28"/>
    </row>
    <row r="136" ht="15.75" customHeight="1">
      <c r="A136" s="63" t="s">
        <v>272</v>
      </c>
      <c r="B136" s="27" t="s">
        <v>273</v>
      </c>
      <c r="C136" s="28"/>
      <c r="D136" s="28"/>
      <c r="E136" s="106">
        <v>-2.0</v>
      </c>
      <c r="F136" s="35" t="s">
        <v>274</v>
      </c>
      <c r="G136" s="31" t="s">
        <v>275</v>
      </c>
      <c r="H136" s="32" t="s">
        <v>160</v>
      </c>
      <c r="I136" s="32" t="s">
        <v>276</v>
      </c>
      <c r="J136" s="37" t="str">
        <f t="shared" si="14"/>
        <v>DATEPERSPECTIVE.png</v>
      </c>
      <c r="K136" s="31" t="s">
        <v>277</v>
      </c>
      <c r="L136" s="32" t="s">
        <v>163</v>
      </c>
      <c r="M136" s="39" t="s">
        <v>2258</v>
      </c>
      <c r="N136" s="67" t="s">
        <v>2180</v>
      </c>
      <c r="O136" s="28"/>
      <c r="P136" s="28"/>
      <c r="Q136" s="28"/>
      <c r="R136" s="28"/>
      <c r="S136" s="28"/>
      <c r="T136" s="28"/>
      <c r="U136" s="28"/>
      <c r="V136" s="28"/>
      <c r="W136" s="28"/>
      <c r="X136" s="28"/>
      <c r="Y136" s="28"/>
      <c r="Z136" s="28"/>
    </row>
    <row r="137" ht="15.75" customHeight="1">
      <c r="A137" s="6" t="s">
        <v>997</v>
      </c>
      <c r="B137" s="18" t="s">
        <v>2040</v>
      </c>
      <c r="C137" s="7"/>
      <c r="D137" s="7"/>
      <c r="E137" s="7"/>
      <c r="F137" s="17" t="s">
        <v>2036</v>
      </c>
      <c r="G137" s="18" t="s">
        <v>1005</v>
      </c>
      <c r="H137" s="8" t="s">
        <v>160</v>
      </c>
      <c r="I137" s="40" t="s">
        <v>2041</v>
      </c>
      <c r="J137" s="13" t="str">
        <f t="shared" si="14"/>
        <v>DATEFABIANAFILIPPI.png</v>
      </c>
      <c r="K137" s="19" t="s">
        <v>2042</v>
      </c>
      <c r="L137" s="8" t="s">
        <v>163</v>
      </c>
      <c r="M137" s="19" t="s">
        <v>2259</v>
      </c>
      <c r="N137" s="20" t="s">
        <v>1997</v>
      </c>
      <c r="O137" s="10"/>
      <c r="P137" s="10"/>
      <c r="Q137" s="10"/>
      <c r="R137" s="10"/>
      <c r="S137" s="10"/>
      <c r="T137" s="10"/>
      <c r="U137" s="10"/>
      <c r="V137" s="10"/>
      <c r="W137" s="10"/>
      <c r="X137" s="10"/>
      <c r="Y137" s="10"/>
      <c r="Z137" s="10"/>
    </row>
    <row r="138" ht="15.75" customHeight="1">
      <c r="A138" s="6" t="s">
        <v>997</v>
      </c>
      <c r="B138" s="18" t="s">
        <v>998</v>
      </c>
      <c r="C138" s="7"/>
      <c r="D138" s="7"/>
      <c r="E138" s="7">
        <v>0.0</v>
      </c>
      <c r="F138" s="18" t="s">
        <v>15</v>
      </c>
      <c r="G138" s="18" t="s">
        <v>1005</v>
      </c>
      <c r="H138" s="8" t="s">
        <v>160</v>
      </c>
      <c r="I138" s="40" t="s">
        <v>1000</v>
      </c>
      <c r="J138" s="13" t="str">
        <f t="shared" si="14"/>
        <v>DATEELIESAAB.png</v>
      </c>
      <c r="K138" s="19" t="s">
        <v>1001</v>
      </c>
      <c r="L138" s="8" t="s">
        <v>163</v>
      </c>
      <c r="M138" s="19" t="s">
        <v>2259</v>
      </c>
      <c r="N138" s="20" t="s">
        <v>2068</v>
      </c>
      <c r="O138" s="10"/>
      <c r="P138" s="10"/>
      <c r="Q138" s="10"/>
      <c r="R138" s="10"/>
      <c r="S138" s="10"/>
      <c r="T138" s="10"/>
      <c r="U138" s="10"/>
      <c r="V138" s="10"/>
      <c r="W138" s="10"/>
      <c r="X138" s="10"/>
      <c r="Y138" s="10"/>
      <c r="Z138" s="10"/>
    </row>
    <row r="139" ht="15.75" customHeight="1">
      <c r="A139" s="6" t="s">
        <v>693</v>
      </c>
      <c r="B139" s="7" t="s">
        <v>2260</v>
      </c>
      <c r="C139" s="7"/>
      <c r="D139" s="7"/>
      <c r="E139" s="7">
        <v>-1.0</v>
      </c>
      <c r="F139" s="12" t="s">
        <v>2261</v>
      </c>
      <c r="G139" s="7" t="s">
        <v>690</v>
      </c>
      <c r="H139" s="8" t="s">
        <v>160</v>
      </c>
      <c r="I139" s="8" t="s">
        <v>2262</v>
      </c>
      <c r="J139" s="13" t="str">
        <f>CONCATENATE(Doors!$M$1,$K139)</f>
        <v>https://inmapper.com/zorlucenter/img/logo/NU.png</v>
      </c>
      <c r="K139" s="7" t="s">
        <v>2263</v>
      </c>
      <c r="L139" s="8" t="s">
        <v>163</v>
      </c>
      <c r="M139" s="19" t="s">
        <v>2264</v>
      </c>
      <c r="N139" s="20" t="s">
        <v>1997</v>
      </c>
      <c r="O139" s="10"/>
      <c r="P139" s="10"/>
      <c r="Q139" s="10"/>
      <c r="R139" s="10"/>
      <c r="S139" s="10"/>
      <c r="T139" s="10"/>
      <c r="U139" s="10"/>
      <c r="V139" s="10"/>
      <c r="W139" s="10"/>
      <c r="X139" s="10"/>
      <c r="Y139" s="10"/>
      <c r="Z139" s="10"/>
    </row>
    <row r="140" ht="15.75" customHeight="1">
      <c r="A140" s="6" t="s">
        <v>2265</v>
      </c>
      <c r="B140" s="7" t="s">
        <v>2266</v>
      </c>
      <c r="C140" s="7"/>
      <c r="D140" s="7"/>
      <c r="E140" s="7">
        <v>1.0</v>
      </c>
      <c r="F140" s="17" t="s">
        <v>2267</v>
      </c>
      <c r="G140" s="7" t="s">
        <v>1593</v>
      </c>
      <c r="H140" s="7" t="s">
        <v>184</v>
      </c>
      <c r="I140" s="9"/>
      <c r="J140" s="13" t="str">
        <f>CONCATENATE(Doors!$M$1,$K140)</f>
        <v>https://inmapper.com/zorlucenter/img/logo/KAFEVESTO.png</v>
      </c>
      <c r="K140" s="7" t="s">
        <v>2268</v>
      </c>
      <c r="L140" s="7" t="s">
        <v>187</v>
      </c>
      <c r="M140" s="19" t="s">
        <v>2269</v>
      </c>
      <c r="N140" s="20" t="s">
        <v>1997</v>
      </c>
      <c r="O140" s="10"/>
      <c r="P140" s="10"/>
      <c r="Q140" s="10"/>
      <c r="R140" s="10"/>
      <c r="S140" s="10"/>
      <c r="T140" s="10"/>
      <c r="U140" s="10"/>
      <c r="V140" s="10"/>
      <c r="W140" s="10"/>
      <c r="X140" s="10"/>
      <c r="Y140" s="10"/>
      <c r="Z140" s="10"/>
    </row>
    <row r="141" ht="15.75" customHeight="1">
      <c r="A141" s="6" t="s">
        <v>71</v>
      </c>
      <c r="B141" s="18" t="s">
        <v>82</v>
      </c>
      <c r="C141" s="7"/>
      <c r="D141" s="7"/>
      <c r="E141" s="7">
        <v>-3.0</v>
      </c>
      <c r="F141" s="17" t="s">
        <v>83</v>
      </c>
      <c r="G141" s="18" t="s">
        <v>84</v>
      </c>
      <c r="H141" s="8" t="s">
        <v>21</v>
      </c>
      <c r="I141" s="8"/>
      <c r="J141" s="13" t="str">
        <f>CONCATENATE($M$1,$K141)</f>
        <v>DATEUSTASAAT.png</v>
      </c>
      <c r="K141" s="18" t="s">
        <v>85</v>
      </c>
      <c r="L141" s="8" t="s">
        <v>24</v>
      </c>
      <c r="M141" s="19" t="s">
        <v>2270</v>
      </c>
      <c r="N141" s="20" t="s">
        <v>1997</v>
      </c>
      <c r="O141" s="10"/>
      <c r="P141" s="10"/>
      <c r="Q141" s="10"/>
      <c r="R141" s="10"/>
      <c r="S141" s="10"/>
      <c r="T141" s="10"/>
      <c r="U141" s="10"/>
      <c r="V141" s="10"/>
      <c r="W141" s="10"/>
      <c r="X141" s="10"/>
      <c r="Y141" s="10"/>
      <c r="Z141" s="10"/>
    </row>
    <row r="142" ht="15.75" customHeight="1">
      <c r="A142" s="63" t="s">
        <v>81</v>
      </c>
      <c r="B142" s="27" t="s">
        <v>2271</v>
      </c>
      <c r="C142" s="28"/>
      <c r="D142" s="28"/>
      <c r="E142" s="64">
        <v>-3.0</v>
      </c>
      <c r="F142" s="27" t="s">
        <v>15</v>
      </c>
      <c r="G142" s="27" t="s">
        <v>2272</v>
      </c>
      <c r="H142" s="32" t="s">
        <v>129</v>
      </c>
      <c r="I142" s="99"/>
      <c r="J142" s="99"/>
      <c r="K142" s="104"/>
      <c r="L142" s="32" t="s">
        <v>459</v>
      </c>
      <c r="M142" s="104"/>
      <c r="N142" s="67" t="s">
        <v>1997</v>
      </c>
      <c r="O142" s="28"/>
      <c r="P142" s="28"/>
      <c r="Q142" s="28"/>
      <c r="R142" s="28"/>
      <c r="S142" s="28"/>
      <c r="T142" s="28"/>
      <c r="U142" s="28"/>
      <c r="V142" s="28"/>
      <c r="W142" s="28"/>
      <c r="X142" s="28"/>
      <c r="Y142" s="28"/>
      <c r="Z142" s="28"/>
    </row>
    <row r="143" ht="15.75" customHeight="1">
      <c r="A143" s="21" t="s">
        <v>81</v>
      </c>
      <c r="B143" s="18" t="s">
        <v>82</v>
      </c>
      <c r="C143" s="7"/>
      <c r="D143" s="7"/>
      <c r="E143" s="7">
        <v>-3.0</v>
      </c>
      <c r="F143" s="17" t="s">
        <v>83</v>
      </c>
      <c r="G143" s="18" t="s">
        <v>84</v>
      </c>
      <c r="H143" s="8" t="s">
        <v>21</v>
      </c>
      <c r="I143" s="8"/>
      <c r="J143" s="13" t="str">
        <f>CONCATENATE($M$1,$K143)</f>
        <v>DATEUSTASAAT.png</v>
      </c>
      <c r="K143" s="18" t="s">
        <v>85</v>
      </c>
      <c r="L143" s="8" t="s">
        <v>24</v>
      </c>
      <c r="M143" s="19" t="s">
        <v>2270</v>
      </c>
      <c r="N143" s="20" t="s">
        <v>2257</v>
      </c>
      <c r="O143" s="10"/>
      <c r="P143" s="10"/>
      <c r="Q143" s="10"/>
      <c r="R143" s="10"/>
      <c r="S143" s="10"/>
      <c r="T143" s="10"/>
      <c r="U143" s="10"/>
      <c r="V143" s="10"/>
      <c r="W143" s="10"/>
      <c r="X143" s="10"/>
      <c r="Y143" s="10"/>
      <c r="Z143" s="10"/>
    </row>
    <row r="144" ht="15.75" customHeight="1">
      <c r="A144" s="6" t="s">
        <v>1590</v>
      </c>
      <c r="B144" s="18" t="s">
        <v>1591</v>
      </c>
      <c r="C144" s="7"/>
      <c r="D144" s="7"/>
      <c r="E144" s="7">
        <v>1.0</v>
      </c>
      <c r="F144" s="18" t="s">
        <v>15</v>
      </c>
      <c r="G144" s="18" t="s">
        <v>2273</v>
      </c>
      <c r="H144" s="43" t="s">
        <v>184</v>
      </c>
      <c r="I144" s="40" t="s">
        <v>2274</v>
      </c>
      <c r="J144" s="13" t="str">
        <f>CONCATENATE(Doors!$M$1,$K144)</f>
        <v>https://inmapper.com/zorlucenter/img/logo/KRONOTROP.png</v>
      </c>
      <c r="K144" s="18" t="s">
        <v>1595</v>
      </c>
      <c r="L144" s="43" t="s">
        <v>187</v>
      </c>
      <c r="M144" s="19" t="s">
        <v>2275</v>
      </c>
      <c r="N144" s="20" t="s">
        <v>2068</v>
      </c>
      <c r="O144" s="10"/>
      <c r="P144" s="10"/>
      <c r="Q144" s="10"/>
      <c r="R144" s="10"/>
      <c r="S144" s="10"/>
      <c r="T144" s="10"/>
      <c r="U144" s="10"/>
      <c r="V144" s="10"/>
      <c r="W144" s="10"/>
      <c r="X144" s="10"/>
      <c r="Y144" s="10"/>
      <c r="Z144" s="10"/>
    </row>
    <row r="145" ht="15.75" customHeight="1">
      <c r="A145" s="6" t="s">
        <v>1590</v>
      </c>
      <c r="B145" s="18" t="s">
        <v>1591</v>
      </c>
      <c r="C145" s="7"/>
      <c r="D145" s="7"/>
      <c r="E145" s="7">
        <v>1.0</v>
      </c>
      <c r="F145" s="17" t="s">
        <v>1592</v>
      </c>
      <c r="G145" s="18" t="s">
        <v>2273</v>
      </c>
      <c r="H145" s="43" t="s">
        <v>184</v>
      </c>
      <c r="I145" s="40" t="s">
        <v>1594</v>
      </c>
      <c r="J145" s="13" t="str">
        <f>CONCATENATE(Doors!$M$1,$K145)</f>
        <v>https://inmapper.com/zorlucenter/img/logo/KRONOTROP.png</v>
      </c>
      <c r="K145" s="18" t="s">
        <v>1595</v>
      </c>
      <c r="L145" s="43" t="s">
        <v>187</v>
      </c>
      <c r="M145" s="19" t="s">
        <v>2276</v>
      </c>
      <c r="N145" s="20" t="s">
        <v>2043</v>
      </c>
      <c r="O145" s="10"/>
      <c r="P145" s="10"/>
      <c r="Q145" s="10"/>
      <c r="R145" s="10"/>
      <c r="S145" s="10"/>
      <c r="T145" s="10"/>
      <c r="U145" s="10"/>
      <c r="V145" s="10"/>
      <c r="W145" s="10"/>
      <c r="X145" s="10"/>
      <c r="Y145" s="10"/>
      <c r="Z145" s="10"/>
    </row>
    <row r="146" ht="15.75" customHeight="1">
      <c r="A146" s="6" t="s">
        <v>1738</v>
      </c>
      <c r="B146" s="7" t="s">
        <v>2277</v>
      </c>
      <c r="C146" s="7"/>
      <c r="D146" s="7"/>
      <c r="E146" s="7">
        <v>1.0</v>
      </c>
      <c r="F146" s="12" t="s">
        <v>2278</v>
      </c>
      <c r="G146" s="7" t="s">
        <v>2279</v>
      </c>
      <c r="H146" s="43" t="s">
        <v>1121</v>
      </c>
      <c r="I146" s="8" t="s">
        <v>2280</v>
      </c>
      <c r="J146" s="13" t="str">
        <f>CONCATENATE(Doors!$M$1,$K146)</f>
        <v>https://inmapper.com/zorlucenter/img/logo/MEMORIALWELLNESS.png</v>
      </c>
      <c r="K146" s="7" t="s">
        <v>2281</v>
      </c>
      <c r="L146" s="8" t="s">
        <v>70</v>
      </c>
      <c r="M146" s="19" t="s">
        <v>2276</v>
      </c>
      <c r="N146" s="20" t="s">
        <v>1997</v>
      </c>
      <c r="O146" s="10"/>
      <c r="P146" s="10"/>
      <c r="Q146" s="10"/>
      <c r="R146" s="10"/>
      <c r="S146" s="10"/>
      <c r="T146" s="10"/>
      <c r="U146" s="10"/>
      <c r="V146" s="10"/>
      <c r="W146" s="10"/>
      <c r="X146" s="10"/>
      <c r="Y146" s="10"/>
      <c r="Z146" s="10"/>
    </row>
    <row r="147" ht="15.75" customHeight="1">
      <c r="A147" s="21" t="s">
        <v>412</v>
      </c>
      <c r="B147" s="18" t="s">
        <v>413</v>
      </c>
      <c r="C147" s="18"/>
      <c r="D147" s="7"/>
      <c r="E147" s="18">
        <v>-2.0</v>
      </c>
      <c r="F147" s="17" t="s">
        <v>2073</v>
      </c>
      <c r="G147" s="7"/>
      <c r="H147" s="8" t="s">
        <v>176</v>
      </c>
      <c r="I147" s="41" t="s">
        <v>415</v>
      </c>
      <c r="J147" s="13" t="str">
        <f t="shared" ref="J147:J149" si="15">CONCATENATE($M$1,$K147)</f>
        <v>DATETUMI.png</v>
      </c>
      <c r="K147" s="18" t="s">
        <v>416</v>
      </c>
      <c r="L147" s="8" t="s">
        <v>179</v>
      </c>
      <c r="M147" s="19" t="s">
        <v>2276</v>
      </c>
      <c r="N147" s="67" t="s">
        <v>2176</v>
      </c>
      <c r="O147" s="109" t="s">
        <v>414</v>
      </c>
      <c r="P147" s="10"/>
      <c r="Q147" s="10"/>
      <c r="R147" s="10"/>
      <c r="S147" s="10"/>
      <c r="T147" s="10"/>
      <c r="U147" s="10"/>
      <c r="V147" s="10"/>
      <c r="W147" s="10"/>
      <c r="X147" s="10"/>
      <c r="Y147" s="10"/>
      <c r="Z147" s="10"/>
    </row>
    <row r="148" ht="15.75" customHeight="1">
      <c r="A148" s="6" t="s">
        <v>834</v>
      </c>
      <c r="B148" s="18" t="s">
        <v>2230</v>
      </c>
      <c r="C148" s="7"/>
      <c r="D148" s="7"/>
      <c r="E148" s="7">
        <v>-1.0</v>
      </c>
      <c r="F148" s="18" t="s">
        <v>15</v>
      </c>
      <c r="G148" s="7"/>
      <c r="H148" s="43" t="s">
        <v>168</v>
      </c>
      <c r="I148" s="40" t="s">
        <v>2231</v>
      </c>
      <c r="J148" s="13" t="str">
        <f t="shared" si="15"/>
        <v>DATELEGO.png</v>
      </c>
      <c r="K148" s="19" t="s">
        <v>2232</v>
      </c>
      <c r="L148" s="8" t="s">
        <v>171</v>
      </c>
      <c r="M148" s="19" t="s">
        <v>2282</v>
      </c>
      <c r="N148" s="20" t="s">
        <v>1997</v>
      </c>
      <c r="O148" s="10"/>
      <c r="P148" s="10"/>
      <c r="Q148" s="10"/>
      <c r="R148" s="10"/>
      <c r="S148" s="10"/>
      <c r="T148" s="10"/>
      <c r="U148" s="10"/>
      <c r="V148" s="10"/>
      <c r="W148" s="10"/>
      <c r="X148" s="10"/>
      <c r="Y148" s="10"/>
      <c r="Z148" s="10"/>
    </row>
    <row r="149" ht="15.75" customHeight="1">
      <c r="A149" s="6" t="s">
        <v>997</v>
      </c>
      <c r="B149" s="18" t="s">
        <v>998</v>
      </c>
      <c r="C149" s="7"/>
      <c r="D149" s="7"/>
      <c r="E149" s="7">
        <v>0.0</v>
      </c>
      <c r="F149" s="18" t="s">
        <v>15</v>
      </c>
      <c r="G149" s="18" t="s">
        <v>1005</v>
      </c>
      <c r="H149" s="8" t="s">
        <v>160</v>
      </c>
      <c r="I149" s="40" t="s">
        <v>1000</v>
      </c>
      <c r="J149" s="13" t="str">
        <f t="shared" si="15"/>
        <v>DATEELIESAAB.png</v>
      </c>
      <c r="K149" s="19" t="s">
        <v>1001</v>
      </c>
      <c r="L149" s="8" t="s">
        <v>163</v>
      </c>
      <c r="M149" s="19" t="s">
        <v>2283</v>
      </c>
      <c r="N149" s="20" t="s">
        <v>2043</v>
      </c>
      <c r="O149" s="10"/>
      <c r="P149" s="10"/>
      <c r="Q149" s="10"/>
      <c r="R149" s="10"/>
      <c r="S149" s="10"/>
      <c r="T149" s="10"/>
      <c r="U149" s="10"/>
      <c r="V149" s="10"/>
      <c r="W149" s="10"/>
      <c r="X149" s="10"/>
      <c r="Y149" s="10"/>
      <c r="Z149" s="10"/>
    </row>
    <row r="150" ht="15.75" customHeight="1">
      <c r="A150" s="6" t="s">
        <v>602</v>
      </c>
      <c r="B150" s="7" t="s">
        <v>2284</v>
      </c>
      <c r="C150" s="7"/>
      <c r="D150" s="7"/>
      <c r="E150" s="7">
        <v>-1.0</v>
      </c>
      <c r="F150" s="12" t="s">
        <v>2285</v>
      </c>
      <c r="G150" s="7" t="s">
        <v>2286</v>
      </c>
      <c r="H150" s="8" t="s">
        <v>558</v>
      </c>
      <c r="I150" s="13" t="s">
        <v>2287</v>
      </c>
      <c r="J150" s="13" t="str">
        <f>CONCATENATE(Doors!$M$1,$K150)</f>
        <v>https://inmapper.com/zorlucenter/img/logo/ETİLERMARMARİS.png</v>
      </c>
      <c r="K150" s="7" t="s">
        <v>2288</v>
      </c>
      <c r="L150" s="8" t="s">
        <v>561</v>
      </c>
      <c r="M150" s="19" t="s">
        <v>2289</v>
      </c>
      <c r="N150" s="20" t="s">
        <v>1997</v>
      </c>
      <c r="O150" s="10"/>
      <c r="P150" s="10"/>
      <c r="Q150" s="10"/>
      <c r="R150" s="10"/>
      <c r="S150" s="10"/>
      <c r="T150" s="10"/>
      <c r="U150" s="10"/>
      <c r="V150" s="10"/>
      <c r="W150" s="10"/>
      <c r="X150" s="10"/>
      <c r="Y150" s="10"/>
      <c r="Z150" s="10"/>
    </row>
    <row r="151" ht="15.75" customHeight="1">
      <c r="A151" s="6" t="s">
        <v>538</v>
      </c>
      <c r="B151" s="7" t="s">
        <v>2290</v>
      </c>
      <c r="C151" s="7"/>
      <c r="D151" s="7"/>
      <c r="E151" s="7">
        <v>-1.0</v>
      </c>
      <c r="F151" s="12" t="s">
        <v>2291</v>
      </c>
      <c r="G151" s="7" t="s">
        <v>2292</v>
      </c>
      <c r="H151" s="8" t="s">
        <v>160</v>
      </c>
      <c r="I151" s="8" t="s">
        <v>2293</v>
      </c>
      <c r="J151" s="13" t="str">
        <f>CONCATENATE(Doors!$M$1,$K151)</f>
        <v>https://inmapper.com/zorlucenter/img/logo/THEKOOPLES.png</v>
      </c>
      <c r="K151" s="9" t="s">
        <v>2294</v>
      </c>
      <c r="L151" s="8" t="s">
        <v>163</v>
      </c>
      <c r="M151" s="19" t="s">
        <v>2295</v>
      </c>
      <c r="N151" s="20" t="s">
        <v>1997</v>
      </c>
      <c r="O151" s="10"/>
      <c r="P151" s="10"/>
      <c r="Q151" s="10"/>
      <c r="R151" s="10"/>
      <c r="S151" s="10"/>
      <c r="T151" s="10"/>
      <c r="U151" s="10"/>
      <c r="V151" s="10"/>
      <c r="W151" s="10"/>
      <c r="X151" s="10"/>
      <c r="Y151" s="10"/>
      <c r="Z151" s="10"/>
    </row>
    <row r="152" ht="15.75" customHeight="1">
      <c r="A152" s="21" t="s">
        <v>538</v>
      </c>
      <c r="B152" s="18" t="s">
        <v>539</v>
      </c>
      <c r="C152" s="7"/>
      <c r="D152" s="7"/>
      <c r="E152" s="18">
        <v>-1.0</v>
      </c>
      <c r="F152" s="18" t="s">
        <v>15</v>
      </c>
      <c r="G152" s="7"/>
      <c r="H152" s="43" t="s">
        <v>160</v>
      </c>
      <c r="I152" s="40" t="s">
        <v>2296</v>
      </c>
      <c r="J152" s="13"/>
      <c r="K152" s="19" t="s">
        <v>541</v>
      </c>
      <c r="L152" s="43" t="s">
        <v>163</v>
      </c>
      <c r="M152" s="19" t="s">
        <v>2295</v>
      </c>
      <c r="N152" s="20" t="s">
        <v>2068</v>
      </c>
      <c r="O152" s="10"/>
      <c r="P152" s="10"/>
      <c r="Q152" s="10"/>
      <c r="R152" s="10"/>
      <c r="S152" s="10"/>
      <c r="T152" s="10"/>
      <c r="U152" s="10"/>
      <c r="V152" s="10"/>
      <c r="W152" s="10"/>
      <c r="X152" s="10"/>
      <c r="Y152" s="10"/>
      <c r="Z152" s="10"/>
    </row>
    <row r="153" ht="15.75" customHeight="1">
      <c r="A153" s="6" t="s">
        <v>188</v>
      </c>
      <c r="B153" s="7" t="s">
        <v>2297</v>
      </c>
      <c r="C153" s="7"/>
      <c r="D153" s="7"/>
      <c r="E153" s="7">
        <v>-2.0</v>
      </c>
      <c r="F153" s="12" t="s">
        <v>2298</v>
      </c>
      <c r="G153" s="7" t="s">
        <v>2299</v>
      </c>
      <c r="H153" s="8" t="s">
        <v>168</v>
      </c>
      <c r="I153" s="8" t="s">
        <v>1103</v>
      </c>
      <c r="J153" s="13" t="str">
        <f>CONCATENATE(Doors!$M$1,$K153)</f>
        <v>https://inmapper.com/zorlucenter/img/logo/BURBERRYCHILDREN.png</v>
      </c>
      <c r="K153" s="7" t="s">
        <v>2300</v>
      </c>
      <c r="L153" s="8" t="s">
        <v>171</v>
      </c>
      <c r="M153" s="19" t="s">
        <v>2295</v>
      </c>
      <c r="N153" s="20" t="s">
        <v>1997</v>
      </c>
      <c r="O153" s="10"/>
      <c r="P153" s="10"/>
      <c r="Q153" s="10"/>
      <c r="R153" s="10"/>
      <c r="S153" s="10"/>
      <c r="T153" s="10"/>
      <c r="U153" s="10"/>
      <c r="V153" s="10"/>
      <c r="W153" s="10"/>
      <c r="X153" s="10"/>
      <c r="Y153" s="10"/>
      <c r="Z153" s="10"/>
    </row>
    <row r="154" ht="15.75" customHeight="1">
      <c r="A154" s="21" t="s">
        <v>188</v>
      </c>
      <c r="B154" s="18" t="s">
        <v>189</v>
      </c>
      <c r="C154" s="7"/>
      <c r="D154" s="7"/>
      <c r="E154" s="18">
        <v>-2.0</v>
      </c>
      <c r="F154" s="18" t="s">
        <v>15</v>
      </c>
      <c r="G154" s="7"/>
      <c r="H154" s="8" t="s">
        <v>176</v>
      </c>
      <c r="I154" s="8"/>
      <c r="J154" s="13"/>
      <c r="K154" s="7"/>
      <c r="L154" s="8" t="s">
        <v>179</v>
      </c>
      <c r="M154" s="19" t="s">
        <v>2295</v>
      </c>
      <c r="N154" s="20" t="s">
        <v>2068</v>
      </c>
      <c r="O154" s="10"/>
      <c r="P154" s="10"/>
      <c r="Q154" s="10"/>
      <c r="R154" s="10"/>
      <c r="S154" s="10"/>
      <c r="T154" s="10"/>
      <c r="U154" s="10"/>
      <c r="V154" s="10"/>
      <c r="W154" s="10"/>
      <c r="X154" s="10"/>
      <c r="Y154" s="10"/>
      <c r="Z154" s="10"/>
    </row>
    <row r="155" ht="15.75" customHeight="1">
      <c r="A155" s="6" t="s">
        <v>76</v>
      </c>
      <c r="B155" s="7" t="s">
        <v>2301</v>
      </c>
      <c r="C155" s="7"/>
      <c r="D155" s="7"/>
      <c r="E155" s="7">
        <v>-3.0</v>
      </c>
      <c r="F155" s="12" t="s">
        <v>78</v>
      </c>
      <c r="G155" s="7" t="s">
        <v>79</v>
      </c>
      <c r="H155" s="8" t="s">
        <v>41</v>
      </c>
      <c r="I155" s="8" t="s">
        <v>2302</v>
      </c>
      <c r="J155" s="13" t="str">
        <f t="shared" ref="J155:J158" si="16">CONCATENATE($M$1,$K155)</f>
        <v>DATEBALONEVİ.png</v>
      </c>
      <c r="K155" s="7" t="s">
        <v>2303</v>
      </c>
      <c r="L155" s="8" t="s">
        <v>44</v>
      </c>
      <c r="M155" s="19" t="s">
        <v>2304</v>
      </c>
      <c r="N155" s="20" t="s">
        <v>2229</v>
      </c>
      <c r="O155" s="20" t="s">
        <v>77</v>
      </c>
      <c r="P155" s="10"/>
      <c r="Q155" s="10"/>
      <c r="R155" s="10"/>
      <c r="S155" s="10"/>
      <c r="T155" s="10"/>
      <c r="U155" s="10"/>
      <c r="V155" s="10"/>
      <c r="W155" s="10"/>
      <c r="X155" s="10"/>
      <c r="Y155" s="10"/>
      <c r="Z155" s="10"/>
    </row>
    <row r="156" ht="15.75" customHeight="1">
      <c r="A156" s="63" t="s">
        <v>1651</v>
      </c>
      <c r="B156" s="27" t="s">
        <v>2305</v>
      </c>
      <c r="C156" s="28"/>
      <c r="D156" s="28"/>
      <c r="E156" s="64">
        <v>1.0</v>
      </c>
      <c r="F156" s="35" t="s">
        <v>2306</v>
      </c>
      <c r="G156" s="31" t="s">
        <v>2307</v>
      </c>
      <c r="H156" s="32" t="s">
        <v>2308</v>
      </c>
      <c r="I156" s="99"/>
      <c r="J156" s="37" t="str">
        <f t="shared" si="16"/>
        <v>DATECOLLECTIONPOINT.png</v>
      </c>
      <c r="K156" s="31" t="s">
        <v>2309</v>
      </c>
      <c r="L156" s="32" t="s">
        <v>2310</v>
      </c>
      <c r="M156" s="125" t="s">
        <v>2311</v>
      </c>
      <c r="N156" s="67" t="s">
        <v>1997</v>
      </c>
      <c r="O156" s="28"/>
      <c r="P156" s="28"/>
      <c r="Q156" s="28"/>
      <c r="R156" s="28"/>
      <c r="S156" s="28"/>
      <c r="T156" s="28"/>
      <c r="U156" s="28"/>
      <c r="V156" s="28"/>
      <c r="W156" s="28"/>
      <c r="X156" s="28"/>
      <c r="Y156" s="28"/>
      <c r="Z156" s="28"/>
    </row>
    <row r="157" ht="15.75" customHeight="1">
      <c r="A157" s="6" t="s">
        <v>1393</v>
      </c>
      <c r="B157" s="18" t="s">
        <v>2312</v>
      </c>
      <c r="C157" s="18" t="s">
        <v>2313</v>
      </c>
      <c r="D157" s="7"/>
      <c r="E157" s="7">
        <v>0.0</v>
      </c>
      <c r="F157" s="7" t="s">
        <v>15</v>
      </c>
      <c r="G157" s="18" t="s">
        <v>2089</v>
      </c>
      <c r="H157" s="8" t="s">
        <v>184</v>
      </c>
      <c r="I157" s="40" t="s">
        <v>2090</v>
      </c>
      <c r="J157" s="13" t="str">
        <f t="shared" si="16"/>
        <v>DATEPOPPIN.png</v>
      </c>
      <c r="K157" s="19" t="s">
        <v>2091</v>
      </c>
      <c r="L157" s="8" t="s">
        <v>187</v>
      </c>
      <c r="M157" s="118" t="s">
        <v>2314</v>
      </c>
      <c r="N157" s="20" t="s">
        <v>1997</v>
      </c>
      <c r="O157" s="20"/>
      <c r="P157" s="10"/>
      <c r="Q157" s="10"/>
      <c r="R157" s="10"/>
      <c r="S157" s="10"/>
      <c r="T157" s="10"/>
      <c r="U157" s="10"/>
      <c r="V157" s="10"/>
      <c r="W157" s="10"/>
      <c r="X157" s="10"/>
      <c r="Y157" s="10"/>
      <c r="Z157" s="10"/>
    </row>
    <row r="158" ht="15.75" customHeight="1">
      <c r="A158" s="6" t="s">
        <v>1393</v>
      </c>
      <c r="B158" s="18" t="s">
        <v>1394</v>
      </c>
      <c r="C158" s="18"/>
      <c r="D158" s="7"/>
      <c r="E158" s="7">
        <v>0.0</v>
      </c>
      <c r="F158" s="17" t="s">
        <v>1395</v>
      </c>
      <c r="G158" s="18" t="s">
        <v>1396</v>
      </c>
      <c r="H158" s="8" t="s">
        <v>184</v>
      </c>
      <c r="I158" s="40" t="s">
        <v>1397</v>
      </c>
      <c r="J158" s="13" t="str">
        <f t="shared" si="16"/>
        <v>DATELILLO.png</v>
      </c>
      <c r="K158" s="19" t="s">
        <v>1398</v>
      </c>
      <c r="L158" s="8" t="s">
        <v>187</v>
      </c>
      <c r="M158" s="118" t="s">
        <v>2314</v>
      </c>
      <c r="N158" s="20" t="s">
        <v>2043</v>
      </c>
      <c r="O158" s="20"/>
      <c r="P158" s="10"/>
      <c r="Q158" s="10"/>
      <c r="R158" s="10"/>
      <c r="S158" s="10"/>
      <c r="T158" s="10"/>
      <c r="U158" s="10"/>
      <c r="V158" s="10"/>
      <c r="W158" s="10"/>
      <c r="X158" s="10"/>
      <c r="Y158" s="10"/>
      <c r="Z158" s="10"/>
    </row>
    <row r="159" ht="15.75" customHeight="1">
      <c r="A159" s="21" t="s">
        <v>602</v>
      </c>
      <c r="B159" s="18" t="s">
        <v>603</v>
      </c>
      <c r="C159" s="18" t="s">
        <v>604</v>
      </c>
      <c r="D159" s="7"/>
      <c r="E159" s="18">
        <v>-1.0</v>
      </c>
      <c r="F159" s="17" t="s">
        <v>605</v>
      </c>
      <c r="G159" s="7"/>
      <c r="H159" s="8" t="s">
        <v>558</v>
      </c>
      <c r="I159" s="41" t="s">
        <v>606</v>
      </c>
      <c r="J159" s="13"/>
      <c r="K159" s="19" t="s">
        <v>607</v>
      </c>
      <c r="L159" s="8" t="s">
        <v>561</v>
      </c>
      <c r="M159" s="19" t="s">
        <v>2315</v>
      </c>
      <c r="N159" s="20" t="s">
        <v>2043</v>
      </c>
      <c r="O159" s="10"/>
      <c r="P159" s="10"/>
      <c r="Q159" s="10"/>
      <c r="R159" s="10"/>
      <c r="S159" s="10"/>
      <c r="T159" s="10"/>
      <c r="U159" s="10"/>
      <c r="V159" s="10"/>
      <c r="W159" s="10"/>
      <c r="X159" s="10"/>
      <c r="Y159" s="10"/>
      <c r="Z159" s="10"/>
    </row>
    <row r="160" ht="15.75" customHeight="1">
      <c r="A160" s="21" t="s">
        <v>693</v>
      </c>
      <c r="B160" s="18" t="s">
        <v>694</v>
      </c>
      <c r="C160" s="7"/>
      <c r="D160" s="7"/>
      <c r="E160" s="18">
        <v>-1.0</v>
      </c>
      <c r="F160" s="17" t="s">
        <v>695</v>
      </c>
      <c r="G160" s="7"/>
      <c r="H160" s="43" t="s">
        <v>160</v>
      </c>
      <c r="I160" s="41" t="s">
        <v>696</v>
      </c>
      <c r="J160" s="13"/>
      <c r="K160" s="19" t="s">
        <v>697</v>
      </c>
      <c r="L160" s="8" t="s">
        <v>163</v>
      </c>
      <c r="M160" s="19" t="s">
        <v>2316</v>
      </c>
      <c r="N160" s="20" t="s">
        <v>2043</v>
      </c>
      <c r="O160" s="10"/>
      <c r="P160" s="10"/>
      <c r="Q160" s="10"/>
      <c r="R160" s="10"/>
      <c r="S160" s="10"/>
      <c r="T160" s="10"/>
      <c r="U160" s="10"/>
      <c r="V160" s="10"/>
      <c r="W160" s="10"/>
      <c r="X160" s="10"/>
      <c r="Y160" s="10"/>
      <c r="Z160" s="10"/>
    </row>
    <row r="161" ht="15.75" customHeight="1">
      <c r="A161" s="6" t="s">
        <v>538</v>
      </c>
      <c r="B161" s="54" t="s">
        <v>539</v>
      </c>
      <c r="C161" s="7"/>
      <c r="D161" s="7"/>
      <c r="E161" s="54">
        <v>-1.0</v>
      </c>
      <c r="F161" s="54" t="s">
        <v>15</v>
      </c>
      <c r="G161" s="7"/>
      <c r="H161" s="8" t="s">
        <v>160</v>
      </c>
      <c r="I161" s="8" t="s">
        <v>2296</v>
      </c>
      <c r="J161" s="13"/>
      <c r="K161" s="126" t="s">
        <v>541</v>
      </c>
      <c r="L161" s="8" t="s">
        <v>163</v>
      </c>
      <c r="M161" s="19" t="s">
        <v>2316</v>
      </c>
      <c r="N161" s="20" t="s">
        <v>2043</v>
      </c>
      <c r="O161" s="10"/>
      <c r="P161" s="10"/>
      <c r="Q161" s="10"/>
      <c r="R161" s="10"/>
      <c r="S161" s="10"/>
      <c r="T161" s="10"/>
      <c r="U161" s="10"/>
      <c r="V161" s="10"/>
      <c r="W161" s="10"/>
      <c r="X161" s="10"/>
      <c r="Y161" s="10"/>
      <c r="Z161" s="10"/>
    </row>
    <row r="162" ht="15.75" customHeight="1">
      <c r="A162" s="21" t="s">
        <v>2317</v>
      </c>
      <c r="B162" s="18" t="s">
        <v>835</v>
      </c>
      <c r="C162" s="7"/>
      <c r="D162" s="7"/>
      <c r="E162" s="7">
        <v>-2.0</v>
      </c>
      <c r="F162" s="12" t="s">
        <v>73</v>
      </c>
      <c r="G162" s="7" t="s">
        <v>836</v>
      </c>
      <c r="H162" s="8" t="s">
        <v>90</v>
      </c>
      <c r="I162" s="8"/>
      <c r="J162" s="13" t="str">
        <f t="shared" ref="J162:J164" si="17">CONCATENATE($M$1,$K162)</f>
        <v>DATEVENNUS.png</v>
      </c>
      <c r="K162" s="9" t="s">
        <v>75</v>
      </c>
      <c r="L162" s="8" t="s">
        <v>92</v>
      </c>
      <c r="M162" s="19" t="s">
        <v>2318</v>
      </c>
      <c r="N162" s="20" t="s">
        <v>2255</v>
      </c>
      <c r="O162" s="10"/>
      <c r="P162" s="10"/>
      <c r="Q162" s="10"/>
      <c r="R162" s="10"/>
      <c r="S162" s="10"/>
      <c r="T162" s="10"/>
      <c r="U162" s="10"/>
      <c r="V162" s="10"/>
      <c r="W162" s="10"/>
      <c r="X162" s="10"/>
      <c r="Y162" s="10"/>
      <c r="Z162" s="10"/>
    </row>
    <row r="163" ht="15.75" customHeight="1">
      <c r="A163" s="6" t="s">
        <v>834</v>
      </c>
      <c r="B163" s="18" t="s">
        <v>835</v>
      </c>
      <c r="C163" s="7"/>
      <c r="D163" s="7"/>
      <c r="E163" s="7">
        <v>-2.0</v>
      </c>
      <c r="F163" s="12" t="s">
        <v>73</v>
      </c>
      <c r="G163" s="7" t="s">
        <v>836</v>
      </c>
      <c r="H163" s="8" t="s">
        <v>90</v>
      </c>
      <c r="I163" s="8"/>
      <c r="J163" s="13" t="str">
        <f t="shared" si="17"/>
        <v>DATEVENNUS.png</v>
      </c>
      <c r="K163" s="9" t="s">
        <v>75</v>
      </c>
      <c r="L163" s="8" t="s">
        <v>92</v>
      </c>
      <c r="M163" s="19" t="s">
        <v>2318</v>
      </c>
      <c r="N163" s="20" t="s">
        <v>2257</v>
      </c>
      <c r="O163" s="10"/>
      <c r="P163" s="10"/>
      <c r="Q163" s="10"/>
      <c r="R163" s="10"/>
      <c r="S163" s="10"/>
      <c r="T163" s="10"/>
      <c r="U163" s="10"/>
      <c r="V163" s="10"/>
      <c r="W163" s="10"/>
      <c r="X163" s="10"/>
      <c r="Y163" s="10"/>
      <c r="Z163" s="10"/>
    </row>
    <row r="164" ht="15.75" customHeight="1">
      <c r="A164" s="6" t="s">
        <v>71</v>
      </c>
      <c r="B164" s="18" t="s">
        <v>72</v>
      </c>
      <c r="C164" s="18"/>
      <c r="D164" s="7"/>
      <c r="E164" s="18">
        <v>-3.0</v>
      </c>
      <c r="F164" s="12" t="s">
        <v>73</v>
      </c>
      <c r="G164" s="18" t="s">
        <v>74</v>
      </c>
      <c r="H164" s="8" t="s">
        <v>21</v>
      </c>
      <c r="I164" s="8"/>
      <c r="J164" s="13" t="str">
        <f t="shared" si="17"/>
        <v>DATEVENNUS.png</v>
      </c>
      <c r="K164" s="9" t="s">
        <v>75</v>
      </c>
      <c r="L164" s="8" t="s">
        <v>24</v>
      </c>
      <c r="M164" s="19" t="s">
        <v>2318</v>
      </c>
      <c r="N164" s="20" t="s">
        <v>2043</v>
      </c>
      <c r="O164" s="10"/>
      <c r="P164" s="10"/>
      <c r="Q164" s="10"/>
      <c r="R164" s="10"/>
      <c r="S164" s="10"/>
      <c r="T164" s="10"/>
      <c r="U164" s="10"/>
      <c r="V164" s="10"/>
      <c r="W164" s="10"/>
      <c r="X164" s="10"/>
      <c r="Y164" s="10"/>
      <c r="Z164" s="10"/>
    </row>
    <row r="165" ht="15.75" customHeight="1">
      <c r="A165" s="6" t="s">
        <v>452</v>
      </c>
      <c r="B165" s="18" t="s">
        <v>453</v>
      </c>
      <c r="C165" s="7"/>
      <c r="D165" s="6"/>
      <c r="E165" s="18">
        <v>-2.0</v>
      </c>
      <c r="F165" s="18" t="s">
        <v>15</v>
      </c>
      <c r="G165" s="7"/>
      <c r="H165" s="43" t="s">
        <v>160</v>
      </c>
      <c r="I165" s="23" t="s">
        <v>454</v>
      </c>
      <c r="J165" s="13"/>
      <c r="K165" s="18" t="s">
        <v>455</v>
      </c>
      <c r="L165" s="43" t="s">
        <v>163</v>
      </c>
      <c r="M165" s="19" t="s">
        <v>2319</v>
      </c>
      <c r="N165" s="20" t="s">
        <v>2043</v>
      </c>
      <c r="O165" s="10"/>
      <c r="P165" s="10"/>
      <c r="Q165" s="10"/>
      <c r="R165" s="10"/>
      <c r="S165" s="10"/>
      <c r="T165" s="10"/>
      <c r="U165" s="10"/>
      <c r="V165" s="10"/>
      <c r="W165" s="10"/>
      <c r="X165" s="10"/>
      <c r="Y165" s="10"/>
      <c r="Z165" s="10"/>
    </row>
    <row r="166" ht="15.75" customHeight="1">
      <c r="A166" s="63" t="s">
        <v>1651</v>
      </c>
      <c r="B166" s="39" t="s">
        <v>1652</v>
      </c>
      <c r="C166" s="28"/>
      <c r="D166" s="28"/>
      <c r="E166" s="64">
        <v>1.0</v>
      </c>
      <c r="F166" s="39" t="s">
        <v>15</v>
      </c>
      <c r="G166" s="39" t="s">
        <v>1653</v>
      </c>
      <c r="H166" s="65" t="s">
        <v>160</v>
      </c>
      <c r="I166" s="66" t="s">
        <v>1654</v>
      </c>
      <c r="J166" s="37" t="str">
        <f t="shared" ref="J166:J169" si="18">CONCATENATE($M$1,$K166)</f>
        <v>DATETAJI.png</v>
      </c>
      <c r="K166" s="39" t="s">
        <v>1655</v>
      </c>
      <c r="L166" s="65" t="s">
        <v>163</v>
      </c>
      <c r="M166" s="65" t="s">
        <v>2320</v>
      </c>
      <c r="N166" s="67" t="s">
        <v>2043</v>
      </c>
      <c r="O166" s="28"/>
      <c r="P166" s="28"/>
      <c r="Q166" s="28"/>
      <c r="R166" s="28"/>
      <c r="S166" s="28"/>
      <c r="T166" s="28"/>
      <c r="U166" s="28"/>
      <c r="V166" s="28"/>
      <c r="W166" s="28"/>
      <c r="X166" s="28"/>
      <c r="Y166" s="28"/>
      <c r="Z166" s="28"/>
    </row>
    <row r="167" ht="15.75" customHeight="1">
      <c r="A167" s="6" t="s">
        <v>1762</v>
      </c>
      <c r="B167" s="7" t="s">
        <v>2321</v>
      </c>
      <c r="C167" s="7"/>
      <c r="D167" s="7"/>
      <c r="E167" s="7">
        <v>0.0</v>
      </c>
      <c r="F167" s="17" t="s">
        <v>2322</v>
      </c>
      <c r="G167" s="7"/>
      <c r="H167" s="7" t="s">
        <v>184</v>
      </c>
      <c r="I167" s="7"/>
      <c r="J167" s="13" t="str">
        <f t="shared" si="18"/>
        <v>DATETOMMIBRASSERIE.png</v>
      </c>
      <c r="K167" s="7" t="s">
        <v>2323</v>
      </c>
      <c r="L167" s="7" t="s">
        <v>187</v>
      </c>
      <c r="M167" s="19" t="s">
        <v>2324</v>
      </c>
      <c r="N167" s="20" t="s">
        <v>1997</v>
      </c>
      <c r="O167" s="10"/>
      <c r="P167" s="10"/>
      <c r="Q167" s="10"/>
      <c r="R167" s="10"/>
      <c r="S167" s="10"/>
      <c r="T167" s="10"/>
      <c r="U167" s="10"/>
      <c r="V167" s="10"/>
      <c r="W167" s="10"/>
      <c r="X167" s="10"/>
      <c r="Y167" s="10"/>
      <c r="Z167" s="10"/>
    </row>
    <row r="168" ht="15.75" customHeight="1">
      <c r="A168" s="6" t="s">
        <v>331</v>
      </c>
      <c r="B168" s="24" t="s">
        <v>2325</v>
      </c>
      <c r="C168" s="7"/>
      <c r="D168" s="7"/>
      <c r="E168" s="7">
        <v>-2.0</v>
      </c>
      <c r="F168" s="12" t="s">
        <v>2326</v>
      </c>
      <c r="G168" s="7" t="s">
        <v>334</v>
      </c>
      <c r="H168" s="8" t="s">
        <v>176</v>
      </c>
      <c r="I168" s="8" t="s">
        <v>2327</v>
      </c>
      <c r="J168" s="13" t="str">
        <f t="shared" si="18"/>
        <v>DATESUPERSTEP.png</v>
      </c>
      <c r="K168" s="7" t="s">
        <v>2328</v>
      </c>
      <c r="L168" s="8" t="s">
        <v>179</v>
      </c>
      <c r="M168" s="19" t="s">
        <v>2329</v>
      </c>
      <c r="N168" s="20" t="s">
        <v>1997</v>
      </c>
      <c r="O168" s="10"/>
      <c r="P168" s="10"/>
      <c r="Q168" s="10"/>
      <c r="R168" s="16"/>
      <c r="S168" s="10"/>
      <c r="T168" s="10"/>
      <c r="U168" s="10"/>
      <c r="V168" s="10"/>
      <c r="W168" s="10"/>
      <c r="X168" s="10"/>
      <c r="Y168" s="10"/>
      <c r="Z168" s="10"/>
    </row>
    <row r="169" ht="15.75" customHeight="1">
      <c r="A169" s="6" t="s">
        <v>331</v>
      </c>
      <c r="B169" s="19" t="s">
        <v>332</v>
      </c>
      <c r="C169" s="7"/>
      <c r="D169" s="7"/>
      <c r="E169" s="7">
        <v>-2.0</v>
      </c>
      <c r="F169" s="17" t="s">
        <v>333</v>
      </c>
      <c r="G169" s="7" t="s">
        <v>334</v>
      </c>
      <c r="H169" s="8" t="s">
        <v>176</v>
      </c>
      <c r="I169" s="8"/>
      <c r="J169" s="13" t="str">
        <f t="shared" si="18"/>
        <v>DATEHEARTBEAT.png</v>
      </c>
      <c r="K169" s="18" t="s">
        <v>335</v>
      </c>
      <c r="L169" s="8" t="s">
        <v>179</v>
      </c>
      <c r="M169" s="19" t="s">
        <v>2329</v>
      </c>
      <c r="N169" s="108" t="s">
        <v>2068</v>
      </c>
      <c r="O169" s="10"/>
      <c r="P169" s="10"/>
      <c r="Q169" s="10"/>
      <c r="R169" s="16"/>
      <c r="S169" s="10"/>
      <c r="T169" s="10"/>
      <c r="U169" s="10"/>
      <c r="V169" s="10"/>
      <c r="W169" s="10"/>
      <c r="X169" s="10"/>
      <c r="Y169" s="10"/>
      <c r="Z169" s="10"/>
    </row>
    <row r="170" ht="15.75" customHeight="1">
      <c r="A170" s="21" t="s">
        <v>188</v>
      </c>
      <c r="B170" s="18" t="s">
        <v>189</v>
      </c>
      <c r="C170" s="7"/>
      <c r="D170" s="7"/>
      <c r="E170" s="18">
        <v>-2.0</v>
      </c>
      <c r="F170" s="18" t="s">
        <v>15</v>
      </c>
      <c r="G170" s="7"/>
      <c r="H170" s="8" t="s">
        <v>176</v>
      </c>
      <c r="I170" s="41" t="s">
        <v>190</v>
      </c>
      <c r="J170" s="13"/>
      <c r="K170" s="18" t="s">
        <v>191</v>
      </c>
      <c r="L170" s="8" t="s">
        <v>179</v>
      </c>
      <c r="M170" s="19" t="s">
        <v>2330</v>
      </c>
      <c r="N170" s="20" t="s">
        <v>2043</v>
      </c>
      <c r="O170" s="10"/>
      <c r="P170" s="10"/>
      <c r="Q170" s="10"/>
      <c r="R170" s="10"/>
      <c r="S170" s="10"/>
      <c r="T170" s="10"/>
      <c r="U170" s="10"/>
      <c r="V170" s="10"/>
      <c r="W170" s="10"/>
      <c r="X170" s="10"/>
      <c r="Y170" s="10"/>
      <c r="Z170" s="10"/>
    </row>
    <row r="171" ht="15.75" customHeight="1">
      <c r="A171" s="6" t="s">
        <v>76</v>
      </c>
      <c r="B171" s="18" t="s">
        <v>77</v>
      </c>
      <c r="C171" s="7"/>
      <c r="D171" s="7"/>
      <c r="E171" s="7">
        <v>-3.0</v>
      </c>
      <c r="F171" s="12" t="s">
        <v>78</v>
      </c>
      <c r="G171" s="7" t="s">
        <v>79</v>
      </c>
      <c r="H171" s="8" t="s">
        <v>41</v>
      </c>
      <c r="I171" s="8" t="s">
        <v>2302</v>
      </c>
      <c r="J171" s="13" t="str">
        <f t="shared" ref="J171:J177" si="19">CONCATENATE($M$1,$K171)</f>
        <v>DATEBALONEVİ.png</v>
      </c>
      <c r="K171" s="7" t="s">
        <v>2303</v>
      </c>
      <c r="L171" s="8" t="s">
        <v>44</v>
      </c>
      <c r="M171" s="19" t="s">
        <v>2331</v>
      </c>
      <c r="N171" s="20" t="s">
        <v>2332</v>
      </c>
      <c r="O171" s="20" t="s">
        <v>80</v>
      </c>
      <c r="P171" s="10"/>
      <c r="Q171" s="10"/>
      <c r="R171" s="10"/>
      <c r="S171" s="10"/>
      <c r="T171" s="10"/>
      <c r="U171" s="10"/>
      <c r="V171" s="10"/>
      <c r="W171" s="10"/>
      <c r="X171" s="10"/>
      <c r="Y171" s="10"/>
      <c r="Z171" s="10"/>
    </row>
    <row r="172" ht="15.75" customHeight="1">
      <c r="A172" s="6" t="s">
        <v>76</v>
      </c>
      <c r="B172" s="18" t="s">
        <v>77</v>
      </c>
      <c r="C172" s="7"/>
      <c r="D172" s="7"/>
      <c r="E172" s="7">
        <v>-3.0</v>
      </c>
      <c r="F172" s="12" t="s">
        <v>78</v>
      </c>
      <c r="G172" s="7" t="s">
        <v>79</v>
      </c>
      <c r="H172" s="8" t="s">
        <v>41</v>
      </c>
      <c r="I172" s="8" t="s">
        <v>2302</v>
      </c>
      <c r="J172" s="13" t="str">
        <f t="shared" si="19"/>
        <v>DATEBALONIKA.png</v>
      </c>
      <c r="K172" s="18" t="s">
        <v>80</v>
      </c>
      <c r="L172" s="8" t="s">
        <v>44</v>
      </c>
      <c r="M172" s="19" t="s">
        <v>2331</v>
      </c>
      <c r="N172" s="20" t="s">
        <v>2333</v>
      </c>
      <c r="O172" s="20"/>
      <c r="P172" s="10"/>
      <c r="Q172" s="10"/>
      <c r="R172" s="10"/>
      <c r="S172" s="10"/>
      <c r="T172" s="10"/>
      <c r="U172" s="10"/>
      <c r="V172" s="10"/>
      <c r="W172" s="10"/>
      <c r="X172" s="10"/>
      <c r="Y172" s="10"/>
      <c r="Z172" s="10"/>
    </row>
    <row r="173" ht="15.75" customHeight="1">
      <c r="A173" s="6" t="s">
        <v>1385</v>
      </c>
      <c r="B173" s="7" t="s">
        <v>2334</v>
      </c>
      <c r="C173" s="7"/>
      <c r="D173" s="7"/>
      <c r="E173" s="7">
        <v>0.0</v>
      </c>
      <c r="F173" s="12" t="s">
        <v>2335</v>
      </c>
      <c r="G173" s="7" t="s">
        <v>2336</v>
      </c>
      <c r="H173" s="8" t="s">
        <v>122</v>
      </c>
      <c r="I173" s="13" t="s">
        <v>2337</v>
      </c>
      <c r="J173" s="13" t="str">
        <f t="shared" si="19"/>
        <v>DATEWMF.png</v>
      </c>
      <c r="K173" s="7" t="s">
        <v>2338</v>
      </c>
      <c r="L173" s="8" t="s">
        <v>125</v>
      </c>
      <c r="M173" s="9"/>
      <c r="N173" s="20" t="s">
        <v>1997</v>
      </c>
      <c r="O173" s="10"/>
      <c r="P173" s="10"/>
      <c r="Q173" s="10"/>
      <c r="R173" s="10"/>
      <c r="S173" s="10"/>
      <c r="T173" s="10"/>
      <c r="U173" s="10"/>
      <c r="V173" s="10"/>
      <c r="W173" s="10"/>
      <c r="X173" s="10"/>
      <c r="Y173" s="10"/>
      <c r="Z173" s="10"/>
    </row>
    <row r="174" ht="15.75" customHeight="1">
      <c r="A174" s="6" t="s">
        <v>1385</v>
      </c>
      <c r="B174" s="18" t="s">
        <v>1386</v>
      </c>
      <c r="C174" s="7"/>
      <c r="D174" s="7"/>
      <c r="E174" s="7">
        <v>0.0</v>
      </c>
      <c r="F174" s="18" t="s">
        <v>15</v>
      </c>
      <c r="G174" s="18" t="s">
        <v>2339</v>
      </c>
      <c r="H174" s="43" t="s">
        <v>1389</v>
      </c>
      <c r="I174" s="40" t="s">
        <v>1390</v>
      </c>
      <c r="J174" s="13" t="str">
        <f t="shared" si="19"/>
        <v>DATEMELEZTEA.png</v>
      </c>
      <c r="K174" s="18" t="s">
        <v>1391</v>
      </c>
      <c r="L174" s="43" t="s">
        <v>1392</v>
      </c>
      <c r="M174" s="9"/>
      <c r="N174" s="20" t="s">
        <v>2043</v>
      </c>
      <c r="O174" s="10"/>
      <c r="P174" s="10"/>
      <c r="Q174" s="10"/>
      <c r="R174" s="10"/>
      <c r="S174" s="10"/>
      <c r="T174" s="10"/>
      <c r="U174" s="10"/>
      <c r="V174" s="10"/>
      <c r="W174" s="10"/>
      <c r="X174" s="10"/>
      <c r="Y174" s="10"/>
      <c r="Z174" s="10"/>
    </row>
    <row r="175" ht="15.75" customHeight="1">
      <c r="A175" s="6" t="s">
        <v>331</v>
      </c>
      <c r="B175" s="19" t="s">
        <v>332</v>
      </c>
      <c r="C175" s="18"/>
      <c r="D175" s="7"/>
      <c r="E175" s="7">
        <v>-2.0</v>
      </c>
      <c r="F175" s="17" t="s">
        <v>333</v>
      </c>
      <c r="G175" s="7" t="s">
        <v>334</v>
      </c>
      <c r="H175" s="8" t="s">
        <v>176</v>
      </c>
      <c r="I175" s="8"/>
      <c r="J175" s="13" t="str">
        <f t="shared" si="19"/>
        <v>DATEHEARTBEAT.png</v>
      </c>
      <c r="K175" s="18" t="s">
        <v>335</v>
      </c>
      <c r="L175" s="8" t="s">
        <v>179</v>
      </c>
      <c r="M175" s="19" t="s">
        <v>2340</v>
      </c>
      <c r="N175" s="108" t="s">
        <v>2043</v>
      </c>
      <c r="O175" s="10"/>
      <c r="P175" s="10"/>
      <c r="Q175" s="10"/>
      <c r="R175" s="16"/>
      <c r="S175" s="10"/>
      <c r="T175" s="10"/>
      <c r="U175" s="10"/>
      <c r="V175" s="10"/>
      <c r="W175" s="10"/>
      <c r="X175" s="10"/>
      <c r="Y175" s="10"/>
      <c r="Z175" s="10"/>
    </row>
    <row r="176" ht="15.75" customHeight="1">
      <c r="A176" s="6" t="s">
        <v>663</v>
      </c>
      <c r="B176" s="24" t="s">
        <v>664</v>
      </c>
      <c r="C176" s="7"/>
      <c r="D176" s="7"/>
      <c r="E176" s="7">
        <v>-1.0</v>
      </c>
      <c r="F176" s="12" t="s">
        <v>2341</v>
      </c>
      <c r="G176" s="7" t="s">
        <v>666</v>
      </c>
      <c r="H176" s="8" t="s">
        <v>160</v>
      </c>
      <c r="I176" s="8" t="s">
        <v>667</v>
      </c>
      <c r="J176" s="13" t="str">
        <f t="shared" si="19"/>
        <v>DATENETWORK.png</v>
      </c>
      <c r="K176" s="7" t="s">
        <v>668</v>
      </c>
      <c r="L176" s="8" t="s">
        <v>163</v>
      </c>
      <c r="M176" s="19" t="s">
        <v>2340</v>
      </c>
      <c r="N176" s="67" t="s">
        <v>2176</v>
      </c>
      <c r="O176" s="109" t="s">
        <v>665</v>
      </c>
      <c r="P176" s="10"/>
      <c r="Q176" s="10"/>
      <c r="R176" s="10"/>
      <c r="S176" s="10"/>
      <c r="T176" s="10"/>
      <c r="U176" s="10"/>
      <c r="V176" s="10"/>
      <c r="W176" s="10"/>
      <c r="X176" s="10"/>
      <c r="Y176" s="10"/>
      <c r="Z176" s="10"/>
    </row>
    <row r="177" ht="15.75" customHeight="1">
      <c r="A177" s="6" t="s">
        <v>2342</v>
      </c>
      <c r="B177" s="7" t="s">
        <v>2343</v>
      </c>
      <c r="C177" s="7"/>
      <c r="D177" s="7"/>
      <c r="E177" s="7">
        <v>1.0</v>
      </c>
      <c r="F177" s="17" t="s">
        <v>2344</v>
      </c>
      <c r="G177" s="7" t="s">
        <v>2345</v>
      </c>
      <c r="H177" s="7" t="s">
        <v>184</v>
      </c>
      <c r="I177" s="40" t="s">
        <v>2346</v>
      </c>
      <c r="J177" s="13" t="str">
        <f t="shared" si="19"/>
        <v>DATEZANZİBAR.png</v>
      </c>
      <c r="K177" s="7" t="s">
        <v>2347</v>
      </c>
      <c r="L177" s="7" t="s">
        <v>187</v>
      </c>
      <c r="M177" s="19" t="s">
        <v>2348</v>
      </c>
      <c r="N177" s="20" t="s">
        <v>1997</v>
      </c>
      <c r="O177" s="10"/>
      <c r="P177" s="10"/>
      <c r="Q177" s="10"/>
      <c r="R177" s="10"/>
      <c r="S177" s="10"/>
      <c r="T177" s="10"/>
      <c r="U177" s="10"/>
      <c r="V177" s="10"/>
      <c r="W177" s="10"/>
      <c r="X177" s="10"/>
      <c r="Y177" s="10"/>
      <c r="Z177" s="10"/>
    </row>
    <row r="178" ht="15.75" customHeight="1">
      <c r="A178" s="21" t="s">
        <v>1437</v>
      </c>
      <c r="B178" s="18" t="s">
        <v>2349</v>
      </c>
      <c r="C178" s="7"/>
      <c r="D178" s="7"/>
      <c r="E178" s="18">
        <v>0.0</v>
      </c>
      <c r="F178" s="18" t="s">
        <v>15</v>
      </c>
      <c r="G178" s="18" t="s">
        <v>1441</v>
      </c>
      <c r="H178" s="8" t="s">
        <v>41</v>
      </c>
      <c r="I178" s="43"/>
      <c r="J178" s="8"/>
      <c r="K178" s="18"/>
      <c r="L178" s="8" t="s">
        <v>44</v>
      </c>
      <c r="M178" s="19" t="s">
        <v>2350</v>
      </c>
      <c r="N178" s="67" t="s">
        <v>2176</v>
      </c>
      <c r="O178" s="109" t="s">
        <v>1440</v>
      </c>
      <c r="P178" s="10"/>
      <c r="Q178" s="10"/>
      <c r="R178" s="10"/>
      <c r="S178" s="10"/>
      <c r="T178" s="10"/>
      <c r="U178" s="10"/>
      <c r="V178" s="10"/>
      <c r="W178" s="10"/>
      <c r="X178" s="10"/>
      <c r="Y178" s="10"/>
      <c r="Z178" s="10"/>
    </row>
    <row r="179" ht="15.75" customHeight="1">
      <c r="A179" s="21" t="s">
        <v>1437</v>
      </c>
      <c r="B179" s="18" t="s">
        <v>2349</v>
      </c>
      <c r="C179" s="7"/>
      <c r="D179" s="7"/>
      <c r="E179" s="18">
        <v>0.0</v>
      </c>
      <c r="F179" s="109" t="s">
        <v>1440</v>
      </c>
      <c r="G179" s="18" t="s">
        <v>1441</v>
      </c>
      <c r="H179" s="8" t="s">
        <v>41</v>
      </c>
      <c r="I179" s="43"/>
      <c r="J179" s="8"/>
      <c r="K179" s="18"/>
      <c r="L179" s="8" t="s">
        <v>44</v>
      </c>
      <c r="M179" s="19" t="s">
        <v>2350</v>
      </c>
      <c r="N179" s="67" t="s">
        <v>2333</v>
      </c>
      <c r="O179" s="127" t="s">
        <v>1442</v>
      </c>
      <c r="P179" s="10"/>
      <c r="Q179" s="10"/>
      <c r="R179" s="10"/>
      <c r="S179" s="10"/>
      <c r="T179" s="10"/>
      <c r="U179" s="10"/>
      <c r="V179" s="10"/>
      <c r="W179" s="10"/>
      <c r="X179" s="10"/>
      <c r="Y179" s="10"/>
      <c r="Z179" s="10"/>
    </row>
    <row r="180" ht="15.75" customHeight="1">
      <c r="A180" s="21" t="s">
        <v>1437</v>
      </c>
      <c r="B180" s="18" t="s">
        <v>2349</v>
      </c>
      <c r="C180" s="7"/>
      <c r="D180" s="7"/>
      <c r="E180" s="18">
        <v>0.0</v>
      </c>
      <c r="F180" s="109" t="s">
        <v>1440</v>
      </c>
      <c r="G180" s="18" t="s">
        <v>1441</v>
      </c>
      <c r="H180" s="8" t="s">
        <v>41</v>
      </c>
      <c r="I180" s="127" t="s">
        <v>1442</v>
      </c>
      <c r="J180" s="8"/>
      <c r="K180" s="18"/>
      <c r="L180" s="8" t="s">
        <v>44</v>
      </c>
      <c r="M180" s="19" t="s">
        <v>2350</v>
      </c>
      <c r="N180" s="67" t="s">
        <v>2332</v>
      </c>
      <c r="O180" s="128" t="s">
        <v>1443</v>
      </c>
      <c r="P180" s="10"/>
      <c r="Q180" s="10"/>
      <c r="R180" s="10"/>
      <c r="S180" s="10"/>
      <c r="T180" s="10"/>
      <c r="U180" s="10"/>
      <c r="V180" s="10"/>
      <c r="W180" s="10"/>
      <c r="X180" s="10"/>
      <c r="Y180" s="10"/>
      <c r="Z180" s="10"/>
    </row>
    <row r="181" ht="15.75" customHeight="1">
      <c r="A181" s="21" t="s">
        <v>1437</v>
      </c>
      <c r="B181" s="18" t="s">
        <v>2349</v>
      </c>
      <c r="C181" s="7"/>
      <c r="D181" s="7"/>
      <c r="E181" s="18">
        <v>0.0</v>
      </c>
      <c r="F181" s="109" t="s">
        <v>1440</v>
      </c>
      <c r="G181" s="18" t="s">
        <v>1441</v>
      </c>
      <c r="H181" s="8" t="s">
        <v>41</v>
      </c>
      <c r="I181" s="127" t="s">
        <v>1442</v>
      </c>
      <c r="J181" s="8"/>
      <c r="K181" s="18" t="s">
        <v>1443</v>
      </c>
      <c r="L181" s="8" t="s">
        <v>44</v>
      </c>
      <c r="M181" s="19" t="s">
        <v>2350</v>
      </c>
      <c r="N181" s="67" t="s">
        <v>2229</v>
      </c>
      <c r="O181" s="128" t="s">
        <v>1438</v>
      </c>
      <c r="P181" s="10"/>
      <c r="Q181" s="10"/>
      <c r="R181" s="10"/>
      <c r="S181" s="10"/>
      <c r="T181" s="10"/>
      <c r="U181" s="10"/>
      <c r="V181" s="10"/>
      <c r="W181" s="10"/>
      <c r="X181" s="10"/>
      <c r="Y181" s="10"/>
      <c r="Z181" s="10"/>
    </row>
    <row r="182" ht="15.75" customHeight="1">
      <c r="A182" s="21" t="s">
        <v>1437</v>
      </c>
      <c r="B182" s="18" t="s">
        <v>2349</v>
      </c>
      <c r="C182" s="18"/>
      <c r="D182" s="7"/>
      <c r="E182" s="18">
        <v>0.0</v>
      </c>
      <c r="F182" s="109" t="s">
        <v>1440</v>
      </c>
      <c r="G182" s="18" t="s">
        <v>1441</v>
      </c>
      <c r="H182" s="8" t="s">
        <v>41</v>
      </c>
      <c r="I182" s="127" t="s">
        <v>1442</v>
      </c>
      <c r="J182" s="8"/>
      <c r="K182" s="18" t="s">
        <v>1443</v>
      </c>
      <c r="L182" s="8" t="s">
        <v>44</v>
      </c>
      <c r="M182" s="19" t="s">
        <v>2350</v>
      </c>
      <c r="N182" s="67" t="s">
        <v>2351</v>
      </c>
      <c r="O182" s="128" t="s">
        <v>1439</v>
      </c>
      <c r="P182" s="10"/>
      <c r="Q182" s="10"/>
      <c r="R182" s="10"/>
      <c r="S182" s="10"/>
      <c r="T182" s="10"/>
      <c r="U182" s="10"/>
      <c r="V182" s="10"/>
      <c r="W182" s="10"/>
      <c r="X182" s="10"/>
      <c r="Y182" s="10"/>
      <c r="Z182" s="10"/>
    </row>
    <row r="183" ht="15.75" customHeight="1">
      <c r="A183" s="6" t="s">
        <v>2352</v>
      </c>
      <c r="B183" s="7" t="s">
        <v>865</v>
      </c>
      <c r="C183" s="7"/>
      <c r="D183" s="7"/>
      <c r="E183" s="7">
        <v>0.0</v>
      </c>
      <c r="F183" s="12" t="s">
        <v>866</v>
      </c>
      <c r="G183" s="7" t="s">
        <v>867</v>
      </c>
      <c r="H183" s="8" t="s">
        <v>122</v>
      </c>
      <c r="I183" s="13" t="s">
        <v>868</v>
      </c>
      <c r="J183" s="13" t="str">
        <f t="shared" ref="J183:J187" si="20">CONCATENATE($M$1,$K183)</f>
        <v>DATEANATOLI.png</v>
      </c>
      <c r="K183" s="7" t="s">
        <v>869</v>
      </c>
      <c r="L183" s="8" t="s">
        <v>125</v>
      </c>
      <c r="M183" s="9"/>
      <c r="N183" s="20" t="s">
        <v>2104</v>
      </c>
      <c r="O183" s="20" t="s">
        <v>864</v>
      </c>
      <c r="P183" s="10"/>
      <c r="Q183" s="10"/>
      <c r="R183" s="10"/>
      <c r="S183" s="10"/>
      <c r="T183" s="10"/>
      <c r="U183" s="10"/>
      <c r="V183" s="10"/>
      <c r="W183" s="10"/>
      <c r="X183" s="10"/>
      <c r="Y183" s="10"/>
      <c r="Z183" s="10"/>
    </row>
    <row r="184" ht="15.75" customHeight="1">
      <c r="A184" s="21" t="s">
        <v>2014</v>
      </c>
      <c r="B184" s="18" t="s">
        <v>2200</v>
      </c>
      <c r="C184" s="19"/>
      <c r="D184" s="7"/>
      <c r="E184" s="18">
        <v>-1.0</v>
      </c>
      <c r="F184" s="17" t="s">
        <v>2210</v>
      </c>
      <c r="G184" s="18" t="s">
        <v>2201</v>
      </c>
      <c r="H184" s="43" t="s">
        <v>558</v>
      </c>
      <c r="I184" s="40" t="s">
        <v>2202</v>
      </c>
      <c r="J184" s="13" t="str">
        <f t="shared" si="20"/>
        <v>DATEDONERCIKADIRUSTA.png</v>
      </c>
      <c r="K184" s="18" t="s">
        <v>2211</v>
      </c>
      <c r="L184" s="43" t="s">
        <v>561</v>
      </c>
      <c r="M184" s="48"/>
      <c r="N184" s="91" t="s">
        <v>1997</v>
      </c>
    </row>
    <row r="185" ht="15.75" customHeight="1">
      <c r="A185" s="6" t="s">
        <v>751</v>
      </c>
      <c r="B185" s="7" t="s">
        <v>752</v>
      </c>
      <c r="C185" s="7"/>
      <c r="D185" s="7"/>
      <c r="E185" s="7">
        <v>-1.0</v>
      </c>
      <c r="F185" s="12" t="s">
        <v>754</v>
      </c>
      <c r="G185" s="7" t="s">
        <v>2353</v>
      </c>
      <c r="H185" s="8" t="s">
        <v>160</v>
      </c>
      <c r="I185" s="8" t="s">
        <v>756</v>
      </c>
      <c r="J185" s="13" t="str">
        <f t="shared" si="20"/>
        <v>DATEBEYMENCLUB.png</v>
      </c>
      <c r="K185" s="7" t="s">
        <v>757</v>
      </c>
      <c r="L185" s="8" t="s">
        <v>163</v>
      </c>
      <c r="M185" s="19" t="s">
        <v>2354</v>
      </c>
      <c r="N185" s="108" t="s">
        <v>2115</v>
      </c>
      <c r="O185" s="10"/>
      <c r="P185" s="10"/>
      <c r="Q185" s="10"/>
      <c r="R185" s="10"/>
      <c r="S185" s="10"/>
      <c r="T185" s="10"/>
      <c r="U185" s="10"/>
      <c r="V185" s="10"/>
      <c r="W185" s="10"/>
      <c r="X185" s="10"/>
      <c r="Y185" s="10"/>
      <c r="Z185" s="10"/>
    </row>
    <row r="186" ht="15.75" customHeight="1">
      <c r="A186" s="6" t="s">
        <v>1385</v>
      </c>
      <c r="B186" s="18" t="s">
        <v>1386</v>
      </c>
      <c r="C186" s="7"/>
      <c r="D186" s="7"/>
      <c r="E186" s="7">
        <v>0.0</v>
      </c>
      <c r="F186" s="18" t="s">
        <v>15</v>
      </c>
      <c r="G186" s="18" t="s">
        <v>1388</v>
      </c>
      <c r="H186" s="43" t="s">
        <v>1389</v>
      </c>
      <c r="I186" s="8"/>
      <c r="J186" s="13" t="str">
        <f t="shared" si="20"/>
        <v>DATEMELEZTEA.png</v>
      </c>
      <c r="K186" s="18" t="s">
        <v>1391</v>
      </c>
      <c r="L186" s="43" t="s">
        <v>1392</v>
      </c>
      <c r="M186" s="19" t="s">
        <v>2355</v>
      </c>
      <c r="N186" s="67" t="s">
        <v>2176</v>
      </c>
      <c r="O186" s="109" t="s">
        <v>1387</v>
      </c>
      <c r="P186" s="10"/>
      <c r="Q186" s="10"/>
      <c r="R186" s="10"/>
      <c r="S186" s="10"/>
      <c r="T186" s="10"/>
      <c r="U186" s="10"/>
      <c r="V186" s="10"/>
      <c r="W186" s="10"/>
      <c r="X186" s="10"/>
      <c r="Y186" s="10"/>
      <c r="Z186" s="10"/>
    </row>
    <row r="187" ht="15.75" customHeight="1">
      <c r="A187" s="6" t="s">
        <v>1385</v>
      </c>
      <c r="B187" s="18" t="s">
        <v>1386</v>
      </c>
      <c r="C187" s="7"/>
      <c r="D187" s="7"/>
      <c r="E187" s="7">
        <v>0.0</v>
      </c>
      <c r="F187" s="17" t="s">
        <v>1387</v>
      </c>
      <c r="G187" s="18" t="s">
        <v>1388</v>
      </c>
      <c r="H187" s="43" t="s">
        <v>1389</v>
      </c>
      <c r="I187" s="8"/>
      <c r="J187" s="13" t="str">
        <f t="shared" si="20"/>
        <v>DATEMELEZTEA.png</v>
      </c>
      <c r="K187" s="18" t="s">
        <v>1391</v>
      </c>
      <c r="L187" s="43" t="s">
        <v>1392</v>
      </c>
      <c r="M187" s="19" t="s">
        <v>2355</v>
      </c>
      <c r="N187" s="67" t="s">
        <v>2333</v>
      </c>
      <c r="O187" s="127" t="s">
        <v>1390</v>
      </c>
      <c r="P187" s="10"/>
      <c r="Q187" s="10"/>
      <c r="R187" s="10"/>
      <c r="S187" s="10"/>
      <c r="T187" s="10"/>
      <c r="U187" s="10"/>
      <c r="V187" s="10"/>
      <c r="W187" s="10"/>
      <c r="X187" s="10"/>
      <c r="Y187" s="10"/>
      <c r="Z187" s="10"/>
    </row>
    <row r="188" ht="15.75" customHeight="1">
      <c r="A188" s="6"/>
      <c r="B188" s="7"/>
      <c r="C188" s="7"/>
      <c r="D188" s="7"/>
      <c r="E188" s="7"/>
      <c r="F188" s="18"/>
      <c r="G188" s="7"/>
      <c r="H188" s="8"/>
      <c r="I188" s="8"/>
      <c r="J188" s="13"/>
      <c r="K188" s="9"/>
      <c r="L188" s="8"/>
      <c r="M188" s="19"/>
      <c r="N188" s="20"/>
      <c r="O188" s="10"/>
      <c r="P188" s="10"/>
      <c r="Q188" s="10"/>
      <c r="R188" s="10"/>
      <c r="S188" s="10"/>
      <c r="T188" s="10"/>
      <c r="U188" s="10"/>
      <c r="V188" s="10"/>
      <c r="W188" s="10"/>
      <c r="X188" s="10"/>
      <c r="Y188" s="10"/>
      <c r="Z188" s="10"/>
    </row>
    <row r="189" ht="15.75" customHeight="1">
      <c r="A189" s="91" t="s">
        <v>2356</v>
      </c>
      <c r="D189" s="91" t="s">
        <v>2357</v>
      </c>
      <c r="M189" s="72"/>
    </row>
    <row r="190" ht="15.75" customHeight="1">
      <c r="A190" s="91" t="s">
        <v>2358</v>
      </c>
      <c r="B190" s="91" t="s">
        <v>2359</v>
      </c>
      <c r="D190" s="91" t="s">
        <v>2360</v>
      </c>
      <c r="E190" s="91" t="s">
        <v>2361</v>
      </c>
      <c r="M190" s="72"/>
    </row>
    <row r="191" ht="15.75" customHeight="1">
      <c r="D191" s="91" t="s">
        <v>2362</v>
      </c>
      <c r="E191" s="91" t="s">
        <v>2363</v>
      </c>
      <c r="M191" s="72"/>
    </row>
    <row r="192" ht="15.75" customHeight="1">
      <c r="A192" s="129" t="s">
        <v>2364</v>
      </c>
      <c r="B192" s="129" t="s">
        <v>2359</v>
      </c>
      <c r="D192" s="91" t="s">
        <v>2365</v>
      </c>
      <c r="E192" s="91" t="s">
        <v>2366</v>
      </c>
      <c r="M192" s="72"/>
    </row>
    <row r="193" ht="15.75" customHeight="1">
      <c r="A193" s="91" t="s">
        <v>2367</v>
      </c>
      <c r="B193" s="91" t="s">
        <v>2361</v>
      </c>
      <c r="D193" s="91" t="s">
        <v>2368</v>
      </c>
      <c r="E193" s="91" t="s">
        <v>2366</v>
      </c>
      <c r="M193" s="72"/>
    </row>
    <row r="194" ht="15.75" customHeight="1">
      <c r="A194" s="91" t="s">
        <v>2369</v>
      </c>
      <c r="B194" s="91" t="s">
        <v>2366</v>
      </c>
      <c r="D194" s="91" t="s">
        <v>2370</v>
      </c>
      <c r="E194" s="91" t="s">
        <v>2366</v>
      </c>
      <c r="M194" s="72"/>
    </row>
    <row r="195" ht="15.75" customHeight="1">
      <c r="A195" s="91"/>
      <c r="B195" s="91"/>
      <c r="D195" s="91"/>
      <c r="E195" s="91"/>
      <c r="M195" s="72"/>
    </row>
    <row r="196" ht="15.75" customHeight="1">
      <c r="A196" s="91" t="s">
        <v>2371</v>
      </c>
      <c r="B196" s="91" t="s">
        <v>2361</v>
      </c>
      <c r="M196" s="72"/>
    </row>
    <row r="197" ht="15.75" customHeight="1">
      <c r="A197" s="91" t="s">
        <v>2372</v>
      </c>
      <c r="B197" s="91" t="s">
        <v>2359</v>
      </c>
      <c r="M197" s="130"/>
    </row>
    <row r="198" ht="15.75" customHeight="1">
      <c r="A198" s="91" t="s">
        <v>2373</v>
      </c>
      <c r="B198" s="91" t="s">
        <v>2363</v>
      </c>
      <c r="M198" s="72"/>
    </row>
    <row r="199" ht="15.75" customHeight="1">
      <c r="A199" s="91" t="s">
        <v>2374</v>
      </c>
      <c r="B199" s="91" t="s">
        <v>2363</v>
      </c>
      <c r="M199" s="72"/>
    </row>
    <row r="200" ht="15.75" customHeight="1">
      <c r="A200" s="91" t="s">
        <v>2375</v>
      </c>
      <c r="B200" s="91" t="s">
        <v>2363</v>
      </c>
      <c r="M200" s="72"/>
    </row>
    <row r="201" ht="15.75" customHeight="1">
      <c r="A201" s="91" t="s">
        <v>2376</v>
      </c>
      <c r="B201" s="91" t="s">
        <v>2363</v>
      </c>
      <c r="M201" s="72"/>
    </row>
    <row r="202" ht="15.75" customHeight="1">
      <c r="A202" s="91" t="s">
        <v>2377</v>
      </c>
      <c r="B202" s="91" t="s">
        <v>2363</v>
      </c>
      <c r="M202" s="72"/>
    </row>
    <row r="203" ht="15.75" customHeight="1">
      <c r="A203" s="91" t="s">
        <v>2378</v>
      </c>
      <c r="B203" s="91" t="s">
        <v>2359</v>
      </c>
      <c r="M203" s="58"/>
    </row>
    <row r="204" ht="15.75" customHeight="1">
      <c r="A204" s="91" t="s">
        <v>2379</v>
      </c>
      <c r="B204" s="91" t="s">
        <v>2361</v>
      </c>
      <c r="M204" s="130"/>
    </row>
    <row r="205" ht="15.75" customHeight="1">
      <c r="A205" s="91" t="s">
        <v>2380</v>
      </c>
      <c r="B205" s="91" t="s">
        <v>2359</v>
      </c>
      <c r="M205" s="72"/>
    </row>
    <row r="206" ht="15.75" customHeight="1">
      <c r="M206" s="72"/>
    </row>
    <row r="207" ht="15.75" customHeight="1">
      <c r="M207" s="72"/>
    </row>
    <row r="208" ht="15.75" customHeight="1">
      <c r="M208" s="72"/>
    </row>
    <row r="209" ht="15.75" customHeight="1">
      <c r="M209" s="72"/>
    </row>
    <row r="210" ht="15.75" customHeight="1">
      <c r="M210" s="72"/>
    </row>
    <row r="211" ht="15.75" customHeight="1">
      <c r="M211" s="72"/>
    </row>
    <row r="212" ht="15.75" customHeight="1">
      <c r="M212" s="72"/>
    </row>
    <row r="213" ht="15.75" customHeight="1">
      <c r="M213" s="72"/>
    </row>
    <row r="214" ht="15.75" customHeight="1">
      <c r="M214" s="72"/>
    </row>
    <row r="215" ht="15.75" customHeight="1">
      <c r="M215" s="130"/>
    </row>
    <row r="216" ht="15.75" customHeight="1">
      <c r="M216" s="72"/>
    </row>
    <row r="217" ht="15.75" customHeight="1">
      <c r="M217" s="72"/>
    </row>
    <row r="218" ht="15.75" customHeight="1">
      <c r="M218" s="72"/>
    </row>
    <row r="219" ht="15.75" customHeight="1">
      <c r="M219" s="72"/>
    </row>
    <row r="220" ht="15.75" customHeight="1">
      <c r="M220" s="72"/>
    </row>
    <row r="221" ht="15.75" customHeight="1">
      <c r="M221" s="72"/>
    </row>
    <row r="222" ht="15.75" customHeight="1">
      <c r="M222" s="72"/>
    </row>
    <row r="223" ht="15.75" customHeight="1">
      <c r="M223" s="72"/>
    </row>
    <row r="224" ht="15.75" customHeight="1">
      <c r="M224" s="72"/>
    </row>
    <row r="225" ht="15.75" customHeight="1">
      <c r="M225" s="72"/>
    </row>
    <row r="226" ht="15.75" customHeight="1">
      <c r="M226" s="72"/>
    </row>
    <row r="227" ht="15.75" customHeight="1">
      <c r="M227" s="72"/>
    </row>
    <row r="228" ht="15.75" customHeight="1">
      <c r="M228" s="72"/>
    </row>
    <row r="229" ht="15.75" customHeight="1">
      <c r="M229" s="72"/>
    </row>
    <row r="230" ht="15.75" customHeight="1">
      <c r="M230" s="72"/>
    </row>
    <row r="231" ht="15.75" customHeight="1">
      <c r="M231" s="72"/>
    </row>
    <row r="232" ht="15.75" customHeight="1">
      <c r="M232" s="72"/>
    </row>
    <row r="233" ht="15.75" customHeight="1">
      <c r="M233" s="72"/>
    </row>
    <row r="234" ht="15.75" customHeight="1">
      <c r="M234" s="72"/>
    </row>
    <row r="235" ht="15.75" customHeight="1">
      <c r="M235" s="72"/>
    </row>
    <row r="236" ht="15.75" customHeight="1">
      <c r="M236" s="72"/>
    </row>
    <row r="237" ht="15.75" customHeight="1">
      <c r="M237" s="130"/>
    </row>
    <row r="238" ht="15.75" customHeight="1">
      <c r="M238" s="72"/>
    </row>
    <row r="239" ht="15.75" customHeight="1">
      <c r="M239" s="72"/>
    </row>
    <row r="240" ht="15.75" customHeight="1">
      <c r="M240" s="72"/>
    </row>
    <row r="241" ht="15.75" customHeight="1">
      <c r="M241" s="72"/>
    </row>
    <row r="242" ht="15.75" customHeight="1">
      <c r="M242" s="72"/>
    </row>
    <row r="243" ht="15.75" customHeight="1">
      <c r="M243" s="72"/>
    </row>
    <row r="244" ht="15.75" customHeight="1">
      <c r="M244" s="72"/>
    </row>
    <row r="245" ht="15.75" customHeight="1">
      <c r="M245" s="72"/>
    </row>
    <row r="246" ht="15.75" customHeight="1">
      <c r="M246" s="72"/>
    </row>
    <row r="247" ht="15.75" customHeight="1">
      <c r="M247" s="72"/>
    </row>
    <row r="248" ht="15.75" customHeight="1">
      <c r="M248" s="72"/>
    </row>
    <row r="249" ht="15.75" customHeight="1">
      <c r="M249" s="72"/>
    </row>
    <row r="250" ht="15.75" customHeight="1">
      <c r="M250" s="72"/>
    </row>
    <row r="251" ht="15.75" customHeight="1">
      <c r="M251" s="72"/>
    </row>
    <row r="252" ht="15.75" customHeight="1">
      <c r="M252" s="72"/>
    </row>
    <row r="253" ht="15.75" customHeight="1">
      <c r="M253" s="72"/>
    </row>
    <row r="254" ht="15.75" customHeight="1">
      <c r="M254" s="72"/>
    </row>
    <row r="255" ht="15.75" customHeight="1">
      <c r="M255" s="72"/>
    </row>
    <row r="256" ht="15.75" customHeight="1">
      <c r="M256" s="72"/>
    </row>
    <row r="257" ht="15.75" customHeight="1">
      <c r="M257" s="72"/>
    </row>
    <row r="258" ht="15.75" customHeight="1">
      <c r="M258" s="72"/>
    </row>
    <row r="259" ht="15.75" customHeight="1">
      <c r="M259" s="72"/>
    </row>
    <row r="260" ht="15.75" customHeight="1">
      <c r="M260" s="72"/>
    </row>
    <row r="261" ht="15.75" customHeight="1">
      <c r="M261" s="72"/>
    </row>
    <row r="262" ht="15.75" customHeight="1">
      <c r="M262" s="72"/>
    </row>
    <row r="263" ht="15.75" customHeight="1">
      <c r="M263" s="72"/>
    </row>
    <row r="264" ht="15.75" customHeight="1">
      <c r="M264" s="72"/>
    </row>
    <row r="265" ht="15.75" customHeight="1">
      <c r="M265" s="72"/>
    </row>
    <row r="266" ht="15.75" customHeight="1">
      <c r="M266" s="72"/>
    </row>
    <row r="267" ht="15.75" customHeight="1">
      <c r="M267" s="72"/>
    </row>
    <row r="268" ht="15.75" customHeight="1">
      <c r="M268" s="72"/>
    </row>
    <row r="269" ht="15.75" customHeight="1">
      <c r="M269" s="72"/>
    </row>
    <row r="270" ht="15.75" customHeight="1">
      <c r="M270" s="72"/>
    </row>
    <row r="271" ht="15.75" customHeight="1">
      <c r="M271" s="72"/>
    </row>
    <row r="272" ht="15.75" customHeight="1">
      <c r="M272" s="72"/>
    </row>
    <row r="273" ht="15.75" customHeight="1">
      <c r="M273" s="72"/>
    </row>
    <row r="274" ht="15.75" customHeight="1">
      <c r="M274" s="72"/>
    </row>
    <row r="275" ht="15.75" customHeight="1">
      <c r="M275" s="72"/>
    </row>
    <row r="276" ht="15.75" customHeight="1">
      <c r="M276" s="72"/>
    </row>
    <row r="277" ht="15.75" customHeight="1">
      <c r="M277" s="130"/>
    </row>
    <row r="278" ht="15.75" customHeight="1">
      <c r="M278" s="72"/>
    </row>
    <row r="279" ht="15.75" customHeight="1">
      <c r="M279" s="72"/>
    </row>
    <row r="280" ht="15.75" customHeight="1">
      <c r="M280" s="72"/>
    </row>
    <row r="281" ht="15.75" customHeight="1">
      <c r="M281" s="72"/>
    </row>
    <row r="282" ht="15.75" customHeight="1">
      <c r="M282" s="72"/>
    </row>
    <row r="283" ht="15.75" customHeight="1">
      <c r="M283" s="72"/>
    </row>
    <row r="284" ht="15.75" customHeight="1">
      <c r="M284" s="72"/>
    </row>
    <row r="285" ht="15.75" customHeight="1">
      <c r="M285" s="131"/>
    </row>
    <row r="286" ht="15.75" customHeight="1">
      <c r="M286" s="72"/>
    </row>
    <row r="287" ht="15.75" customHeight="1">
      <c r="M287" s="131"/>
    </row>
    <row r="288" ht="15.75" customHeight="1">
      <c r="M288" s="131"/>
    </row>
    <row r="289" ht="15.75" customHeight="1">
      <c r="M289" s="72"/>
    </row>
    <row r="290" ht="15.75" customHeight="1">
      <c r="M290" s="72"/>
    </row>
    <row r="291" ht="15.75" customHeight="1">
      <c r="M291" s="72"/>
    </row>
    <row r="292" ht="15.75" customHeight="1">
      <c r="M292" s="72"/>
    </row>
    <row r="293" ht="15.75" customHeight="1">
      <c r="M293" s="72"/>
    </row>
    <row r="294" ht="15.75" customHeight="1">
      <c r="M294" s="72"/>
    </row>
    <row r="295" ht="15.75" customHeight="1">
      <c r="M295" s="72"/>
    </row>
    <row r="296" ht="15.75" customHeight="1">
      <c r="M296" s="72"/>
    </row>
    <row r="297" ht="15.75" customHeight="1">
      <c r="M297" s="72"/>
    </row>
    <row r="298" ht="15.75" customHeight="1">
      <c r="M298" s="72"/>
    </row>
    <row r="299" ht="15.75" customHeight="1">
      <c r="M299" s="72"/>
    </row>
    <row r="300" ht="15.75" customHeight="1">
      <c r="M300" s="72"/>
    </row>
    <row r="301" ht="15.75" customHeight="1">
      <c r="M301" s="72"/>
    </row>
    <row r="302" ht="15.75" customHeight="1">
      <c r="M302" s="72"/>
    </row>
    <row r="303" ht="15.75" customHeight="1">
      <c r="M303" s="72"/>
    </row>
    <row r="304" ht="15.75" customHeight="1">
      <c r="M304" s="72"/>
    </row>
    <row r="305" ht="15.75" customHeight="1">
      <c r="M305" s="72"/>
    </row>
    <row r="306" ht="15.75" customHeight="1">
      <c r="M306" s="72"/>
    </row>
    <row r="307" ht="15.75" customHeight="1">
      <c r="M307" s="72"/>
    </row>
    <row r="308" ht="15.75" customHeight="1">
      <c r="M308" s="72"/>
    </row>
    <row r="309" ht="15.75" customHeight="1">
      <c r="M309" s="72"/>
    </row>
    <row r="310" ht="15.75" customHeight="1">
      <c r="M310" s="72"/>
    </row>
    <row r="311" ht="15.75" customHeight="1">
      <c r="M311" s="72"/>
    </row>
    <row r="312" ht="15.75" customHeight="1">
      <c r="M312" s="72"/>
    </row>
    <row r="313" ht="15.75" customHeight="1">
      <c r="M313" s="72"/>
    </row>
    <row r="314" ht="15.75" customHeight="1">
      <c r="M314" s="72"/>
    </row>
    <row r="315" ht="15.75" customHeight="1">
      <c r="M315" s="72"/>
    </row>
    <row r="316" ht="15.75" customHeight="1">
      <c r="M316" s="72"/>
    </row>
    <row r="317" ht="15.75" customHeight="1">
      <c r="M317" s="72"/>
    </row>
    <row r="318" ht="15.75" customHeight="1">
      <c r="M318" s="72"/>
    </row>
    <row r="319" ht="15.75" customHeight="1">
      <c r="M319" s="72"/>
    </row>
    <row r="320" ht="15.75" customHeight="1">
      <c r="M320" s="72"/>
    </row>
    <row r="321" ht="15.75" customHeight="1">
      <c r="M321" s="72"/>
    </row>
    <row r="322" ht="15.75" customHeight="1">
      <c r="M322" s="72"/>
    </row>
    <row r="323" ht="15.75" customHeight="1">
      <c r="M323" s="72"/>
    </row>
    <row r="324" ht="15.75" customHeight="1">
      <c r="M324" s="72"/>
    </row>
    <row r="325" ht="15.75" customHeight="1">
      <c r="M325" s="72"/>
    </row>
    <row r="326" ht="15.75" customHeight="1">
      <c r="M326" s="72"/>
    </row>
    <row r="327" ht="15.75" customHeight="1">
      <c r="M327" s="72"/>
    </row>
    <row r="328" ht="15.75" customHeight="1">
      <c r="M328" s="72"/>
    </row>
    <row r="329" ht="15.75" customHeight="1">
      <c r="M329" s="72"/>
    </row>
    <row r="330" ht="15.75" customHeight="1">
      <c r="M330" s="72"/>
    </row>
    <row r="331" ht="15.75" customHeight="1">
      <c r="M331" s="72"/>
    </row>
    <row r="332" ht="15.75" customHeight="1">
      <c r="M332" s="72"/>
    </row>
    <row r="333" ht="15.75" customHeight="1">
      <c r="M333" s="72"/>
    </row>
    <row r="334" ht="15.75" customHeight="1">
      <c r="M334" s="72"/>
    </row>
    <row r="335" ht="15.75" customHeight="1">
      <c r="M335" s="72"/>
    </row>
    <row r="336" ht="15.75" customHeight="1">
      <c r="M336" s="72"/>
    </row>
    <row r="337" ht="15.75" customHeight="1">
      <c r="M337" s="72"/>
    </row>
    <row r="338" ht="15.75" customHeight="1">
      <c r="M338" s="72"/>
    </row>
    <row r="339" ht="15.75" customHeight="1">
      <c r="M339" s="72"/>
    </row>
    <row r="340" ht="15.75" customHeight="1">
      <c r="M340" s="72"/>
    </row>
    <row r="341" ht="15.75" customHeight="1">
      <c r="M341" s="72"/>
    </row>
    <row r="342" ht="15.75" customHeight="1">
      <c r="M342" s="72"/>
    </row>
    <row r="343" ht="15.75" customHeight="1">
      <c r="M343" s="72"/>
    </row>
    <row r="344" ht="15.75" customHeight="1">
      <c r="M344" s="72"/>
    </row>
    <row r="345" ht="15.75" customHeight="1">
      <c r="M345" s="72"/>
    </row>
    <row r="346" ht="15.75" customHeight="1">
      <c r="M346" s="72"/>
    </row>
    <row r="347" ht="15.75" customHeight="1">
      <c r="M347" s="72"/>
    </row>
    <row r="348" ht="15.75" customHeight="1">
      <c r="M348" s="72"/>
    </row>
    <row r="349" ht="15.75" customHeight="1">
      <c r="M349" s="72"/>
    </row>
    <row r="350" ht="15.75" customHeight="1">
      <c r="M350" s="72"/>
    </row>
    <row r="351" ht="15.75" customHeight="1">
      <c r="M351" s="72"/>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sheetData>
  <hyperlinks>
    <hyperlink r:id="rId1" ref="I8"/>
    <hyperlink r:id="rId2" ref="I10"/>
    <hyperlink r:id="rId3" ref="I11"/>
    <hyperlink r:id="rId4" ref="I13"/>
    <hyperlink r:id="rId5" ref="I14"/>
    <hyperlink r:id="rId6" ref="I18"/>
    <hyperlink r:id="rId7" ref="I19"/>
    <hyperlink r:id="rId8" ref="I20"/>
    <hyperlink r:id="rId9" ref="I24"/>
    <hyperlink r:id="rId10" ref="I25"/>
    <hyperlink r:id="rId11" ref="I26"/>
    <hyperlink r:id="rId12" ref="I27"/>
    <hyperlink r:id="rId13" ref="I28"/>
    <hyperlink r:id="rId14" ref="I30"/>
    <hyperlink r:id="rId15" ref="I31"/>
    <hyperlink r:id="rId16" ref="I32"/>
    <hyperlink r:id="rId17" ref="I33"/>
    <hyperlink r:id="rId18" ref="I35"/>
    <hyperlink r:id="rId19" ref="I46"/>
    <hyperlink r:id="rId20" ref="I53"/>
    <hyperlink r:id="rId21" ref="I60"/>
    <hyperlink r:id="rId22" ref="I62"/>
    <hyperlink r:id="rId23" ref="I64"/>
    <hyperlink r:id="rId24" ref="I67"/>
    <hyperlink r:id="rId25" ref="I68"/>
    <hyperlink r:id="rId26" ref="I70"/>
    <hyperlink r:id="rId27" ref="I73"/>
    <hyperlink r:id="rId28" ref="I75"/>
    <hyperlink r:id="rId29" ref="I78"/>
    <hyperlink r:id="rId30" ref="I88"/>
    <hyperlink r:id="rId31" ref="I89"/>
    <hyperlink r:id="rId32" ref="I93"/>
    <hyperlink r:id="rId33" ref="I94"/>
    <hyperlink r:id="rId34" ref="I100"/>
    <hyperlink r:id="rId35" ref="I101"/>
    <hyperlink r:id="rId36" ref="I103"/>
    <hyperlink r:id="rId37" ref="I105"/>
    <hyperlink r:id="rId38" ref="I107"/>
    <hyperlink r:id="rId39" ref="I108"/>
    <hyperlink r:id="rId40" ref="I109"/>
    <hyperlink r:id="rId41" ref="I114"/>
    <hyperlink r:id="rId42" ref="I116"/>
    <hyperlink r:id="rId43" ref="I117"/>
    <hyperlink r:id="rId44" ref="I118"/>
    <hyperlink r:id="rId45" ref="I120"/>
    <hyperlink r:id="rId46" ref="I122"/>
    <hyperlink r:id="rId47" ref="I123"/>
    <hyperlink r:id="rId48" ref="I131"/>
    <hyperlink r:id="rId49" ref="I134"/>
    <hyperlink r:id="rId50" ref="I135"/>
    <hyperlink r:id="rId51" ref="I137"/>
    <hyperlink r:id="rId52" ref="I138"/>
    <hyperlink r:id="rId53" ref="I144"/>
    <hyperlink r:id="rId54" ref="I145"/>
    <hyperlink r:id="rId55" ref="I147"/>
    <hyperlink r:id="rId56" ref="I148"/>
    <hyperlink r:id="rId57" ref="I149"/>
    <hyperlink r:id="rId58" ref="I150"/>
    <hyperlink r:id="rId59" ref="I152"/>
    <hyperlink r:id="rId60" ref="I157"/>
    <hyperlink r:id="rId61" ref="I158"/>
    <hyperlink r:id="rId62" ref="I159"/>
    <hyperlink r:id="rId63" ref="I160"/>
    <hyperlink r:id="rId64" ref="I165"/>
    <hyperlink r:id="rId65" ref="I166"/>
    <hyperlink r:id="rId66" ref="I170"/>
    <hyperlink r:id="rId67" ref="I173"/>
    <hyperlink r:id="rId68" ref="I174"/>
    <hyperlink r:id="rId69" ref="I177"/>
    <hyperlink r:id="rId70" ref="O179"/>
    <hyperlink r:id="rId71" ref="I180"/>
    <hyperlink r:id="rId72" ref="I181"/>
    <hyperlink r:id="rId73" ref="I182"/>
    <hyperlink r:id="rId74" ref="I183"/>
    <hyperlink r:id="rId75" ref="I184"/>
    <hyperlink r:id="rId76" ref="O187"/>
  </hyperlinks>
  <drawing r:id="rId7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13"/>
    <col customWidth="1" min="2" max="2" width="25.5"/>
    <col customWidth="1" min="3" max="3" width="17.13"/>
    <col customWidth="1" min="4" max="4" width="15.0"/>
    <col customWidth="1" min="5" max="5" width="13.0"/>
    <col customWidth="1" min="6" max="6" width="12.63"/>
    <col customWidth="1" min="7" max="7" width="13.0"/>
    <col customWidth="1" min="8" max="8" width="18.5"/>
  </cols>
  <sheetData>
    <row r="1" ht="15.75" customHeight="1">
      <c r="A1" s="132" t="s">
        <v>0</v>
      </c>
      <c r="B1" s="133" t="s">
        <v>1</v>
      </c>
      <c r="C1" s="133" t="s">
        <v>2</v>
      </c>
      <c r="D1" s="133" t="s">
        <v>3</v>
      </c>
      <c r="E1" s="133" t="s">
        <v>4</v>
      </c>
      <c r="F1" s="134" t="s">
        <v>7</v>
      </c>
      <c r="G1" s="133" t="s">
        <v>2381</v>
      </c>
      <c r="H1" s="133" t="s">
        <v>6</v>
      </c>
    </row>
    <row r="2" ht="15.75" customHeight="1">
      <c r="A2" s="56" t="s">
        <v>13</v>
      </c>
      <c r="B2" s="58" t="s">
        <v>14</v>
      </c>
      <c r="C2" s="58"/>
      <c r="D2" s="58"/>
      <c r="E2" s="58">
        <v>-3.0</v>
      </c>
      <c r="F2" s="89" t="s">
        <v>2382</v>
      </c>
      <c r="G2" s="58" t="s">
        <v>15</v>
      </c>
      <c r="H2" s="58" t="s">
        <v>16</v>
      </c>
    </row>
    <row r="3" ht="15.75" customHeight="1">
      <c r="A3" s="56" t="s">
        <v>13</v>
      </c>
      <c r="B3" s="58" t="s">
        <v>17</v>
      </c>
      <c r="C3" s="135" t="s">
        <v>18</v>
      </c>
      <c r="D3" s="58"/>
      <c r="E3" s="58">
        <v>-3.0</v>
      </c>
      <c r="F3" s="89" t="s">
        <v>2382</v>
      </c>
      <c r="G3" s="87" t="s">
        <v>19</v>
      </c>
      <c r="H3" s="58" t="s">
        <v>20</v>
      </c>
    </row>
    <row r="4" ht="15.75" customHeight="1">
      <c r="A4" s="56" t="s">
        <v>25</v>
      </c>
      <c r="B4" s="58" t="s">
        <v>26</v>
      </c>
      <c r="C4" s="58"/>
      <c r="D4" s="58"/>
      <c r="E4" s="58">
        <v>-3.0</v>
      </c>
      <c r="F4" s="89" t="s">
        <v>2382</v>
      </c>
      <c r="G4" s="58" t="s">
        <v>15</v>
      </c>
      <c r="H4" s="58" t="s">
        <v>27</v>
      </c>
    </row>
    <row r="5" ht="15.75" customHeight="1">
      <c r="A5" s="56" t="s">
        <v>28</v>
      </c>
      <c r="B5" s="58" t="s">
        <v>982</v>
      </c>
      <c r="C5" s="58"/>
      <c r="D5" s="58"/>
      <c r="E5" s="58">
        <v>-3.0</v>
      </c>
      <c r="F5" s="89" t="s">
        <v>2382</v>
      </c>
      <c r="G5" s="58" t="s">
        <v>15</v>
      </c>
      <c r="H5" s="58" t="s">
        <v>27</v>
      </c>
    </row>
    <row r="6" ht="15.75" customHeight="1">
      <c r="A6" s="56" t="s">
        <v>30</v>
      </c>
      <c r="B6" s="58" t="s">
        <v>26</v>
      </c>
      <c r="C6" s="58"/>
      <c r="D6" s="58"/>
      <c r="E6" s="58">
        <v>-3.0</v>
      </c>
      <c r="F6" s="89" t="s">
        <v>2382</v>
      </c>
      <c r="G6" s="58" t="s">
        <v>15</v>
      </c>
      <c r="H6" s="58" t="s">
        <v>27</v>
      </c>
    </row>
    <row r="7" ht="15.75" customHeight="1">
      <c r="A7" s="56" t="s">
        <v>31</v>
      </c>
      <c r="B7" s="58" t="s">
        <v>472</v>
      </c>
      <c r="C7" s="58"/>
      <c r="D7" s="58"/>
      <c r="E7" s="58">
        <v>-3.0</v>
      </c>
      <c r="F7" s="89" t="s">
        <v>2382</v>
      </c>
      <c r="G7" s="58" t="s">
        <v>15</v>
      </c>
      <c r="H7" s="58" t="s">
        <v>27</v>
      </c>
    </row>
    <row r="8" ht="15.75" customHeight="1">
      <c r="A8" s="56" t="s">
        <v>33</v>
      </c>
      <c r="B8" s="58" t="s">
        <v>34</v>
      </c>
      <c r="C8" s="58"/>
      <c r="D8" s="58"/>
      <c r="E8" s="58">
        <v>-3.0</v>
      </c>
      <c r="F8" s="89" t="s">
        <v>2382</v>
      </c>
      <c r="G8" s="58" t="s">
        <v>15</v>
      </c>
      <c r="H8" s="58" t="s">
        <v>27</v>
      </c>
    </row>
    <row r="9" ht="15.75" customHeight="1">
      <c r="A9" s="56" t="s">
        <v>35</v>
      </c>
      <c r="B9" s="58" t="s">
        <v>2383</v>
      </c>
      <c r="C9" s="58"/>
      <c r="D9" s="58"/>
      <c r="E9" s="58">
        <v>-3.0</v>
      </c>
      <c r="F9" s="89" t="s">
        <v>2382</v>
      </c>
      <c r="G9" s="58" t="s">
        <v>15</v>
      </c>
      <c r="H9" s="58" t="s">
        <v>27</v>
      </c>
    </row>
    <row r="10" ht="15.75" customHeight="1">
      <c r="A10" s="56" t="s">
        <v>37</v>
      </c>
      <c r="B10" s="58" t="s">
        <v>38</v>
      </c>
      <c r="C10" s="58"/>
      <c r="D10" s="58"/>
      <c r="E10" s="58">
        <v>-3.0</v>
      </c>
      <c r="F10" s="89" t="s">
        <v>2382</v>
      </c>
      <c r="G10" s="87" t="s">
        <v>39</v>
      </c>
      <c r="H10" s="58" t="s">
        <v>40</v>
      </c>
    </row>
    <row r="11" ht="15.75" customHeight="1">
      <c r="A11" s="56" t="s">
        <v>45</v>
      </c>
      <c r="B11" s="58" t="s">
        <v>46</v>
      </c>
      <c r="C11" s="58"/>
      <c r="D11" s="58"/>
      <c r="E11" s="58">
        <v>-3.0</v>
      </c>
      <c r="F11" s="89" t="s">
        <v>2382</v>
      </c>
      <c r="G11" s="87" t="s">
        <v>47</v>
      </c>
      <c r="H11" s="58" t="s">
        <v>48</v>
      </c>
    </row>
    <row r="12" ht="15.75" customHeight="1">
      <c r="A12" s="56" t="s">
        <v>51</v>
      </c>
      <c r="B12" s="58" t="s">
        <v>52</v>
      </c>
      <c r="C12" s="58"/>
      <c r="D12" s="58"/>
      <c r="E12" s="58">
        <v>-3.0</v>
      </c>
      <c r="F12" s="89" t="s">
        <v>2382</v>
      </c>
      <c r="G12" s="87" t="s">
        <v>53</v>
      </c>
      <c r="H12" s="58" t="s">
        <v>54</v>
      </c>
    </row>
    <row r="13" ht="15.75" customHeight="1">
      <c r="A13" s="56" t="s">
        <v>57</v>
      </c>
      <c r="B13" s="58" t="s">
        <v>58</v>
      </c>
      <c r="C13" s="58"/>
      <c r="D13" s="58"/>
      <c r="E13" s="58">
        <v>-3.0</v>
      </c>
      <c r="F13" s="89" t="s">
        <v>2382</v>
      </c>
      <c r="G13" s="87" t="s">
        <v>59</v>
      </c>
      <c r="H13" s="58" t="s">
        <v>60</v>
      </c>
    </row>
    <row r="14" ht="15.75" customHeight="1">
      <c r="A14" s="56" t="s">
        <v>63</v>
      </c>
      <c r="B14" s="58" t="s">
        <v>64</v>
      </c>
      <c r="C14" s="58"/>
      <c r="D14" s="58"/>
      <c r="E14" s="58">
        <v>-3.0</v>
      </c>
      <c r="F14" s="89" t="s">
        <v>2384</v>
      </c>
      <c r="G14" s="87" t="s">
        <v>65</v>
      </c>
      <c r="H14" s="58" t="s">
        <v>66</v>
      </c>
    </row>
    <row r="15" ht="15.75" customHeight="1">
      <c r="A15" s="56" t="s">
        <v>71</v>
      </c>
      <c r="B15" s="58" t="s">
        <v>2077</v>
      </c>
      <c r="C15" s="58"/>
      <c r="D15" s="58"/>
      <c r="E15" s="58">
        <v>-3.0</v>
      </c>
      <c r="F15" s="89" t="s">
        <v>2382</v>
      </c>
      <c r="G15" s="87" t="s">
        <v>2078</v>
      </c>
      <c r="H15" s="58" t="s">
        <v>2385</v>
      </c>
    </row>
    <row r="16" ht="15.75" customHeight="1">
      <c r="A16" s="56" t="s">
        <v>76</v>
      </c>
      <c r="B16" s="58" t="s">
        <v>2301</v>
      </c>
      <c r="C16" s="58"/>
      <c r="D16" s="58"/>
      <c r="E16" s="58">
        <v>-3.0</v>
      </c>
      <c r="F16" s="89" t="s">
        <v>2384</v>
      </c>
      <c r="G16" s="87" t="s">
        <v>78</v>
      </c>
      <c r="H16" s="58" t="s">
        <v>79</v>
      </c>
    </row>
    <row r="17" ht="15.75" customHeight="1">
      <c r="A17" s="56" t="s">
        <v>81</v>
      </c>
      <c r="B17" s="58" t="s">
        <v>2271</v>
      </c>
      <c r="C17" s="58"/>
      <c r="D17" s="58"/>
      <c r="E17" s="58">
        <v>-3.0</v>
      </c>
      <c r="F17" s="89" t="s">
        <v>2382</v>
      </c>
      <c r="G17" s="58" t="s">
        <v>15</v>
      </c>
      <c r="H17" s="58" t="s">
        <v>2272</v>
      </c>
    </row>
    <row r="18" ht="15.75" customHeight="1">
      <c r="A18" s="56" t="s">
        <v>86</v>
      </c>
      <c r="B18" s="58" t="s">
        <v>87</v>
      </c>
      <c r="C18" s="58"/>
      <c r="D18" s="58"/>
      <c r="E18" s="58">
        <v>-3.0</v>
      </c>
      <c r="F18" s="89" t="s">
        <v>2384</v>
      </c>
      <c r="G18" s="87" t="s">
        <v>88</v>
      </c>
      <c r="H18" s="58" t="s">
        <v>89</v>
      </c>
    </row>
    <row r="19" ht="15.75" customHeight="1">
      <c r="A19" s="56" t="s">
        <v>130</v>
      </c>
      <c r="B19" s="58" t="s">
        <v>131</v>
      </c>
      <c r="C19" s="58"/>
      <c r="D19" s="58"/>
      <c r="E19" s="58">
        <v>-3.0</v>
      </c>
      <c r="F19" s="89" t="s">
        <v>2382</v>
      </c>
      <c r="G19" s="58" t="s">
        <v>15</v>
      </c>
      <c r="H19" s="58" t="s">
        <v>132</v>
      </c>
    </row>
    <row r="20" ht="15.75" customHeight="1">
      <c r="A20" s="56" t="s">
        <v>2008</v>
      </c>
      <c r="B20" s="58" t="s">
        <v>2009</v>
      </c>
      <c r="C20" s="58"/>
      <c r="D20" s="58"/>
      <c r="E20" s="58">
        <v>-3.0</v>
      </c>
      <c r="F20" s="89" t="s">
        <v>2382</v>
      </c>
      <c r="G20" s="87" t="s">
        <v>962</v>
      </c>
      <c r="H20" s="58" t="s">
        <v>963</v>
      </c>
    </row>
    <row r="21" ht="15.75" customHeight="1">
      <c r="A21" s="56" t="s">
        <v>133</v>
      </c>
      <c r="B21" s="58" t="s">
        <v>134</v>
      </c>
      <c r="C21" s="58"/>
      <c r="D21" s="58"/>
      <c r="E21" s="58">
        <v>-2.0</v>
      </c>
      <c r="F21" s="89" t="s">
        <v>2382</v>
      </c>
      <c r="G21" s="58" t="s">
        <v>15</v>
      </c>
      <c r="H21" s="58" t="s">
        <v>135</v>
      </c>
    </row>
    <row r="22" ht="15.75" customHeight="1">
      <c r="A22" s="56" t="s">
        <v>136</v>
      </c>
      <c r="B22" s="58" t="s">
        <v>134</v>
      </c>
      <c r="C22" s="58"/>
      <c r="D22" s="58"/>
      <c r="E22" s="58">
        <v>-2.0</v>
      </c>
      <c r="F22" s="89" t="s">
        <v>2382</v>
      </c>
      <c r="G22" s="58" t="s">
        <v>15</v>
      </c>
      <c r="H22" s="58" t="s">
        <v>135</v>
      </c>
    </row>
    <row r="23" ht="15.75" customHeight="1">
      <c r="A23" s="56" t="s">
        <v>137</v>
      </c>
      <c r="B23" s="58" t="s">
        <v>2386</v>
      </c>
      <c r="C23" s="58"/>
      <c r="D23" s="58"/>
      <c r="E23" s="58">
        <v>-2.0</v>
      </c>
      <c r="F23" s="89" t="s">
        <v>2382</v>
      </c>
      <c r="G23" s="87" t="s">
        <v>139</v>
      </c>
      <c r="H23" s="58" t="s">
        <v>140</v>
      </c>
    </row>
    <row r="24" ht="15.75" customHeight="1">
      <c r="A24" s="56" t="s">
        <v>142</v>
      </c>
      <c r="B24" s="58" t="s">
        <v>2387</v>
      </c>
      <c r="C24" s="58"/>
      <c r="D24" s="58"/>
      <c r="E24" s="58">
        <v>-2.0</v>
      </c>
      <c r="F24" s="89" t="s">
        <v>2382</v>
      </c>
      <c r="G24" s="87" t="s">
        <v>144</v>
      </c>
      <c r="H24" s="58" t="s">
        <v>2388</v>
      </c>
    </row>
    <row r="25" ht="15.75" customHeight="1">
      <c r="A25" s="56" t="s">
        <v>148</v>
      </c>
      <c r="B25" s="58" t="s">
        <v>149</v>
      </c>
      <c r="C25" s="58"/>
      <c r="D25" s="58"/>
      <c r="E25" s="58">
        <v>-2.0</v>
      </c>
      <c r="F25" s="89" t="s">
        <v>2384</v>
      </c>
      <c r="G25" s="87" t="s">
        <v>150</v>
      </c>
      <c r="H25" s="58" t="s">
        <v>151</v>
      </c>
    </row>
    <row r="26" ht="15.75" customHeight="1">
      <c r="A26" s="56" t="s">
        <v>2317</v>
      </c>
      <c r="B26" s="58" t="s">
        <v>2389</v>
      </c>
      <c r="C26" s="58"/>
      <c r="D26" s="58"/>
      <c r="E26" s="58">
        <v>-2.0</v>
      </c>
      <c r="F26" s="89" t="s">
        <v>2384</v>
      </c>
      <c r="G26" s="87" t="s">
        <v>73</v>
      </c>
      <c r="H26" s="58" t="s">
        <v>836</v>
      </c>
    </row>
    <row r="27" ht="15.75" customHeight="1">
      <c r="A27" s="56" t="s">
        <v>156</v>
      </c>
      <c r="B27" s="58" t="s">
        <v>157</v>
      </c>
      <c r="C27" s="58"/>
      <c r="D27" s="58"/>
      <c r="E27" s="58">
        <v>-2.0</v>
      </c>
      <c r="F27" s="89" t="s">
        <v>2384</v>
      </c>
      <c r="G27" s="87" t="s">
        <v>158</v>
      </c>
      <c r="H27" s="58" t="s">
        <v>159</v>
      </c>
    </row>
    <row r="28" ht="15.75" customHeight="1">
      <c r="A28" s="56" t="s">
        <v>164</v>
      </c>
      <c r="B28" s="58" t="s">
        <v>165</v>
      </c>
      <c r="C28" s="58"/>
      <c r="D28" s="58"/>
      <c r="E28" s="58">
        <v>-2.0</v>
      </c>
      <c r="F28" s="89" t="s">
        <v>2384</v>
      </c>
      <c r="G28" s="87" t="s">
        <v>166</v>
      </c>
      <c r="H28" s="58" t="s">
        <v>167</v>
      </c>
    </row>
    <row r="29" ht="15.75" customHeight="1">
      <c r="A29" s="56" t="s">
        <v>172</v>
      </c>
      <c r="B29" s="58" t="s">
        <v>173</v>
      </c>
      <c r="C29" s="58"/>
      <c r="D29" s="58"/>
      <c r="E29" s="58">
        <v>-2.0</v>
      </c>
      <c r="F29" s="89" t="s">
        <v>2384</v>
      </c>
      <c r="G29" s="87" t="s">
        <v>174</v>
      </c>
      <c r="H29" s="58" t="s">
        <v>175</v>
      </c>
    </row>
    <row r="30" ht="15.75" customHeight="1">
      <c r="A30" s="56" t="s">
        <v>180</v>
      </c>
      <c r="B30" s="58" t="s">
        <v>181</v>
      </c>
      <c r="C30" s="58"/>
      <c r="D30" s="58"/>
      <c r="E30" s="58">
        <v>-2.0</v>
      </c>
      <c r="F30" s="89" t="s">
        <v>2390</v>
      </c>
      <c r="G30" s="87" t="s">
        <v>182</v>
      </c>
      <c r="H30" s="58" t="s">
        <v>183</v>
      </c>
    </row>
    <row r="31" ht="15.75" customHeight="1">
      <c r="A31" s="56" t="s">
        <v>188</v>
      </c>
      <c r="B31" s="58" t="s">
        <v>2297</v>
      </c>
      <c r="C31" s="58"/>
      <c r="D31" s="58"/>
      <c r="E31" s="58">
        <v>-2.0</v>
      </c>
      <c r="F31" s="89" t="s">
        <v>2384</v>
      </c>
      <c r="G31" s="87" t="s">
        <v>2298</v>
      </c>
      <c r="H31" s="58" t="s">
        <v>2299</v>
      </c>
    </row>
    <row r="32" ht="15.75" customHeight="1">
      <c r="A32" s="56" t="s">
        <v>192</v>
      </c>
      <c r="B32" s="58" t="s">
        <v>193</v>
      </c>
      <c r="C32" s="58"/>
      <c r="D32" s="58"/>
      <c r="E32" s="58">
        <v>-2.0</v>
      </c>
      <c r="F32" s="89" t="s">
        <v>2384</v>
      </c>
      <c r="G32" s="87" t="s">
        <v>194</v>
      </c>
      <c r="H32" s="58" t="s">
        <v>195</v>
      </c>
    </row>
    <row r="33" ht="15.75" customHeight="1">
      <c r="A33" s="56" t="s">
        <v>198</v>
      </c>
      <c r="B33" s="58" t="s">
        <v>199</v>
      </c>
      <c r="C33" s="58"/>
      <c r="D33" s="58"/>
      <c r="E33" s="58">
        <v>-2.0</v>
      </c>
      <c r="F33" s="89" t="s">
        <v>2384</v>
      </c>
      <c r="G33" s="87" t="s">
        <v>200</v>
      </c>
      <c r="H33" s="58" t="s">
        <v>201</v>
      </c>
    </row>
    <row r="34" ht="15.75" customHeight="1">
      <c r="A34" s="56" t="s">
        <v>204</v>
      </c>
      <c r="B34" s="58" t="s">
        <v>205</v>
      </c>
      <c r="C34" s="58"/>
      <c r="D34" s="58"/>
      <c r="E34" s="58">
        <v>-2.0</v>
      </c>
      <c r="F34" s="89" t="s">
        <v>2384</v>
      </c>
      <c r="G34" s="87" t="s">
        <v>206</v>
      </c>
      <c r="H34" s="58" t="s">
        <v>207</v>
      </c>
    </row>
    <row r="35" ht="15.75" customHeight="1">
      <c r="A35" s="56" t="s">
        <v>210</v>
      </c>
      <c r="B35" s="58" t="s">
        <v>211</v>
      </c>
      <c r="C35" s="58"/>
      <c r="D35" s="58"/>
      <c r="E35" s="58">
        <v>-2.0</v>
      </c>
      <c r="F35" s="89" t="s">
        <v>2384</v>
      </c>
      <c r="G35" s="87" t="s">
        <v>212</v>
      </c>
      <c r="H35" s="58" t="s">
        <v>207</v>
      </c>
    </row>
    <row r="36" ht="15.75" customHeight="1">
      <c r="A36" s="56" t="s">
        <v>215</v>
      </c>
      <c r="B36" s="58" t="s">
        <v>216</v>
      </c>
      <c r="C36" s="58"/>
      <c r="D36" s="58"/>
      <c r="E36" s="58">
        <v>-2.0</v>
      </c>
      <c r="F36" s="89" t="s">
        <v>2384</v>
      </c>
      <c r="G36" s="87" t="s">
        <v>217</v>
      </c>
      <c r="H36" s="58" t="s">
        <v>218</v>
      </c>
    </row>
    <row r="37" ht="15.75" customHeight="1">
      <c r="A37" s="56" t="s">
        <v>221</v>
      </c>
      <c r="B37" s="58" t="s">
        <v>222</v>
      </c>
      <c r="C37" s="58"/>
      <c r="D37" s="58"/>
      <c r="E37" s="58">
        <v>-2.0</v>
      </c>
      <c r="F37" s="89" t="s">
        <v>2384</v>
      </c>
      <c r="G37" s="87" t="s">
        <v>223</v>
      </c>
      <c r="H37" s="58" t="s">
        <v>224</v>
      </c>
    </row>
    <row r="38" ht="15.75" customHeight="1">
      <c r="A38" s="56" t="s">
        <v>227</v>
      </c>
      <c r="B38" s="58" t="s">
        <v>228</v>
      </c>
      <c r="C38" s="58"/>
      <c r="D38" s="58"/>
      <c r="E38" s="58">
        <v>-2.0</v>
      </c>
      <c r="F38" s="89" t="s">
        <v>2384</v>
      </c>
      <c r="G38" s="87" t="s">
        <v>229</v>
      </c>
      <c r="H38" s="58" t="s">
        <v>230</v>
      </c>
    </row>
    <row r="39" ht="15.75" customHeight="1">
      <c r="A39" s="56" t="s">
        <v>233</v>
      </c>
      <c r="B39" s="58" t="s">
        <v>234</v>
      </c>
      <c r="C39" s="58"/>
      <c r="D39" s="58"/>
      <c r="E39" s="58">
        <v>-2.0</v>
      </c>
      <c r="F39" s="89" t="s">
        <v>2384</v>
      </c>
      <c r="G39" s="87" t="s">
        <v>235</v>
      </c>
      <c r="H39" s="58" t="s">
        <v>236</v>
      </c>
    </row>
    <row r="40" ht="15.75" customHeight="1">
      <c r="A40" s="56" t="s">
        <v>239</v>
      </c>
      <c r="B40" s="58" t="s">
        <v>315</v>
      </c>
      <c r="C40" s="58"/>
      <c r="D40" s="58"/>
      <c r="E40" s="58">
        <v>-2.0</v>
      </c>
      <c r="F40" s="89" t="s">
        <v>2384</v>
      </c>
      <c r="G40" s="87" t="s">
        <v>316</v>
      </c>
      <c r="H40" s="58" t="s">
        <v>230</v>
      </c>
    </row>
    <row r="41" ht="15.75" customHeight="1">
      <c r="A41" s="56" t="s">
        <v>244</v>
      </c>
      <c r="B41" s="58" t="s">
        <v>245</v>
      </c>
      <c r="C41" s="58"/>
      <c r="D41" s="58"/>
      <c r="E41" s="58">
        <v>-2.0</v>
      </c>
      <c r="F41" s="89" t="s">
        <v>2384</v>
      </c>
      <c r="G41" s="87" t="s">
        <v>246</v>
      </c>
      <c r="H41" s="58" t="s">
        <v>247</v>
      </c>
    </row>
    <row r="42" ht="15.75" customHeight="1">
      <c r="A42" s="56" t="s">
        <v>249</v>
      </c>
      <c r="B42" s="58" t="s">
        <v>250</v>
      </c>
      <c r="C42" s="58"/>
      <c r="D42" s="58"/>
      <c r="E42" s="58">
        <v>-2.0</v>
      </c>
      <c r="F42" s="89" t="s">
        <v>2384</v>
      </c>
      <c r="G42" s="87" t="s">
        <v>246</v>
      </c>
      <c r="H42" s="58" t="s">
        <v>251</v>
      </c>
    </row>
    <row r="43" ht="15.75" customHeight="1">
      <c r="A43" s="56" t="s">
        <v>254</v>
      </c>
      <c r="B43" s="58" t="s">
        <v>255</v>
      </c>
      <c r="C43" s="58"/>
      <c r="D43" s="58"/>
      <c r="E43" s="58">
        <v>-2.0</v>
      </c>
      <c r="F43" s="89" t="s">
        <v>2384</v>
      </c>
      <c r="G43" s="87" t="s">
        <v>256</v>
      </c>
      <c r="H43" s="58" t="s">
        <v>257</v>
      </c>
    </row>
    <row r="44" ht="15.75" customHeight="1">
      <c r="A44" s="56" t="s">
        <v>260</v>
      </c>
      <c r="B44" s="58" t="s">
        <v>261</v>
      </c>
      <c r="C44" s="58"/>
      <c r="D44" s="58"/>
      <c r="E44" s="58">
        <v>-2.0</v>
      </c>
      <c r="F44" s="89" t="s">
        <v>2384</v>
      </c>
      <c r="G44" s="87" t="s">
        <v>262</v>
      </c>
      <c r="H44" s="58" t="s">
        <v>263</v>
      </c>
    </row>
    <row r="45" ht="15.75" customHeight="1">
      <c r="A45" s="56" t="s">
        <v>266</v>
      </c>
      <c r="B45" s="58" t="s">
        <v>267</v>
      </c>
      <c r="C45" s="58"/>
      <c r="D45" s="58"/>
      <c r="E45" s="58">
        <v>-2.0</v>
      </c>
      <c r="F45" s="89" t="s">
        <v>2384</v>
      </c>
      <c r="G45" s="87" t="s">
        <v>268</v>
      </c>
      <c r="H45" s="58" t="s">
        <v>269</v>
      </c>
    </row>
    <row r="46" ht="15.75" customHeight="1">
      <c r="A46" s="56" t="s">
        <v>272</v>
      </c>
      <c r="B46" s="58" t="s">
        <v>273</v>
      </c>
      <c r="C46" s="58"/>
      <c r="D46" s="58"/>
      <c r="E46" s="58">
        <v>-2.0</v>
      </c>
      <c r="F46" s="89" t="s">
        <v>2384</v>
      </c>
      <c r="G46" s="87" t="s">
        <v>274</v>
      </c>
      <c r="H46" s="58" t="s">
        <v>275</v>
      </c>
    </row>
    <row r="47" ht="15.75" customHeight="1">
      <c r="A47" s="56" t="s">
        <v>278</v>
      </c>
      <c r="B47" s="58" t="s">
        <v>279</v>
      </c>
      <c r="C47" s="58"/>
      <c r="D47" s="58"/>
      <c r="E47" s="58">
        <v>-2.0</v>
      </c>
      <c r="F47" s="89" t="s">
        <v>2384</v>
      </c>
      <c r="G47" s="87" t="s">
        <v>280</v>
      </c>
      <c r="H47" s="58" t="s">
        <v>281</v>
      </c>
    </row>
    <row r="48" ht="15.75" customHeight="1">
      <c r="A48" s="56" t="s">
        <v>284</v>
      </c>
      <c r="B48" s="58" t="s">
        <v>285</v>
      </c>
      <c r="C48" s="58"/>
      <c r="D48" s="58"/>
      <c r="E48" s="58">
        <v>-2.0</v>
      </c>
      <c r="F48" s="89" t="s">
        <v>2384</v>
      </c>
      <c r="G48" s="87" t="s">
        <v>286</v>
      </c>
      <c r="H48" s="58" t="s">
        <v>287</v>
      </c>
    </row>
    <row r="49" ht="15.75" customHeight="1">
      <c r="A49" s="56" t="s">
        <v>290</v>
      </c>
      <c r="B49" s="58" t="s">
        <v>291</v>
      </c>
      <c r="C49" s="58"/>
      <c r="D49" s="58"/>
      <c r="E49" s="58">
        <v>-2.0</v>
      </c>
      <c r="F49" s="89" t="s">
        <v>2384</v>
      </c>
      <c r="G49" s="87" t="s">
        <v>292</v>
      </c>
      <c r="H49" s="58" t="s">
        <v>293</v>
      </c>
    </row>
    <row r="50" ht="15.75" customHeight="1">
      <c r="A50" s="56" t="s">
        <v>296</v>
      </c>
      <c r="B50" s="58" t="s">
        <v>297</v>
      </c>
      <c r="C50" s="58"/>
      <c r="D50" s="58"/>
      <c r="E50" s="58">
        <v>-2.0</v>
      </c>
      <c r="F50" s="89" t="s">
        <v>2384</v>
      </c>
      <c r="G50" s="87" t="s">
        <v>298</v>
      </c>
      <c r="H50" s="58" t="s">
        <v>299</v>
      </c>
    </row>
    <row r="51" ht="15.75" customHeight="1">
      <c r="A51" s="56" t="s">
        <v>302</v>
      </c>
      <c r="B51" s="58" t="s">
        <v>303</v>
      </c>
      <c r="C51" s="58"/>
      <c r="D51" s="58"/>
      <c r="E51" s="58">
        <v>-2.0</v>
      </c>
      <c r="F51" s="89" t="s">
        <v>2384</v>
      </c>
      <c r="G51" s="87" t="s">
        <v>304</v>
      </c>
      <c r="H51" s="58" t="s">
        <v>305</v>
      </c>
    </row>
    <row r="52" ht="15.75" customHeight="1">
      <c r="A52" s="56" t="s">
        <v>308</v>
      </c>
      <c r="B52" s="58" t="s">
        <v>309</v>
      </c>
      <c r="C52" s="58"/>
      <c r="D52" s="58"/>
      <c r="E52" s="58">
        <v>-2.0</v>
      </c>
      <c r="F52" s="89" t="s">
        <v>2384</v>
      </c>
      <c r="G52" s="87" t="s">
        <v>310</v>
      </c>
      <c r="H52" s="58" t="s">
        <v>311</v>
      </c>
    </row>
    <row r="53" ht="15.75" customHeight="1">
      <c r="A53" s="56" t="s">
        <v>314</v>
      </c>
      <c r="B53" s="58" t="s">
        <v>823</v>
      </c>
      <c r="C53" s="58"/>
      <c r="D53" s="58"/>
      <c r="E53" s="58">
        <v>-2.0</v>
      </c>
      <c r="F53" s="89" t="s">
        <v>2384</v>
      </c>
      <c r="G53" s="87" t="s">
        <v>2391</v>
      </c>
      <c r="H53" s="58" t="s">
        <v>825</v>
      </c>
    </row>
    <row r="54" ht="15.75" customHeight="1">
      <c r="A54" s="56" t="s">
        <v>319</v>
      </c>
      <c r="B54" s="58" t="s">
        <v>320</v>
      </c>
      <c r="C54" s="58"/>
      <c r="D54" s="58"/>
      <c r="E54" s="58">
        <v>-2.0</v>
      </c>
      <c r="F54" s="89" t="s">
        <v>2384</v>
      </c>
      <c r="G54" s="87" t="s">
        <v>321</v>
      </c>
      <c r="H54" s="58" t="s">
        <v>322</v>
      </c>
    </row>
    <row r="55" ht="15.75" customHeight="1">
      <c r="A55" s="56" t="s">
        <v>325</v>
      </c>
      <c r="B55" s="58" t="s">
        <v>326</v>
      </c>
      <c r="C55" s="58"/>
      <c r="D55" s="58"/>
      <c r="E55" s="58">
        <v>-2.0</v>
      </c>
      <c r="F55" s="89" t="s">
        <v>2384</v>
      </c>
      <c r="G55" s="87" t="s">
        <v>2166</v>
      </c>
      <c r="H55" s="58" t="s">
        <v>328</v>
      </c>
    </row>
    <row r="56" ht="15.75" customHeight="1">
      <c r="A56" s="56" t="s">
        <v>331</v>
      </c>
      <c r="B56" s="89" t="s">
        <v>2325</v>
      </c>
      <c r="C56" s="58"/>
      <c r="D56" s="58"/>
      <c r="E56" s="58">
        <v>-2.0</v>
      </c>
      <c r="F56" s="89" t="s">
        <v>2384</v>
      </c>
      <c r="G56" s="87" t="s">
        <v>2326</v>
      </c>
      <c r="H56" s="58" t="s">
        <v>334</v>
      </c>
    </row>
    <row r="57" ht="15.75" customHeight="1">
      <c r="A57" s="56" t="s">
        <v>336</v>
      </c>
      <c r="B57" s="58" t="s">
        <v>2392</v>
      </c>
      <c r="C57" s="58"/>
      <c r="D57" s="58"/>
      <c r="E57" s="58">
        <v>-2.0</v>
      </c>
      <c r="F57" s="89" t="s">
        <v>2384</v>
      </c>
      <c r="G57" s="87" t="s">
        <v>338</v>
      </c>
      <c r="H57" s="58" t="s">
        <v>2393</v>
      </c>
    </row>
    <row r="58" ht="15.75" customHeight="1">
      <c r="A58" s="56" t="s">
        <v>342</v>
      </c>
      <c r="B58" s="58" t="s">
        <v>2394</v>
      </c>
      <c r="C58" s="58"/>
      <c r="D58" s="58"/>
      <c r="E58" s="58">
        <v>-2.0</v>
      </c>
      <c r="F58" s="89" t="s">
        <v>2384</v>
      </c>
      <c r="G58" s="87" t="s">
        <v>2395</v>
      </c>
      <c r="H58" s="58" t="s">
        <v>2396</v>
      </c>
    </row>
    <row r="59" ht="15.75" customHeight="1">
      <c r="A59" s="56" t="s">
        <v>349</v>
      </c>
      <c r="B59" s="58" t="s">
        <v>350</v>
      </c>
      <c r="C59" s="58"/>
      <c r="D59" s="58"/>
      <c r="E59" s="58">
        <v>-2.0</v>
      </c>
      <c r="F59" s="89" t="s">
        <v>2384</v>
      </c>
      <c r="G59" s="87" t="s">
        <v>351</v>
      </c>
      <c r="H59" s="58" t="s">
        <v>352</v>
      </c>
    </row>
    <row r="60" ht="15.75" customHeight="1">
      <c r="A60" s="56" t="s">
        <v>355</v>
      </c>
      <c r="B60" s="58" t="s">
        <v>356</v>
      </c>
      <c r="C60" s="58"/>
      <c r="D60" s="58"/>
      <c r="E60" s="58">
        <v>-2.0</v>
      </c>
      <c r="F60" s="89" t="s">
        <v>2384</v>
      </c>
      <c r="G60" s="87" t="s">
        <v>357</v>
      </c>
      <c r="H60" s="58" t="s">
        <v>358</v>
      </c>
    </row>
    <row r="61" ht="15.75" customHeight="1">
      <c r="A61" s="56" t="s">
        <v>361</v>
      </c>
      <c r="B61" s="58" t="s">
        <v>362</v>
      </c>
      <c r="C61" s="58"/>
      <c r="D61" s="58"/>
      <c r="E61" s="58">
        <v>-2.0</v>
      </c>
      <c r="F61" s="89" t="s">
        <v>2384</v>
      </c>
      <c r="G61" s="87" t="s">
        <v>363</v>
      </c>
      <c r="H61" s="58" t="s">
        <v>364</v>
      </c>
    </row>
    <row r="62" ht="15.75" customHeight="1">
      <c r="A62" s="56" t="s">
        <v>367</v>
      </c>
      <c r="B62" s="58" t="s">
        <v>368</v>
      </c>
      <c r="C62" s="58"/>
      <c r="D62" s="58"/>
      <c r="E62" s="58">
        <v>-2.0</v>
      </c>
      <c r="F62" s="89" t="s">
        <v>2384</v>
      </c>
      <c r="G62" s="87" t="s">
        <v>369</v>
      </c>
      <c r="H62" s="58" t="s">
        <v>370</v>
      </c>
    </row>
    <row r="63" ht="15.75" customHeight="1">
      <c r="A63" s="56" t="s">
        <v>373</v>
      </c>
      <c r="B63" s="58" t="s">
        <v>2397</v>
      </c>
      <c r="C63" s="58"/>
      <c r="D63" s="58"/>
      <c r="E63" s="58">
        <v>-2.0</v>
      </c>
      <c r="F63" s="89" t="s">
        <v>2384</v>
      </c>
      <c r="G63" s="87" t="s">
        <v>375</v>
      </c>
      <c r="H63" s="58" t="s">
        <v>376</v>
      </c>
    </row>
    <row r="64" ht="15.75" customHeight="1">
      <c r="A64" s="56" t="s">
        <v>379</v>
      </c>
      <c r="B64" s="58" t="s">
        <v>380</v>
      </c>
      <c r="C64" s="58"/>
      <c r="D64" s="58"/>
      <c r="E64" s="58">
        <v>-2.0</v>
      </c>
      <c r="F64" s="89" t="s">
        <v>2384</v>
      </c>
      <c r="G64" s="87" t="s">
        <v>381</v>
      </c>
      <c r="H64" s="58" t="s">
        <v>382</v>
      </c>
    </row>
    <row r="65" ht="15.75" customHeight="1">
      <c r="A65" s="56" t="s">
        <v>385</v>
      </c>
      <c r="B65" s="58" t="s">
        <v>386</v>
      </c>
      <c r="C65" s="58"/>
      <c r="D65" s="58"/>
      <c r="E65" s="58">
        <v>-2.0</v>
      </c>
      <c r="F65" s="89" t="s">
        <v>2384</v>
      </c>
      <c r="G65" s="87" t="s">
        <v>387</v>
      </c>
      <c r="H65" s="58" t="s">
        <v>388</v>
      </c>
    </row>
    <row r="66" ht="15.75" customHeight="1">
      <c r="A66" s="56" t="s">
        <v>391</v>
      </c>
      <c r="B66" s="58" t="s">
        <v>392</v>
      </c>
      <c r="C66" s="58"/>
      <c r="D66" s="58"/>
      <c r="E66" s="58">
        <v>-2.0</v>
      </c>
      <c r="F66" s="89" t="s">
        <v>2384</v>
      </c>
      <c r="G66" s="87" t="s">
        <v>393</v>
      </c>
      <c r="H66" s="58" t="s">
        <v>2398</v>
      </c>
    </row>
    <row r="67" ht="15.75" customHeight="1">
      <c r="A67" s="56" t="s">
        <v>398</v>
      </c>
      <c r="B67" s="58" t="s">
        <v>399</v>
      </c>
      <c r="C67" s="58"/>
      <c r="D67" s="58"/>
      <c r="E67" s="58">
        <v>-2.0</v>
      </c>
      <c r="F67" s="89" t="s">
        <v>2384</v>
      </c>
      <c r="G67" s="87" t="s">
        <v>400</v>
      </c>
      <c r="H67" s="58" t="s">
        <v>401</v>
      </c>
    </row>
    <row r="68" ht="15.75" customHeight="1">
      <c r="A68" s="56" t="s">
        <v>404</v>
      </c>
      <c r="B68" s="58" t="s">
        <v>405</v>
      </c>
      <c r="C68" s="136"/>
      <c r="D68" s="58"/>
      <c r="E68" s="58">
        <v>-2.0</v>
      </c>
      <c r="F68" s="89" t="s">
        <v>2390</v>
      </c>
      <c r="G68" s="87" t="s">
        <v>406</v>
      </c>
      <c r="H68" s="58" t="s">
        <v>407</v>
      </c>
    </row>
    <row r="69" ht="15.75" customHeight="1">
      <c r="A69" s="56" t="s">
        <v>404</v>
      </c>
      <c r="B69" s="89" t="s">
        <v>408</v>
      </c>
      <c r="E69" s="58">
        <v>-2.0</v>
      </c>
      <c r="F69" s="89" t="s">
        <v>2382</v>
      </c>
      <c r="G69" s="89" t="s">
        <v>15</v>
      </c>
      <c r="H69" s="89" t="s">
        <v>409</v>
      </c>
    </row>
    <row r="70" ht="15.75" customHeight="1">
      <c r="A70" s="56" t="s">
        <v>404</v>
      </c>
      <c r="B70" s="89" t="s">
        <v>410</v>
      </c>
      <c r="E70" s="58">
        <v>-2.0</v>
      </c>
      <c r="F70" s="89" t="s">
        <v>2382</v>
      </c>
      <c r="G70" s="137" t="s">
        <v>411</v>
      </c>
      <c r="H70" s="89" t="s">
        <v>409</v>
      </c>
    </row>
    <row r="71" ht="15.75" customHeight="1">
      <c r="A71" s="56" t="s">
        <v>404</v>
      </c>
      <c r="B71" s="58" t="s">
        <v>114</v>
      </c>
      <c r="C71" s="136" t="s">
        <v>115</v>
      </c>
      <c r="D71" s="58"/>
      <c r="E71" s="58">
        <v>-2.0</v>
      </c>
      <c r="F71" s="89" t="s">
        <v>2382</v>
      </c>
      <c r="G71" s="87" t="s">
        <v>116</v>
      </c>
      <c r="H71" s="58" t="s">
        <v>117</v>
      </c>
    </row>
    <row r="72" ht="15.75" customHeight="1">
      <c r="A72" s="56" t="s">
        <v>429</v>
      </c>
      <c r="B72" s="58" t="s">
        <v>430</v>
      </c>
      <c r="C72" s="58"/>
      <c r="D72" s="58"/>
      <c r="E72" s="58">
        <v>-2.0</v>
      </c>
      <c r="F72" s="89" t="s">
        <v>2384</v>
      </c>
      <c r="G72" s="87" t="s">
        <v>431</v>
      </c>
      <c r="H72" s="58" t="s">
        <v>432</v>
      </c>
    </row>
    <row r="73" ht="15.75" customHeight="1">
      <c r="A73" s="56" t="s">
        <v>435</v>
      </c>
      <c r="B73" s="58" t="s">
        <v>436</v>
      </c>
      <c r="C73" s="58"/>
      <c r="D73" s="58"/>
      <c r="E73" s="58">
        <v>-2.0</v>
      </c>
      <c r="F73" s="89" t="s">
        <v>2384</v>
      </c>
      <c r="G73" s="87" t="s">
        <v>437</v>
      </c>
      <c r="H73" s="58" t="s">
        <v>438</v>
      </c>
    </row>
    <row r="74" ht="15.75" customHeight="1">
      <c r="A74" s="56" t="s">
        <v>2399</v>
      </c>
      <c r="B74" s="58" t="s">
        <v>2106</v>
      </c>
      <c r="C74" s="58"/>
      <c r="D74" s="58"/>
      <c r="E74" s="58">
        <v>-2.0</v>
      </c>
      <c r="F74" s="89" t="s">
        <v>2390</v>
      </c>
      <c r="G74" s="58" t="s">
        <v>15</v>
      </c>
      <c r="H74" s="58" t="s">
        <v>1339</v>
      </c>
    </row>
    <row r="75" ht="15.75" customHeight="1">
      <c r="A75" s="56" t="s">
        <v>2105</v>
      </c>
      <c r="B75" s="58" t="s">
        <v>418</v>
      </c>
      <c r="C75" s="58"/>
      <c r="D75" s="58"/>
      <c r="E75" s="58">
        <v>-2.0</v>
      </c>
      <c r="F75" s="89" t="s">
        <v>2384</v>
      </c>
      <c r="G75" s="87" t="s">
        <v>419</v>
      </c>
      <c r="H75" s="58" t="s">
        <v>2400</v>
      </c>
    </row>
    <row r="76" ht="15.75" customHeight="1">
      <c r="A76" s="56" t="s">
        <v>441</v>
      </c>
      <c r="B76" s="58" t="s">
        <v>442</v>
      </c>
      <c r="C76" s="58"/>
      <c r="D76" s="58"/>
      <c r="E76" s="58">
        <v>-2.0</v>
      </c>
      <c r="F76" s="89" t="s">
        <v>2384</v>
      </c>
      <c r="G76" s="58" t="s">
        <v>15</v>
      </c>
      <c r="H76" s="58" t="s">
        <v>443</v>
      </c>
    </row>
    <row r="77" ht="15.75" customHeight="1">
      <c r="A77" s="138" t="s">
        <v>456</v>
      </c>
      <c r="B77" s="138" t="s">
        <v>457</v>
      </c>
      <c r="C77" s="58"/>
      <c r="D77" s="58"/>
      <c r="E77" s="58">
        <v>-2.0</v>
      </c>
      <c r="F77" s="89" t="s">
        <v>2382</v>
      </c>
      <c r="G77" s="58" t="s">
        <v>15</v>
      </c>
      <c r="H77" s="58" t="s">
        <v>458</v>
      </c>
    </row>
    <row r="78" ht="15.75" customHeight="1">
      <c r="A78" s="138" t="s">
        <v>460</v>
      </c>
      <c r="B78" s="138" t="s">
        <v>457</v>
      </c>
      <c r="C78" s="58"/>
      <c r="D78" s="58"/>
      <c r="E78" s="58">
        <v>-2.0</v>
      </c>
      <c r="F78" s="89" t="s">
        <v>2382</v>
      </c>
      <c r="G78" s="58" t="s">
        <v>15</v>
      </c>
      <c r="H78" s="58" t="s">
        <v>458</v>
      </c>
    </row>
    <row r="79" ht="15.75" customHeight="1">
      <c r="A79" s="56" t="s">
        <v>461</v>
      </c>
      <c r="B79" s="58" t="s">
        <v>462</v>
      </c>
      <c r="C79" s="58"/>
      <c r="D79" s="58"/>
      <c r="E79" s="58">
        <v>-2.0</v>
      </c>
      <c r="F79" s="89" t="s">
        <v>2382</v>
      </c>
      <c r="G79" s="87" t="s">
        <v>463</v>
      </c>
      <c r="H79" s="58" t="s">
        <v>464</v>
      </c>
    </row>
    <row r="80" ht="15.75" customHeight="1">
      <c r="A80" s="56" t="s">
        <v>465</v>
      </c>
      <c r="B80" s="58" t="s">
        <v>466</v>
      </c>
      <c r="C80" s="58"/>
      <c r="D80" s="58"/>
      <c r="E80" s="58">
        <v>-2.0</v>
      </c>
      <c r="F80" s="89" t="s">
        <v>2401</v>
      </c>
      <c r="G80" s="58" t="s">
        <v>15</v>
      </c>
      <c r="H80" s="58" t="s">
        <v>467</v>
      </c>
    </row>
    <row r="81" ht="15.75" customHeight="1">
      <c r="A81" s="56" t="s">
        <v>468</v>
      </c>
      <c r="B81" s="58" t="s">
        <v>466</v>
      </c>
      <c r="C81" s="58"/>
      <c r="D81" s="58"/>
      <c r="E81" s="58">
        <v>-2.0</v>
      </c>
      <c r="F81" s="89" t="s">
        <v>2401</v>
      </c>
      <c r="G81" s="58" t="s">
        <v>15</v>
      </c>
      <c r="H81" s="58" t="s">
        <v>467</v>
      </c>
    </row>
    <row r="82" ht="15.75" customHeight="1">
      <c r="A82" s="56" t="s">
        <v>469</v>
      </c>
      <c r="B82" s="58" t="s">
        <v>134</v>
      </c>
      <c r="C82" s="58"/>
      <c r="D82" s="58"/>
      <c r="E82" s="58">
        <v>-1.0</v>
      </c>
      <c r="F82" s="89" t="s">
        <v>2382</v>
      </c>
      <c r="G82" s="58" t="s">
        <v>15</v>
      </c>
      <c r="H82" s="58" t="s">
        <v>135</v>
      </c>
    </row>
    <row r="83" ht="15.75" customHeight="1">
      <c r="A83" s="56" t="s">
        <v>470</v>
      </c>
      <c r="B83" s="58" t="s">
        <v>134</v>
      </c>
      <c r="C83" s="58"/>
      <c r="D83" s="58"/>
      <c r="E83" s="58">
        <v>-1.0</v>
      </c>
      <c r="F83" s="89" t="s">
        <v>2382</v>
      </c>
      <c r="G83" s="58" t="s">
        <v>15</v>
      </c>
      <c r="H83" s="58" t="s">
        <v>135</v>
      </c>
    </row>
    <row r="84" ht="15.75" customHeight="1">
      <c r="A84" s="56" t="s">
        <v>471</v>
      </c>
      <c r="B84" s="58" t="s">
        <v>472</v>
      </c>
      <c r="C84" s="58"/>
      <c r="D84" s="58"/>
      <c r="E84" s="58">
        <v>-1.0</v>
      </c>
      <c r="F84" s="89" t="s">
        <v>2382</v>
      </c>
      <c r="G84" s="58" t="s">
        <v>15</v>
      </c>
      <c r="H84" s="58" t="s">
        <v>27</v>
      </c>
    </row>
    <row r="85" ht="15.75" customHeight="1">
      <c r="A85" s="56" t="s">
        <v>473</v>
      </c>
      <c r="B85" s="58" t="s">
        <v>474</v>
      </c>
      <c r="C85" s="58"/>
      <c r="D85" s="58"/>
      <c r="E85" s="58">
        <v>-1.0</v>
      </c>
      <c r="F85" s="89" t="s">
        <v>2384</v>
      </c>
      <c r="G85" s="87" t="s">
        <v>2402</v>
      </c>
      <c r="H85" s="58" t="s">
        <v>475</v>
      </c>
    </row>
    <row r="86" ht="15.75" customHeight="1">
      <c r="A86" s="56" t="s">
        <v>478</v>
      </c>
      <c r="B86" s="58" t="s">
        <v>479</v>
      </c>
      <c r="C86" s="58"/>
      <c r="D86" s="58"/>
      <c r="E86" s="58">
        <v>-1.0</v>
      </c>
      <c r="F86" s="89" t="s">
        <v>2390</v>
      </c>
      <c r="G86" s="87" t="s">
        <v>480</v>
      </c>
      <c r="H86" s="58" t="s">
        <v>481</v>
      </c>
    </row>
    <row r="87" ht="15.75" customHeight="1">
      <c r="A87" s="56" t="s">
        <v>490</v>
      </c>
      <c r="B87" s="58" t="s">
        <v>491</v>
      </c>
      <c r="C87" s="58"/>
      <c r="D87" s="58"/>
      <c r="E87" s="58">
        <v>-1.0</v>
      </c>
      <c r="F87" s="89" t="s">
        <v>2384</v>
      </c>
      <c r="G87" s="87" t="s">
        <v>492</v>
      </c>
      <c r="H87" s="58" t="s">
        <v>493</v>
      </c>
    </row>
    <row r="88" ht="15.75" customHeight="1">
      <c r="A88" s="56" t="s">
        <v>496</v>
      </c>
      <c r="B88" s="58" t="s">
        <v>497</v>
      </c>
      <c r="C88" s="58"/>
      <c r="D88" s="58"/>
      <c r="E88" s="58">
        <v>-1.0</v>
      </c>
      <c r="F88" s="89" t="s">
        <v>2384</v>
      </c>
      <c r="G88" s="87" t="s">
        <v>498</v>
      </c>
      <c r="H88" s="58" t="s">
        <v>499</v>
      </c>
    </row>
    <row r="89" ht="15.75" customHeight="1">
      <c r="A89" s="56" t="s">
        <v>502</v>
      </c>
      <c r="B89" s="58" t="s">
        <v>503</v>
      </c>
      <c r="C89" s="58"/>
      <c r="D89" s="58"/>
      <c r="E89" s="58">
        <v>-1.0</v>
      </c>
      <c r="F89" s="89" t="s">
        <v>2390</v>
      </c>
      <c r="G89" s="87" t="s">
        <v>504</v>
      </c>
      <c r="H89" s="58" t="s">
        <v>505</v>
      </c>
    </row>
    <row r="90" ht="15.75" customHeight="1">
      <c r="A90" s="56" t="s">
        <v>508</v>
      </c>
      <c r="B90" s="58" t="s">
        <v>509</v>
      </c>
      <c r="C90" s="58"/>
      <c r="D90" s="58"/>
      <c r="E90" s="58">
        <v>-1.0</v>
      </c>
      <c r="F90" s="89" t="s">
        <v>2384</v>
      </c>
      <c r="G90" s="87" t="s">
        <v>510</v>
      </c>
      <c r="H90" s="58" t="s">
        <v>511</v>
      </c>
    </row>
    <row r="91" ht="15.75" customHeight="1">
      <c r="A91" s="56" t="s">
        <v>514</v>
      </c>
      <c r="B91" s="58" t="s">
        <v>515</v>
      </c>
      <c r="C91" s="58"/>
      <c r="D91" s="58"/>
      <c r="E91" s="58">
        <v>-1.0</v>
      </c>
      <c r="F91" s="89" t="s">
        <v>2384</v>
      </c>
      <c r="G91" s="87" t="s">
        <v>516</v>
      </c>
      <c r="H91" s="58" t="s">
        <v>517</v>
      </c>
    </row>
    <row r="92" ht="15.75" customHeight="1">
      <c r="A92" s="56" t="s">
        <v>520</v>
      </c>
      <c r="B92" s="58" t="s">
        <v>521</v>
      </c>
      <c r="C92" s="58"/>
      <c r="D92" s="58"/>
      <c r="E92" s="58">
        <v>-1.0</v>
      </c>
      <c r="F92" s="89" t="s">
        <v>2384</v>
      </c>
      <c r="G92" s="87" t="s">
        <v>522</v>
      </c>
      <c r="H92" s="58" t="s">
        <v>523</v>
      </c>
    </row>
    <row r="93" ht="15.75" customHeight="1">
      <c r="A93" s="56" t="s">
        <v>526</v>
      </c>
      <c r="B93" s="58" t="s">
        <v>527</v>
      </c>
      <c r="C93" s="58"/>
      <c r="D93" s="58"/>
      <c r="E93" s="58">
        <v>-1.0</v>
      </c>
      <c r="F93" s="89" t="s">
        <v>2384</v>
      </c>
      <c r="G93" s="87" t="s">
        <v>528</v>
      </c>
      <c r="H93" s="58" t="s">
        <v>529</v>
      </c>
    </row>
    <row r="94" ht="15.75" customHeight="1">
      <c r="A94" s="56" t="s">
        <v>532</v>
      </c>
      <c r="B94" s="58" t="s">
        <v>533</v>
      </c>
      <c r="C94" s="58"/>
      <c r="D94" s="58"/>
      <c r="E94" s="58">
        <v>-1.0</v>
      </c>
      <c r="F94" s="89" t="s">
        <v>2384</v>
      </c>
      <c r="G94" s="87" t="s">
        <v>534</v>
      </c>
      <c r="H94" s="58" t="s">
        <v>535</v>
      </c>
    </row>
    <row r="95" ht="15.75" customHeight="1">
      <c r="A95" s="56" t="s">
        <v>538</v>
      </c>
      <c r="B95" s="58" t="s">
        <v>2290</v>
      </c>
      <c r="C95" s="58"/>
      <c r="D95" s="58"/>
      <c r="E95" s="58">
        <v>-1.0</v>
      </c>
      <c r="F95" s="89" t="s">
        <v>2384</v>
      </c>
      <c r="G95" s="87" t="s">
        <v>2291</v>
      </c>
      <c r="H95" s="58" t="s">
        <v>2292</v>
      </c>
    </row>
    <row r="96" ht="15.75" customHeight="1">
      <c r="A96" s="56" t="s">
        <v>542</v>
      </c>
      <c r="B96" s="58" t="s">
        <v>543</v>
      </c>
      <c r="C96" s="58"/>
      <c r="D96" s="58"/>
      <c r="E96" s="58">
        <v>-1.0</v>
      </c>
      <c r="F96" s="89" t="s">
        <v>2384</v>
      </c>
      <c r="G96" s="87" t="s">
        <v>2403</v>
      </c>
      <c r="H96" s="58" t="s">
        <v>545</v>
      </c>
    </row>
    <row r="97" ht="15.75" customHeight="1">
      <c r="A97" s="56" t="s">
        <v>548</v>
      </c>
      <c r="B97" s="58" t="s">
        <v>549</v>
      </c>
      <c r="C97" s="58"/>
      <c r="D97" s="58"/>
      <c r="E97" s="58">
        <v>-1.0</v>
      </c>
      <c r="F97" s="89" t="s">
        <v>2390</v>
      </c>
      <c r="G97" s="87" t="s">
        <v>550</v>
      </c>
      <c r="H97" s="58" t="s">
        <v>551</v>
      </c>
    </row>
    <row r="98" ht="15.75" customHeight="1">
      <c r="A98" s="56" t="s">
        <v>554</v>
      </c>
      <c r="B98" s="58" t="s">
        <v>2404</v>
      </c>
      <c r="C98" s="58"/>
      <c r="D98" s="58"/>
      <c r="E98" s="58">
        <v>-1.0</v>
      </c>
      <c r="F98" s="89" t="s">
        <v>2390</v>
      </c>
      <c r="G98" s="87" t="s">
        <v>556</v>
      </c>
      <c r="H98" s="58" t="s">
        <v>557</v>
      </c>
    </row>
    <row r="99" ht="15.75" customHeight="1">
      <c r="A99" s="56" t="s">
        <v>562</v>
      </c>
      <c r="B99" s="58" t="s">
        <v>563</v>
      </c>
      <c r="C99" s="58"/>
      <c r="D99" s="58"/>
      <c r="E99" s="58">
        <v>-1.0</v>
      </c>
      <c r="F99" s="89" t="s">
        <v>2390</v>
      </c>
      <c r="G99" s="87" t="s">
        <v>564</v>
      </c>
      <c r="H99" s="58" t="s">
        <v>565</v>
      </c>
    </row>
    <row r="100" ht="15.75" customHeight="1">
      <c r="A100" s="56" t="s">
        <v>568</v>
      </c>
      <c r="B100" s="58" t="s">
        <v>569</v>
      </c>
      <c r="C100" s="58"/>
      <c r="D100" s="58"/>
      <c r="E100" s="58">
        <v>-1.0</v>
      </c>
      <c r="F100" s="89" t="s">
        <v>2390</v>
      </c>
      <c r="G100" s="87" t="s">
        <v>570</v>
      </c>
      <c r="H100" s="58" t="s">
        <v>571</v>
      </c>
    </row>
    <row r="101" ht="15.75" customHeight="1">
      <c r="A101" s="56" t="s">
        <v>574</v>
      </c>
      <c r="B101" s="58" t="s">
        <v>2083</v>
      </c>
      <c r="C101" s="58"/>
      <c r="D101" s="58"/>
      <c r="E101" s="58">
        <v>-1.0</v>
      </c>
      <c r="F101" s="89" t="s">
        <v>2390</v>
      </c>
      <c r="G101" s="87" t="s">
        <v>2084</v>
      </c>
      <c r="H101" s="58" t="s">
        <v>2085</v>
      </c>
    </row>
    <row r="102" ht="15.75" customHeight="1">
      <c r="A102" s="56" t="s">
        <v>578</v>
      </c>
      <c r="B102" s="58" t="s">
        <v>579</v>
      </c>
      <c r="C102" s="58"/>
      <c r="D102" s="58"/>
      <c r="E102" s="58">
        <v>-1.0</v>
      </c>
      <c r="F102" s="89" t="s">
        <v>2390</v>
      </c>
      <c r="G102" s="87" t="s">
        <v>580</v>
      </c>
      <c r="H102" s="58" t="s">
        <v>581</v>
      </c>
    </row>
    <row r="103" ht="15.75" customHeight="1">
      <c r="A103" s="56" t="s">
        <v>584</v>
      </c>
      <c r="B103" s="58" t="s">
        <v>585</v>
      </c>
      <c r="C103" s="58"/>
      <c r="D103" s="58"/>
      <c r="E103" s="58">
        <v>-1.0</v>
      </c>
      <c r="F103" s="89" t="s">
        <v>2390</v>
      </c>
      <c r="G103" s="87" t="s">
        <v>2405</v>
      </c>
      <c r="H103" s="58" t="s">
        <v>587</v>
      </c>
    </row>
    <row r="104" ht="15.75" customHeight="1">
      <c r="A104" s="56" t="s">
        <v>590</v>
      </c>
      <c r="B104" s="58" t="s">
        <v>591</v>
      </c>
      <c r="C104" s="58"/>
      <c r="D104" s="58"/>
      <c r="E104" s="58">
        <v>-1.0</v>
      </c>
      <c r="F104" s="89" t="s">
        <v>2390</v>
      </c>
      <c r="G104" s="87" t="s">
        <v>2406</v>
      </c>
      <c r="H104" s="58" t="s">
        <v>593</v>
      </c>
    </row>
    <row r="105" ht="15.75" customHeight="1">
      <c r="A105" s="56" t="s">
        <v>596</v>
      </c>
      <c r="B105" s="58" t="s">
        <v>597</v>
      </c>
      <c r="C105" s="58"/>
      <c r="D105" s="58"/>
      <c r="E105" s="58">
        <v>-1.0</v>
      </c>
      <c r="F105" s="89" t="s">
        <v>2390</v>
      </c>
      <c r="G105" s="87" t="s">
        <v>598</v>
      </c>
      <c r="H105" s="58" t="s">
        <v>599</v>
      </c>
    </row>
    <row r="106" ht="15.75" customHeight="1">
      <c r="A106" s="56" t="s">
        <v>602</v>
      </c>
      <c r="B106" s="58" t="s">
        <v>2284</v>
      </c>
      <c r="C106" s="58"/>
      <c r="D106" s="58"/>
      <c r="E106" s="58">
        <v>-1.0</v>
      </c>
      <c r="F106" s="89" t="s">
        <v>2390</v>
      </c>
      <c r="G106" s="87" t="s">
        <v>2285</v>
      </c>
      <c r="H106" s="58" t="s">
        <v>2286</v>
      </c>
    </row>
    <row r="107" ht="15.75" customHeight="1">
      <c r="A107" s="56" t="s">
        <v>2014</v>
      </c>
      <c r="B107" s="58" t="s">
        <v>2015</v>
      </c>
      <c r="C107" s="58"/>
      <c r="D107" s="58"/>
      <c r="E107" s="58">
        <v>-1.0</v>
      </c>
      <c r="F107" s="89" t="s">
        <v>2390</v>
      </c>
      <c r="G107" s="87" t="s">
        <v>2016</v>
      </c>
      <c r="H107" s="58" t="s">
        <v>2017</v>
      </c>
    </row>
    <row r="108" ht="15.75" customHeight="1">
      <c r="A108" s="56" t="s">
        <v>608</v>
      </c>
      <c r="B108" s="58" t="s">
        <v>2238</v>
      </c>
      <c r="C108" s="58"/>
      <c r="D108" s="58"/>
      <c r="E108" s="58">
        <v>-1.0</v>
      </c>
      <c r="F108" s="89" t="s">
        <v>2390</v>
      </c>
      <c r="G108" s="58" t="s">
        <v>15</v>
      </c>
      <c r="H108" s="58" t="s">
        <v>593</v>
      </c>
    </row>
    <row r="109" ht="15.75" customHeight="1">
      <c r="A109" s="56" t="s">
        <v>612</v>
      </c>
      <c r="B109" s="89" t="s">
        <v>2407</v>
      </c>
      <c r="C109" s="58"/>
      <c r="D109" s="58"/>
      <c r="E109" s="58">
        <v>-1.0</v>
      </c>
      <c r="F109" s="89" t="s">
        <v>2390</v>
      </c>
      <c r="G109" s="58" t="s">
        <v>15</v>
      </c>
      <c r="H109" s="58"/>
    </row>
    <row r="110" ht="15.75" customHeight="1">
      <c r="A110" s="56" t="s">
        <v>2002</v>
      </c>
      <c r="B110" s="58" t="s">
        <v>2003</v>
      </c>
      <c r="C110" s="58"/>
      <c r="D110" s="58"/>
      <c r="E110" s="58">
        <v>-1.0</v>
      </c>
      <c r="F110" s="89" t="s">
        <v>2390</v>
      </c>
      <c r="G110" s="87" t="s">
        <v>2004</v>
      </c>
      <c r="H110" s="58" t="s">
        <v>2005</v>
      </c>
    </row>
    <row r="111" ht="15.75" customHeight="1">
      <c r="A111" s="56" t="s">
        <v>617</v>
      </c>
      <c r="B111" s="58" t="s">
        <v>618</v>
      </c>
      <c r="C111" s="58"/>
      <c r="D111" s="58"/>
      <c r="E111" s="58">
        <v>-1.0</v>
      </c>
      <c r="F111" s="89" t="s">
        <v>2390</v>
      </c>
      <c r="G111" s="87" t="s">
        <v>619</v>
      </c>
      <c r="H111" s="58" t="s">
        <v>620</v>
      </c>
    </row>
    <row r="112" ht="15.75" customHeight="1">
      <c r="A112" s="56" t="s">
        <v>2248</v>
      </c>
      <c r="B112" s="58" t="s">
        <v>2249</v>
      </c>
      <c r="C112" s="58"/>
      <c r="D112" s="58"/>
      <c r="E112" s="58">
        <v>-1.0</v>
      </c>
      <c r="F112" s="89" t="s">
        <v>2390</v>
      </c>
      <c r="G112" s="87" t="s">
        <v>2250</v>
      </c>
      <c r="H112" s="58" t="s">
        <v>2251</v>
      </c>
    </row>
    <row r="113" ht="15.75" customHeight="1">
      <c r="A113" s="56" t="s">
        <v>623</v>
      </c>
      <c r="B113" s="58" t="s">
        <v>624</v>
      </c>
      <c r="C113" s="58"/>
      <c r="D113" s="58"/>
      <c r="E113" s="58">
        <v>-1.0</v>
      </c>
      <c r="F113" s="89" t="s">
        <v>2390</v>
      </c>
      <c r="G113" s="87" t="s">
        <v>625</v>
      </c>
      <c r="H113" s="58" t="s">
        <v>626</v>
      </c>
    </row>
    <row r="114" ht="15.75" customHeight="1">
      <c r="A114" s="56" t="s">
        <v>629</v>
      </c>
      <c r="B114" s="58" t="s">
        <v>630</v>
      </c>
      <c r="C114" s="58"/>
      <c r="D114" s="58"/>
      <c r="E114" s="58">
        <v>-1.0</v>
      </c>
      <c r="F114" s="89" t="s">
        <v>2390</v>
      </c>
      <c r="G114" s="87" t="s">
        <v>631</v>
      </c>
      <c r="H114" s="58" t="s">
        <v>632</v>
      </c>
    </row>
    <row r="115" ht="15.75" customHeight="1">
      <c r="A115" s="56" t="s">
        <v>639</v>
      </c>
      <c r="B115" s="58" t="s">
        <v>640</v>
      </c>
      <c r="C115" s="58"/>
      <c r="D115" s="58"/>
      <c r="E115" s="58">
        <v>-1.0</v>
      </c>
      <c r="F115" s="89" t="s">
        <v>2390</v>
      </c>
      <c r="G115" s="87" t="s">
        <v>641</v>
      </c>
      <c r="H115" s="58" t="s">
        <v>642</v>
      </c>
    </row>
    <row r="116" ht="15.75" customHeight="1">
      <c r="A116" s="56" t="s">
        <v>645</v>
      </c>
      <c r="B116" s="58" t="s">
        <v>646</v>
      </c>
      <c r="C116" s="58"/>
      <c r="D116" s="58"/>
      <c r="E116" s="58">
        <v>-1.0</v>
      </c>
      <c r="F116" s="89" t="s">
        <v>2390</v>
      </c>
      <c r="G116" s="87" t="s">
        <v>647</v>
      </c>
      <c r="H116" s="58" t="s">
        <v>648</v>
      </c>
    </row>
    <row r="117" ht="15.75" customHeight="1">
      <c r="A117" s="56" t="s">
        <v>651</v>
      </c>
      <c r="B117" s="58" t="s">
        <v>652</v>
      </c>
      <c r="C117" s="58"/>
      <c r="D117" s="58"/>
      <c r="E117" s="58">
        <v>-1.0</v>
      </c>
      <c r="F117" s="89" t="s">
        <v>2384</v>
      </c>
      <c r="G117" s="87" t="s">
        <v>653</v>
      </c>
      <c r="H117" s="58" t="s">
        <v>654</v>
      </c>
    </row>
    <row r="118" ht="15.75" customHeight="1">
      <c r="A118" s="56" t="s">
        <v>657</v>
      </c>
      <c r="B118" s="58" t="s">
        <v>658</v>
      </c>
      <c r="C118" s="58"/>
      <c r="D118" s="58"/>
      <c r="E118" s="58">
        <v>-1.0</v>
      </c>
      <c r="F118" s="89" t="s">
        <v>2384</v>
      </c>
      <c r="G118" s="87" t="s">
        <v>659</v>
      </c>
      <c r="H118" s="58" t="s">
        <v>660</v>
      </c>
    </row>
    <row r="119" ht="15.75" customHeight="1">
      <c r="A119" s="56" t="s">
        <v>663</v>
      </c>
      <c r="B119" s="89" t="s">
        <v>664</v>
      </c>
      <c r="C119" s="58"/>
      <c r="D119" s="58"/>
      <c r="E119" s="58">
        <v>-1.0</v>
      </c>
      <c r="F119" s="89" t="s">
        <v>2384</v>
      </c>
      <c r="G119" s="87" t="s">
        <v>2341</v>
      </c>
      <c r="H119" s="58" t="s">
        <v>666</v>
      </c>
    </row>
    <row r="120" ht="15.75" customHeight="1">
      <c r="A120" s="56" t="s">
        <v>669</v>
      </c>
      <c r="B120" s="58" t="s">
        <v>694</v>
      </c>
      <c r="C120" s="58"/>
      <c r="D120" s="58"/>
      <c r="E120" s="58">
        <v>-1.0</v>
      </c>
      <c r="F120" s="89" t="s">
        <v>2384</v>
      </c>
      <c r="G120" s="87" t="s">
        <v>671</v>
      </c>
      <c r="H120" s="58" t="s">
        <v>2063</v>
      </c>
    </row>
    <row r="121" ht="15.75" customHeight="1">
      <c r="A121" s="56" t="s">
        <v>675</v>
      </c>
      <c r="B121" s="58" t="s">
        <v>676</v>
      </c>
      <c r="C121" s="58"/>
      <c r="D121" s="58"/>
      <c r="E121" s="58">
        <v>-1.0</v>
      </c>
      <c r="F121" s="89" t="s">
        <v>2384</v>
      </c>
      <c r="G121" s="87" t="s">
        <v>677</v>
      </c>
      <c r="H121" s="58" t="s">
        <v>678</v>
      </c>
    </row>
    <row r="122" ht="15.75" customHeight="1">
      <c r="A122" s="56" t="s">
        <v>681</v>
      </c>
      <c r="B122" s="58" t="s">
        <v>682</v>
      </c>
      <c r="C122" s="58"/>
      <c r="D122" s="58" t="s">
        <v>683</v>
      </c>
      <c r="E122" s="58">
        <v>-1.0</v>
      </c>
      <c r="F122" s="89" t="s">
        <v>2384</v>
      </c>
      <c r="G122" s="87" t="s">
        <v>684</v>
      </c>
      <c r="H122" s="58" t="s">
        <v>475</v>
      </c>
    </row>
    <row r="123" ht="15.75" customHeight="1">
      <c r="A123" s="56" t="s">
        <v>687</v>
      </c>
      <c r="B123" s="58" t="s">
        <v>688</v>
      </c>
      <c r="C123" s="58"/>
      <c r="D123" s="58"/>
      <c r="E123" s="58">
        <v>-1.0</v>
      </c>
      <c r="F123" s="89" t="s">
        <v>2384</v>
      </c>
      <c r="G123" s="87" t="s">
        <v>689</v>
      </c>
      <c r="H123" s="58" t="s">
        <v>690</v>
      </c>
    </row>
    <row r="124" ht="15.75" customHeight="1">
      <c r="A124" s="56" t="s">
        <v>693</v>
      </c>
      <c r="B124" s="58" t="s">
        <v>2260</v>
      </c>
      <c r="C124" s="58"/>
      <c r="D124" s="58"/>
      <c r="E124" s="58">
        <v>-1.0</v>
      </c>
      <c r="F124" s="89" t="s">
        <v>2384</v>
      </c>
      <c r="G124" s="87" t="s">
        <v>2261</v>
      </c>
      <c r="H124" s="58" t="s">
        <v>690</v>
      </c>
    </row>
    <row r="125" ht="15.75" customHeight="1">
      <c r="A125" s="56" t="s">
        <v>698</v>
      </c>
      <c r="B125" s="58" t="s">
        <v>699</v>
      </c>
      <c r="C125" s="58"/>
      <c r="D125" s="58"/>
      <c r="E125" s="58">
        <v>-1.0</v>
      </c>
      <c r="F125" s="89" t="s">
        <v>2390</v>
      </c>
      <c r="G125" s="87" t="s">
        <v>700</v>
      </c>
      <c r="H125" s="58" t="s">
        <v>701</v>
      </c>
    </row>
    <row r="126" ht="15.75" customHeight="1">
      <c r="A126" s="56" t="s">
        <v>704</v>
      </c>
      <c r="B126" s="58" t="s">
        <v>705</v>
      </c>
      <c r="C126" s="58"/>
      <c r="D126" s="58"/>
      <c r="E126" s="58">
        <v>-1.0</v>
      </c>
      <c r="F126" s="89" t="s">
        <v>2384</v>
      </c>
      <c r="G126" s="87" t="s">
        <v>706</v>
      </c>
      <c r="H126" s="58" t="s">
        <v>707</v>
      </c>
    </row>
    <row r="127" ht="15.75" customHeight="1">
      <c r="A127" s="56" t="s">
        <v>710</v>
      </c>
      <c r="B127" s="58" t="s">
        <v>711</v>
      </c>
      <c r="C127" s="58"/>
      <c r="D127" s="58"/>
      <c r="E127" s="58">
        <v>-1.0</v>
      </c>
      <c r="F127" s="89" t="s">
        <v>2384</v>
      </c>
      <c r="G127" s="87" t="s">
        <v>712</v>
      </c>
      <c r="H127" s="58" t="s">
        <v>690</v>
      </c>
    </row>
    <row r="128" ht="15.75" customHeight="1">
      <c r="A128" s="56" t="s">
        <v>715</v>
      </c>
      <c r="B128" s="58" t="s">
        <v>716</v>
      </c>
      <c r="C128" s="58"/>
      <c r="D128" s="58"/>
      <c r="E128" s="58">
        <v>-1.0</v>
      </c>
      <c r="F128" s="89" t="s">
        <v>2384</v>
      </c>
      <c r="G128" s="87" t="s">
        <v>717</v>
      </c>
      <c r="H128" s="58" t="s">
        <v>718</v>
      </c>
    </row>
    <row r="129" ht="15.75" customHeight="1">
      <c r="A129" s="56" t="s">
        <v>721</v>
      </c>
      <c r="B129" s="58" t="s">
        <v>722</v>
      </c>
      <c r="C129" s="58"/>
      <c r="D129" s="58"/>
      <c r="E129" s="58">
        <v>-1.0</v>
      </c>
      <c r="F129" s="89" t="s">
        <v>2384</v>
      </c>
      <c r="G129" s="87" t="s">
        <v>2408</v>
      </c>
      <c r="H129" s="58" t="s">
        <v>724</v>
      </c>
    </row>
    <row r="130" ht="15.75" customHeight="1">
      <c r="A130" s="56" t="s">
        <v>727</v>
      </c>
      <c r="B130" s="58" t="s">
        <v>728</v>
      </c>
      <c r="C130" s="58"/>
      <c r="D130" s="58"/>
      <c r="E130" s="58">
        <v>-1.0</v>
      </c>
      <c r="F130" s="89" t="s">
        <v>2384</v>
      </c>
      <c r="G130" s="87" t="s">
        <v>729</v>
      </c>
      <c r="H130" s="58" t="s">
        <v>730</v>
      </c>
    </row>
    <row r="131" ht="15.75" customHeight="1">
      <c r="A131" s="56" t="s">
        <v>733</v>
      </c>
      <c r="B131" s="58" t="s">
        <v>734</v>
      </c>
      <c r="C131" s="58"/>
      <c r="D131" s="58"/>
      <c r="E131" s="58">
        <v>-1.0</v>
      </c>
      <c r="F131" s="89" t="s">
        <v>2384</v>
      </c>
      <c r="G131" s="87" t="s">
        <v>735</v>
      </c>
      <c r="H131" s="58" t="s">
        <v>736</v>
      </c>
    </row>
    <row r="132" ht="15.75" customHeight="1">
      <c r="A132" s="56" t="s">
        <v>739</v>
      </c>
      <c r="B132" s="58" t="s">
        <v>740</v>
      </c>
      <c r="C132" s="58"/>
      <c r="D132" s="58"/>
      <c r="E132" s="58">
        <v>-1.0</v>
      </c>
      <c r="F132" s="89" t="s">
        <v>2384</v>
      </c>
      <c r="G132" s="87" t="s">
        <v>741</v>
      </c>
      <c r="H132" s="58" t="s">
        <v>742</v>
      </c>
    </row>
    <row r="133" ht="15.75" customHeight="1">
      <c r="A133" s="56" t="s">
        <v>745</v>
      </c>
      <c r="B133" s="58" t="s">
        <v>746</v>
      </c>
      <c r="C133" s="58"/>
      <c r="D133" s="58"/>
      <c r="E133" s="58">
        <v>-1.0</v>
      </c>
      <c r="F133" s="89" t="s">
        <v>2384</v>
      </c>
      <c r="G133" s="87" t="s">
        <v>2409</v>
      </c>
      <c r="H133" s="58" t="s">
        <v>748</v>
      </c>
    </row>
    <row r="134" ht="15.75" customHeight="1">
      <c r="A134" s="56" t="s">
        <v>751</v>
      </c>
      <c r="B134" s="58" t="s">
        <v>752</v>
      </c>
      <c r="C134" s="58"/>
      <c r="D134" s="58"/>
      <c r="E134" s="58">
        <v>-1.0</v>
      </c>
      <c r="F134" s="89" t="s">
        <v>2384</v>
      </c>
      <c r="G134" s="87" t="s">
        <v>754</v>
      </c>
      <c r="H134" s="58" t="s">
        <v>2353</v>
      </c>
    </row>
    <row r="135" ht="15.75" customHeight="1">
      <c r="A135" s="56" t="s">
        <v>758</v>
      </c>
      <c r="B135" s="58" t="s">
        <v>759</v>
      </c>
      <c r="C135" s="58"/>
      <c r="D135" s="58"/>
      <c r="E135" s="58">
        <v>-1.0</v>
      </c>
      <c r="F135" s="89" t="s">
        <v>2384</v>
      </c>
      <c r="G135" s="87" t="s">
        <v>760</v>
      </c>
      <c r="H135" s="58" t="s">
        <v>761</v>
      </c>
    </row>
    <row r="136" ht="15.75" customHeight="1">
      <c r="A136" s="56" t="s">
        <v>764</v>
      </c>
      <c r="B136" s="58" t="s">
        <v>765</v>
      </c>
      <c r="C136" s="58"/>
      <c r="D136" s="58"/>
      <c r="E136" s="58">
        <v>-1.0</v>
      </c>
      <c r="F136" s="89" t="s">
        <v>2384</v>
      </c>
      <c r="G136" s="87" t="s">
        <v>766</v>
      </c>
      <c r="H136" s="58" t="s">
        <v>767</v>
      </c>
    </row>
    <row r="137" ht="15.75" customHeight="1">
      <c r="A137" s="56" t="s">
        <v>770</v>
      </c>
      <c r="B137" s="58" t="s">
        <v>771</v>
      </c>
      <c r="C137" s="58"/>
      <c r="D137" s="58"/>
      <c r="E137" s="58">
        <v>-1.0</v>
      </c>
      <c r="F137" s="89" t="s">
        <v>2384</v>
      </c>
      <c r="G137" s="87" t="s">
        <v>772</v>
      </c>
      <c r="H137" s="58" t="s">
        <v>773</v>
      </c>
    </row>
    <row r="138" ht="15.75" customHeight="1">
      <c r="A138" s="56" t="s">
        <v>776</v>
      </c>
      <c r="B138" s="58" t="s">
        <v>777</v>
      </c>
      <c r="C138" s="58"/>
      <c r="D138" s="58"/>
      <c r="E138" s="58">
        <v>-1.0</v>
      </c>
      <c r="F138" s="89" t="s">
        <v>2384</v>
      </c>
      <c r="G138" s="87" t="s">
        <v>778</v>
      </c>
      <c r="H138" s="58" t="s">
        <v>779</v>
      </c>
    </row>
    <row r="139" ht="15.75" customHeight="1">
      <c r="A139" s="56" t="s">
        <v>782</v>
      </c>
      <c r="B139" s="58" t="s">
        <v>783</v>
      </c>
      <c r="C139" s="58"/>
      <c r="D139" s="58"/>
      <c r="E139" s="58">
        <v>-1.0</v>
      </c>
      <c r="F139" s="89" t="s">
        <v>2384</v>
      </c>
      <c r="G139" s="87" t="s">
        <v>2410</v>
      </c>
      <c r="H139" s="58" t="s">
        <v>779</v>
      </c>
    </row>
    <row r="140" ht="15.75" customHeight="1">
      <c r="A140" s="56" t="s">
        <v>787</v>
      </c>
      <c r="B140" s="58" t="s">
        <v>788</v>
      </c>
      <c r="C140" s="58"/>
      <c r="D140" s="58"/>
      <c r="E140" s="58">
        <v>-1.0</v>
      </c>
      <c r="F140" s="89" t="s">
        <v>2384</v>
      </c>
      <c r="G140" s="87" t="s">
        <v>789</v>
      </c>
      <c r="H140" s="58" t="s">
        <v>790</v>
      </c>
    </row>
    <row r="141" ht="15.75" customHeight="1">
      <c r="A141" s="56" t="s">
        <v>793</v>
      </c>
      <c r="B141" s="58" t="s">
        <v>794</v>
      </c>
      <c r="C141" s="58"/>
      <c r="D141" s="58"/>
      <c r="E141" s="58">
        <v>-1.0</v>
      </c>
      <c r="F141" s="89" t="s">
        <v>2384</v>
      </c>
      <c r="G141" s="87" t="s">
        <v>795</v>
      </c>
      <c r="H141" s="58" t="s">
        <v>796</v>
      </c>
    </row>
    <row r="142" ht="15.75" customHeight="1">
      <c r="A142" s="56" t="s">
        <v>799</v>
      </c>
      <c r="B142" s="58" t="s">
        <v>800</v>
      </c>
      <c r="C142" s="58"/>
      <c r="D142" s="58"/>
      <c r="E142" s="58">
        <v>-1.0</v>
      </c>
      <c r="F142" s="89" t="s">
        <v>2384</v>
      </c>
      <c r="G142" s="87" t="s">
        <v>801</v>
      </c>
      <c r="H142" s="58" t="s">
        <v>802</v>
      </c>
    </row>
    <row r="143" ht="15.75" customHeight="1">
      <c r="A143" s="56" t="s">
        <v>805</v>
      </c>
      <c r="B143" s="58" t="s">
        <v>806</v>
      </c>
      <c r="C143" s="58"/>
      <c r="D143" s="58"/>
      <c r="E143" s="58">
        <v>-1.0</v>
      </c>
      <c r="F143" s="89" t="s">
        <v>2384</v>
      </c>
      <c r="G143" s="87" t="s">
        <v>807</v>
      </c>
      <c r="H143" s="58" t="s">
        <v>808</v>
      </c>
    </row>
    <row r="144" ht="15.75" customHeight="1">
      <c r="A144" s="56" t="s">
        <v>811</v>
      </c>
      <c r="B144" s="58" t="s">
        <v>812</v>
      </c>
      <c r="C144" s="58"/>
      <c r="D144" s="58"/>
      <c r="E144" s="58">
        <v>-1.0</v>
      </c>
      <c r="F144" s="89" t="s">
        <v>2384</v>
      </c>
      <c r="G144" s="87" t="s">
        <v>813</v>
      </c>
      <c r="H144" s="58" t="s">
        <v>814</v>
      </c>
    </row>
    <row r="145" ht="15.75" customHeight="1">
      <c r="A145" s="56" t="s">
        <v>817</v>
      </c>
      <c r="B145" s="58" t="s">
        <v>818</v>
      </c>
      <c r="C145" s="58"/>
      <c r="D145" s="58"/>
      <c r="E145" s="58">
        <v>-1.0</v>
      </c>
      <c r="F145" s="89" t="s">
        <v>2384</v>
      </c>
      <c r="G145" s="87" t="s">
        <v>819</v>
      </c>
      <c r="H145" s="58" t="s">
        <v>511</v>
      </c>
    </row>
    <row r="146" ht="15.75" customHeight="1">
      <c r="A146" s="56" t="s">
        <v>822</v>
      </c>
      <c r="B146" s="58" t="s">
        <v>343</v>
      </c>
      <c r="C146" s="58"/>
      <c r="D146" s="58"/>
      <c r="E146" s="58">
        <v>-1.0</v>
      </c>
      <c r="F146" s="89" t="s">
        <v>2384</v>
      </c>
      <c r="G146" s="87" t="s">
        <v>2411</v>
      </c>
      <c r="H146" s="58" t="s">
        <v>345</v>
      </c>
    </row>
    <row r="147" ht="15.75" customHeight="1">
      <c r="A147" s="56" t="s">
        <v>828</v>
      </c>
      <c r="B147" s="58" t="s">
        <v>2412</v>
      </c>
      <c r="C147" s="58"/>
      <c r="D147" s="58"/>
      <c r="E147" s="58">
        <v>-1.0</v>
      </c>
      <c r="F147" s="89" t="s">
        <v>2384</v>
      </c>
      <c r="G147" s="87" t="s">
        <v>830</v>
      </c>
      <c r="H147" s="58" t="s">
        <v>388</v>
      </c>
    </row>
    <row r="148" ht="15.75" customHeight="1">
      <c r="A148" s="56" t="s">
        <v>833</v>
      </c>
      <c r="B148" s="58" t="s">
        <v>399</v>
      </c>
      <c r="C148" s="58"/>
      <c r="D148" s="58"/>
      <c r="E148" s="58">
        <v>-1.0</v>
      </c>
      <c r="F148" s="89" t="s">
        <v>2384</v>
      </c>
      <c r="G148" s="87" t="s">
        <v>400</v>
      </c>
      <c r="H148" s="58" t="s">
        <v>401</v>
      </c>
    </row>
    <row r="149" ht="15.75" customHeight="1">
      <c r="A149" s="56" t="s">
        <v>837</v>
      </c>
      <c r="B149" s="58" t="s">
        <v>838</v>
      </c>
      <c r="C149" s="58"/>
      <c r="D149" s="58"/>
      <c r="E149" s="58">
        <v>-1.0</v>
      </c>
      <c r="F149" s="89" t="s">
        <v>2390</v>
      </c>
      <c r="G149" s="87" t="s">
        <v>839</v>
      </c>
      <c r="H149" s="58" t="s">
        <v>840</v>
      </c>
    </row>
    <row r="150" ht="15.75" customHeight="1">
      <c r="A150" s="56" t="s">
        <v>834</v>
      </c>
      <c r="B150" s="58" t="s">
        <v>2215</v>
      </c>
      <c r="C150" s="58"/>
      <c r="D150" s="58"/>
      <c r="E150" s="58">
        <v>-1.0</v>
      </c>
      <c r="F150" s="89" t="s">
        <v>2384</v>
      </c>
      <c r="G150" s="87" t="s">
        <v>2413</v>
      </c>
      <c r="H150" s="58" t="s">
        <v>2217</v>
      </c>
    </row>
    <row r="151" ht="15.75" customHeight="1">
      <c r="A151" s="56" t="s">
        <v>843</v>
      </c>
      <c r="B151" s="58" t="s">
        <v>845</v>
      </c>
      <c r="C151" s="136"/>
      <c r="D151" s="58"/>
      <c r="E151" s="58">
        <v>-1.0</v>
      </c>
      <c r="F151" s="89" t="s">
        <v>2390</v>
      </c>
      <c r="G151" s="58" t="s">
        <v>15</v>
      </c>
      <c r="H151" s="58" t="s">
        <v>407</v>
      </c>
    </row>
    <row r="152" ht="15.75" customHeight="1">
      <c r="A152" s="56" t="s">
        <v>843</v>
      </c>
      <c r="B152" s="58" t="s">
        <v>862</v>
      </c>
      <c r="C152" s="136"/>
      <c r="D152" s="58"/>
      <c r="E152" s="58">
        <v>-1.0</v>
      </c>
      <c r="F152" s="89" t="s">
        <v>2382</v>
      </c>
      <c r="G152" s="87" t="s">
        <v>863</v>
      </c>
      <c r="H152" s="58" t="s">
        <v>117</v>
      </c>
    </row>
    <row r="153" ht="15.75" customHeight="1">
      <c r="A153" s="56" t="s">
        <v>843</v>
      </c>
      <c r="B153" s="58" t="s">
        <v>114</v>
      </c>
      <c r="C153" s="136" t="s">
        <v>844</v>
      </c>
      <c r="D153" s="58"/>
      <c r="E153" s="58">
        <v>-1.0</v>
      </c>
      <c r="F153" s="89" t="s">
        <v>2382</v>
      </c>
      <c r="G153" s="87" t="s">
        <v>116</v>
      </c>
      <c r="H153" s="58" t="s">
        <v>117</v>
      </c>
    </row>
    <row r="154" ht="15.75" customHeight="1">
      <c r="A154" s="56" t="s">
        <v>870</v>
      </c>
      <c r="B154" s="58" t="s">
        <v>424</v>
      </c>
      <c r="C154" s="58"/>
      <c r="D154" s="58"/>
      <c r="E154" s="58">
        <v>-1.0</v>
      </c>
      <c r="F154" s="89" t="s">
        <v>2384</v>
      </c>
      <c r="G154" s="87" t="s">
        <v>425</v>
      </c>
      <c r="H154" s="58" t="s">
        <v>426</v>
      </c>
    </row>
    <row r="155" ht="15.75" customHeight="1">
      <c r="A155" s="56" t="s">
        <v>896</v>
      </c>
      <c r="B155" s="58" t="s">
        <v>462</v>
      </c>
      <c r="C155" s="58"/>
      <c r="D155" s="58"/>
      <c r="E155" s="58">
        <v>-1.0</v>
      </c>
      <c r="F155" s="89" t="s">
        <v>2382</v>
      </c>
      <c r="G155" s="87" t="s">
        <v>463</v>
      </c>
      <c r="H155" s="58" t="s">
        <v>464</v>
      </c>
    </row>
    <row r="156" ht="15.75" customHeight="1">
      <c r="A156" s="139" t="s">
        <v>944</v>
      </c>
      <c r="B156" s="58" t="s">
        <v>945</v>
      </c>
      <c r="C156" s="58"/>
      <c r="D156" s="58"/>
      <c r="E156" s="58">
        <v>-1.0</v>
      </c>
      <c r="F156" s="89" t="s">
        <v>2382</v>
      </c>
      <c r="G156" s="87" t="s">
        <v>946</v>
      </c>
      <c r="H156" s="58" t="s">
        <v>947</v>
      </c>
    </row>
    <row r="157" ht="15.75" customHeight="1">
      <c r="A157" s="139" t="s">
        <v>949</v>
      </c>
      <c r="B157" s="58" t="s">
        <v>945</v>
      </c>
      <c r="C157" s="58"/>
      <c r="D157" s="58"/>
      <c r="E157" s="58">
        <v>-1.0</v>
      </c>
      <c r="F157" s="89" t="s">
        <v>2382</v>
      </c>
      <c r="G157" s="87" t="s">
        <v>946</v>
      </c>
      <c r="H157" s="58" t="s">
        <v>947</v>
      </c>
    </row>
    <row r="158" ht="15.75" customHeight="1">
      <c r="A158" s="56" t="s">
        <v>950</v>
      </c>
      <c r="B158" s="58" t="s">
        <v>2414</v>
      </c>
      <c r="C158" s="58"/>
      <c r="D158" s="58"/>
      <c r="E158" s="58">
        <v>-1.0</v>
      </c>
      <c r="F158" s="89" t="s">
        <v>2382</v>
      </c>
      <c r="G158" s="87" t="s">
        <v>952</v>
      </c>
      <c r="H158" s="58" t="s">
        <v>953</v>
      </c>
    </row>
    <row r="159" ht="15.75" customHeight="1">
      <c r="A159" s="56" t="s">
        <v>954</v>
      </c>
      <c r="B159" s="58" t="s">
        <v>955</v>
      </c>
      <c r="C159" s="58"/>
      <c r="D159" s="58"/>
      <c r="E159" s="58">
        <v>-1.0</v>
      </c>
      <c r="F159" s="89" t="s">
        <v>2382</v>
      </c>
      <c r="G159" s="87" t="s">
        <v>952</v>
      </c>
      <c r="H159" s="58" t="s">
        <v>953</v>
      </c>
    </row>
    <row r="160" ht="15.75" customHeight="1">
      <c r="A160" s="56" t="s">
        <v>956</v>
      </c>
      <c r="B160" s="58" t="s">
        <v>957</v>
      </c>
      <c r="C160" s="58"/>
      <c r="D160" s="58"/>
      <c r="E160" s="58">
        <v>-1.0</v>
      </c>
      <c r="F160" s="89" t="s">
        <v>2382</v>
      </c>
      <c r="G160" s="87" t="s">
        <v>958</v>
      </c>
      <c r="H160" s="58" t="s">
        <v>959</v>
      </c>
    </row>
    <row r="161" ht="15.75" customHeight="1">
      <c r="A161" s="56" t="s">
        <v>960</v>
      </c>
      <c r="B161" s="58" t="s">
        <v>961</v>
      </c>
      <c r="C161" s="58"/>
      <c r="D161" s="58"/>
      <c r="E161" s="58">
        <v>-1.0</v>
      </c>
      <c r="F161" s="89" t="s">
        <v>2382</v>
      </c>
      <c r="G161" s="87" t="s">
        <v>962</v>
      </c>
      <c r="H161" s="58" t="s">
        <v>963</v>
      </c>
    </row>
    <row r="162" ht="15.75" customHeight="1">
      <c r="A162" s="56" t="s">
        <v>964</v>
      </c>
      <c r="B162" s="58" t="s">
        <v>466</v>
      </c>
      <c r="C162" s="58"/>
      <c r="D162" s="58"/>
      <c r="E162" s="58">
        <v>-1.0</v>
      </c>
      <c r="F162" s="89" t="s">
        <v>2401</v>
      </c>
      <c r="G162" s="58" t="s">
        <v>15</v>
      </c>
      <c r="H162" s="58" t="s">
        <v>467</v>
      </c>
    </row>
    <row r="163" ht="15.75" customHeight="1">
      <c r="A163" s="56" t="s">
        <v>965</v>
      </c>
      <c r="B163" s="58" t="s">
        <v>466</v>
      </c>
      <c r="C163" s="58"/>
      <c r="D163" s="58"/>
      <c r="E163" s="58">
        <v>-1.0</v>
      </c>
      <c r="F163" s="89" t="s">
        <v>2401</v>
      </c>
      <c r="G163" s="58" t="s">
        <v>15</v>
      </c>
      <c r="H163" s="58" t="s">
        <v>467</v>
      </c>
    </row>
    <row r="164" ht="15.75" customHeight="1">
      <c r="A164" s="56" t="s">
        <v>970</v>
      </c>
      <c r="B164" s="58" t="s">
        <v>971</v>
      </c>
      <c r="C164" s="58"/>
      <c r="D164" s="58"/>
      <c r="E164" s="58">
        <v>0.0</v>
      </c>
      <c r="F164" s="89" t="s">
        <v>2415</v>
      </c>
      <c r="G164" s="58" t="s">
        <v>15</v>
      </c>
      <c r="H164" s="58" t="s">
        <v>972</v>
      </c>
    </row>
    <row r="165" ht="15.75" customHeight="1">
      <c r="A165" s="56" t="s">
        <v>970</v>
      </c>
      <c r="B165" s="58" t="s">
        <v>1566</v>
      </c>
      <c r="C165" s="136" t="s">
        <v>974</v>
      </c>
      <c r="D165" s="58"/>
      <c r="E165" s="58">
        <v>0.0</v>
      </c>
      <c r="F165" s="89" t="s">
        <v>2415</v>
      </c>
      <c r="G165" s="58" t="s">
        <v>15</v>
      </c>
      <c r="H165" s="58" t="s">
        <v>972</v>
      </c>
    </row>
    <row r="166" ht="15.75" customHeight="1">
      <c r="A166" s="56" t="s">
        <v>970</v>
      </c>
      <c r="B166" s="58" t="s">
        <v>973</v>
      </c>
      <c r="C166" s="136" t="s">
        <v>974</v>
      </c>
      <c r="D166" s="58"/>
      <c r="E166" s="58">
        <v>0.0</v>
      </c>
      <c r="F166" s="89" t="s">
        <v>2415</v>
      </c>
      <c r="G166" s="58" t="s">
        <v>15</v>
      </c>
      <c r="H166" s="58" t="s">
        <v>972</v>
      </c>
    </row>
    <row r="167" ht="15.75" customHeight="1">
      <c r="A167" s="56" t="s">
        <v>970</v>
      </c>
      <c r="B167" s="58" t="s">
        <v>976</v>
      </c>
      <c r="C167" s="136" t="s">
        <v>974</v>
      </c>
      <c r="D167" s="58"/>
      <c r="E167" s="58">
        <v>0.0</v>
      </c>
      <c r="F167" s="89" t="s">
        <v>2415</v>
      </c>
      <c r="G167" s="58" t="s">
        <v>15</v>
      </c>
      <c r="H167" s="58" t="s">
        <v>972</v>
      </c>
    </row>
    <row r="168" ht="15.75" customHeight="1">
      <c r="A168" s="56" t="s">
        <v>970</v>
      </c>
      <c r="B168" s="58" t="s">
        <v>2416</v>
      </c>
      <c r="C168" s="136" t="s">
        <v>974</v>
      </c>
      <c r="D168" s="58"/>
      <c r="E168" s="58">
        <v>0.0</v>
      </c>
      <c r="F168" s="89" t="s">
        <v>2415</v>
      </c>
      <c r="G168" s="58" t="s">
        <v>15</v>
      </c>
      <c r="H168" s="58" t="s">
        <v>972</v>
      </c>
    </row>
    <row r="169" ht="15.75" customHeight="1">
      <c r="A169" s="56" t="s">
        <v>970</v>
      </c>
      <c r="B169" s="58" t="s">
        <v>977</v>
      </c>
      <c r="C169" s="136" t="s">
        <v>974</v>
      </c>
      <c r="D169" s="58"/>
      <c r="E169" s="58">
        <v>0.0</v>
      </c>
      <c r="F169" s="89" t="s">
        <v>2415</v>
      </c>
      <c r="G169" s="58" t="s">
        <v>15</v>
      </c>
      <c r="H169" s="58" t="s">
        <v>972</v>
      </c>
    </row>
    <row r="170" ht="15.75" customHeight="1">
      <c r="A170" s="56" t="s">
        <v>970</v>
      </c>
      <c r="B170" s="58" t="s">
        <v>2417</v>
      </c>
      <c r="C170" s="136" t="s">
        <v>974</v>
      </c>
      <c r="D170" s="58"/>
      <c r="E170" s="58">
        <v>0.0</v>
      </c>
      <c r="F170" s="89" t="s">
        <v>2415</v>
      </c>
      <c r="G170" s="58" t="s">
        <v>15</v>
      </c>
      <c r="H170" s="58" t="s">
        <v>972</v>
      </c>
    </row>
    <row r="171" ht="15.75" customHeight="1">
      <c r="A171" s="56" t="s">
        <v>970</v>
      </c>
      <c r="B171" s="58" t="s">
        <v>2418</v>
      </c>
      <c r="C171" s="136" t="s">
        <v>974</v>
      </c>
      <c r="D171" s="58"/>
      <c r="E171" s="58">
        <v>0.0</v>
      </c>
      <c r="F171" s="89" t="s">
        <v>2415</v>
      </c>
      <c r="G171" s="58" t="s">
        <v>15</v>
      </c>
      <c r="H171" s="58" t="s">
        <v>972</v>
      </c>
    </row>
    <row r="172" ht="15.75" customHeight="1">
      <c r="A172" s="56" t="s">
        <v>2419</v>
      </c>
      <c r="B172" s="58" t="s">
        <v>971</v>
      </c>
      <c r="C172" s="58"/>
      <c r="D172" s="58"/>
      <c r="E172" s="58">
        <v>0.0</v>
      </c>
      <c r="F172" s="89" t="s">
        <v>2415</v>
      </c>
      <c r="G172" s="58" t="s">
        <v>15</v>
      </c>
      <c r="H172" s="58" t="s">
        <v>972</v>
      </c>
    </row>
    <row r="173" ht="15.75" customHeight="1">
      <c r="A173" s="56" t="s">
        <v>2419</v>
      </c>
      <c r="B173" s="58" t="s">
        <v>2420</v>
      </c>
      <c r="C173" s="136" t="s">
        <v>974</v>
      </c>
      <c r="D173" s="58"/>
      <c r="E173" s="58">
        <v>0.0</v>
      </c>
      <c r="F173" s="89" t="s">
        <v>2415</v>
      </c>
      <c r="G173" s="58" t="s">
        <v>15</v>
      </c>
      <c r="H173" s="58" t="s">
        <v>972</v>
      </c>
    </row>
    <row r="174" ht="15.75" customHeight="1">
      <c r="A174" s="56" t="s">
        <v>2419</v>
      </c>
      <c r="B174" s="58" t="s">
        <v>978</v>
      </c>
      <c r="C174" s="136" t="s">
        <v>974</v>
      </c>
      <c r="D174" s="58"/>
      <c r="E174" s="58">
        <v>0.0</v>
      </c>
      <c r="F174" s="89" t="s">
        <v>2415</v>
      </c>
      <c r="G174" s="58" t="s">
        <v>15</v>
      </c>
      <c r="H174" s="58" t="s">
        <v>972</v>
      </c>
    </row>
    <row r="175" ht="15.75" customHeight="1">
      <c r="A175" s="56" t="s">
        <v>2419</v>
      </c>
      <c r="B175" s="58" t="s">
        <v>979</v>
      </c>
      <c r="C175" s="136" t="s">
        <v>974</v>
      </c>
      <c r="D175" s="58"/>
      <c r="E175" s="58">
        <v>0.0</v>
      </c>
      <c r="F175" s="89" t="s">
        <v>2415</v>
      </c>
      <c r="G175" s="58" t="s">
        <v>15</v>
      </c>
      <c r="H175" s="58" t="s">
        <v>972</v>
      </c>
    </row>
    <row r="176" ht="15.75" customHeight="1">
      <c r="A176" s="56" t="s">
        <v>980</v>
      </c>
      <c r="B176" s="58" t="s">
        <v>134</v>
      </c>
      <c r="C176" s="58"/>
      <c r="D176" s="58"/>
      <c r="E176" s="58">
        <v>0.0</v>
      </c>
      <c r="F176" s="89" t="s">
        <v>2382</v>
      </c>
      <c r="G176" s="58" t="s">
        <v>15</v>
      </c>
      <c r="H176" s="58" t="s">
        <v>135</v>
      </c>
    </row>
    <row r="177" ht="15.75" customHeight="1">
      <c r="A177" s="56" t="s">
        <v>981</v>
      </c>
      <c r="B177" s="58" t="s">
        <v>982</v>
      </c>
      <c r="C177" s="58"/>
      <c r="D177" s="58"/>
      <c r="E177" s="58">
        <v>0.0</v>
      </c>
      <c r="F177" s="89" t="s">
        <v>2382</v>
      </c>
      <c r="G177" s="58" t="s">
        <v>15</v>
      </c>
      <c r="H177" s="58" t="s">
        <v>27</v>
      </c>
    </row>
    <row r="178" ht="15.75" customHeight="1">
      <c r="A178" s="56" t="s">
        <v>983</v>
      </c>
      <c r="B178" s="58" t="s">
        <v>472</v>
      </c>
      <c r="C178" s="58"/>
      <c r="D178" s="58"/>
      <c r="E178" s="58">
        <v>0.0</v>
      </c>
      <c r="F178" s="89" t="s">
        <v>2382</v>
      </c>
      <c r="G178" s="58" t="s">
        <v>15</v>
      </c>
      <c r="H178" s="58" t="s">
        <v>27</v>
      </c>
    </row>
    <row r="179" ht="15.75" customHeight="1">
      <c r="A179" s="56" t="s">
        <v>984</v>
      </c>
      <c r="B179" s="58" t="s">
        <v>985</v>
      </c>
      <c r="C179" s="58"/>
      <c r="D179" s="58"/>
      <c r="E179" s="58">
        <v>0.0</v>
      </c>
      <c r="F179" s="89" t="s">
        <v>2382</v>
      </c>
      <c r="G179" s="58" t="s">
        <v>15</v>
      </c>
      <c r="H179" s="58" t="s">
        <v>27</v>
      </c>
    </row>
    <row r="180" ht="15.75" customHeight="1">
      <c r="A180" s="56" t="s">
        <v>986</v>
      </c>
      <c r="B180" s="58" t="s">
        <v>2132</v>
      </c>
      <c r="C180" s="58"/>
      <c r="D180" s="58"/>
      <c r="E180" s="58">
        <v>0.0</v>
      </c>
      <c r="F180" s="89" t="s">
        <v>2390</v>
      </c>
      <c r="G180" s="87" t="s">
        <v>988</v>
      </c>
      <c r="H180" s="58" t="s">
        <v>989</v>
      </c>
    </row>
    <row r="181" ht="15.75" customHeight="1">
      <c r="A181" s="56" t="s">
        <v>992</v>
      </c>
      <c r="B181" s="58" t="s">
        <v>993</v>
      </c>
      <c r="C181" s="58"/>
      <c r="D181" s="58"/>
      <c r="E181" s="58">
        <v>0.0</v>
      </c>
      <c r="F181" s="89" t="s">
        <v>2384</v>
      </c>
      <c r="G181" s="87" t="s">
        <v>994</v>
      </c>
      <c r="H181" s="58" t="s">
        <v>995</v>
      </c>
    </row>
    <row r="182" ht="15.75" customHeight="1">
      <c r="A182" s="56" t="s">
        <v>997</v>
      </c>
      <c r="B182" s="58" t="s">
        <v>2035</v>
      </c>
      <c r="C182" s="58"/>
      <c r="D182" s="58"/>
      <c r="E182" s="58">
        <v>0.0</v>
      </c>
      <c r="F182" s="89" t="s">
        <v>2384</v>
      </c>
      <c r="G182" s="87" t="s">
        <v>2036</v>
      </c>
      <c r="H182" s="58" t="s">
        <v>2037</v>
      </c>
    </row>
    <row r="183" ht="15.75" customHeight="1">
      <c r="A183" s="56" t="s">
        <v>1002</v>
      </c>
      <c r="B183" s="58" t="s">
        <v>1003</v>
      </c>
      <c r="C183" s="58"/>
      <c r="D183" s="58"/>
      <c r="E183" s="58">
        <v>0.0</v>
      </c>
      <c r="F183" s="89" t="s">
        <v>2384</v>
      </c>
      <c r="G183" s="87" t="s">
        <v>1004</v>
      </c>
      <c r="H183" s="58" t="s">
        <v>1005</v>
      </c>
    </row>
    <row r="184" ht="15.75" customHeight="1">
      <c r="A184" s="56" t="s">
        <v>1008</v>
      </c>
      <c r="B184" s="58" t="s">
        <v>1009</v>
      </c>
      <c r="C184" s="58"/>
      <c r="D184" s="58"/>
      <c r="E184" s="58">
        <v>0.0</v>
      </c>
      <c r="F184" s="89" t="s">
        <v>2390</v>
      </c>
      <c r="G184" s="87" t="s">
        <v>2421</v>
      </c>
      <c r="H184" s="58" t="s">
        <v>1011</v>
      </c>
    </row>
    <row r="185" ht="15.75" customHeight="1">
      <c r="A185" s="56" t="s">
        <v>1014</v>
      </c>
      <c r="B185" s="58" t="s">
        <v>1015</v>
      </c>
      <c r="C185" s="58"/>
      <c r="D185" s="58"/>
      <c r="E185" s="58">
        <v>0.0</v>
      </c>
      <c r="F185" s="89" t="s">
        <v>2390</v>
      </c>
      <c r="G185" s="87" t="s">
        <v>1016</v>
      </c>
      <c r="H185" s="58" t="s">
        <v>1017</v>
      </c>
    </row>
    <row r="186" ht="15.75" customHeight="1">
      <c r="A186" s="56" t="s">
        <v>1019</v>
      </c>
      <c r="B186" s="58" t="s">
        <v>1020</v>
      </c>
      <c r="C186" s="58"/>
      <c r="D186" s="58"/>
      <c r="E186" s="58">
        <v>0.0</v>
      </c>
      <c r="F186" s="89" t="s">
        <v>2384</v>
      </c>
      <c r="G186" s="87" t="s">
        <v>1021</v>
      </c>
      <c r="H186" s="58" t="s">
        <v>1022</v>
      </c>
    </row>
    <row r="187" ht="15.75" customHeight="1">
      <c r="A187" s="56" t="s">
        <v>1025</v>
      </c>
      <c r="B187" s="58" t="s">
        <v>1026</v>
      </c>
      <c r="C187" s="136"/>
      <c r="D187" s="58"/>
      <c r="E187" s="58">
        <v>0.0</v>
      </c>
      <c r="F187" s="89" t="s">
        <v>2384</v>
      </c>
      <c r="G187" s="87" t="s">
        <v>1027</v>
      </c>
      <c r="H187" s="58"/>
    </row>
    <row r="188" ht="15.75" customHeight="1">
      <c r="A188" s="56" t="s">
        <v>1030</v>
      </c>
      <c r="B188" s="58" t="s">
        <v>1031</v>
      </c>
      <c r="C188" s="58"/>
      <c r="D188" s="58"/>
      <c r="E188" s="58">
        <v>0.0</v>
      </c>
      <c r="F188" s="89" t="s">
        <v>2390</v>
      </c>
      <c r="G188" s="87" t="s">
        <v>1032</v>
      </c>
      <c r="H188" s="58" t="s">
        <v>1033</v>
      </c>
    </row>
    <row r="189" ht="15.75" customHeight="1">
      <c r="A189" s="56" t="s">
        <v>1036</v>
      </c>
      <c r="B189" s="58" t="s">
        <v>2065</v>
      </c>
      <c r="C189" s="58"/>
      <c r="D189" s="58"/>
      <c r="E189" s="58">
        <v>0.0</v>
      </c>
      <c r="F189" s="89" t="s">
        <v>2384</v>
      </c>
      <c r="G189" s="87" t="s">
        <v>1038</v>
      </c>
      <c r="H189" s="58" t="s">
        <v>2037</v>
      </c>
    </row>
    <row r="190" ht="15.75" customHeight="1">
      <c r="A190" s="56" t="s">
        <v>1041</v>
      </c>
      <c r="B190" s="58" t="s">
        <v>1042</v>
      </c>
      <c r="C190" s="58"/>
      <c r="D190" s="58"/>
      <c r="E190" s="58">
        <v>0.0</v>
      </c>
      <c r="F190" s="89" t="s">
        <v>2384</v>
      </c>
      <c r="G190" s="87" t="s">
        <v>1043</v>
      </c>
      <c r="H190" s="58" t="s">
        <v>2037</v>
      </c>
    </row>
    <row r="191" ht="15.75" customHeight="1">
      <c r="A191" s="56" t="s">
        <v>1046</v>
      </c>
      <c r="B191" s="58" t="s">
        <v>1047</v>
      </c>
      <c r="C191" s="58"/>
      <c r="D191" s="58"/>
      <c r="E191" s="58">
        <v>0.0</v>
      </c>
      <c r="F191" s="89" t="s">
        <v>2384</v>
      </c>
      <c r="G191" s="87" t="s">
        <v>1048</v>
      </c>
      <c r="H191" s="58" t="s">
        <v>1049</v>
      </c>
    </row>
    <row r="192" ht="15.75" customHeight="1">
      <c r="A192" s="56" t="s">
        <v>1052</v>
      </c>
      <c r="B192" s="58" t="s">
        <v>1053</v>
      </c>
      <c r="C192" s="58"/>
      <c r="D192" s="58"/>
      <c r="E192" s="58">
        <v>0.0</v>
      </c>
      <c r="F192" s="89" t="s">
        <v>2384</v>
      </c>
      <c r="G192" s="87" t="s">
        <v>1054</v>
      </c>
      <c r="H192" s="58" t="s">
        <v>1055</v>
      </c>
    </row>
    <row r="193" ht="15.75" customHeight="1">
      <c r="A193" s="56" t="s">
        <v>1058</v>
      </c>
      <c r="B193" s="58" t="s">
        <v>2422</v>
      </c>
      <c r="C193" s="58"/>
      <c r="D193" s="58"/>
      <c r="E193" s="58">
        <v>0.0</v>
      </c>
      <c r="F193" s="89" t="s">
        <v>2390</v>
      </c>
      <c r="G193" s="87" t="s">
        <v>1060</v>
      </c>
      <c r="H193" s="58" t="s">
        <v>2423</v>
      </c>
    </row>
    <row r="194" ht="15.75" customHeight="1">
      <c r="A194" s="56" t="s">
        <v>1762</v>
      </c>
      <c r="B194" s="58" t="s">
        <v>2321</v>
      </c>
      <c r="C194" s="58"/>
      <c r="D194" s="58"/>
      <c r="E194" s="58">
        <v>0.0</v>
      </c>
      <c r="F194" s="89" t="s">
        <v>2390</v>
      </c>
      <c r="G194" s="87" t="s">
        <v>2424</v>
      </c>
      <c r="H194" s="58"/>
    </row>
    <row r="195" ht="15.75" customHeight="1">
      <c r="A195" s="56" t="s">
        <v>1064</v>
      </c>
      <c r="B195" s="89" t="s">
        <v>2425</v>
      </c>
      <c r="C195" s="58"/>
      <c r="D195" s="58"/>
      <c r="E195" s="58">
        <v>0.0</v>
      </c>
      <c r="F195" s="89" t="s">
        <v>2390</v>
      </c>
      <c r="G195" s="87" t="s">
        <v>1066</v>
      </c>
      <c r="H195" s="58" t="s">
        <v>1067</v>
      </c>
    </row>
    <row r="196" ht="15.75" customHeight="1">
      <c r="A196" s="56" t="s">
        <v>1075</v>
      </c>
      <c r="B196" s="89" t="s">
        <v>1076</v>
      </c>
      <c r="C196" s="58"/>
      <c r="D196" s="58"/>
      <c r="E196" s="58">
        <v>0.0</v>
      </c>
      <c r="F196" s="89" t="s">
        <v>2390</v>
      </c>
      <c r="G196" s="87" t="s">
        <v>1077</v>
      </c>
      <c r="H196" s="58" t="s">
        <v>1078</v>
      </c>
    </row>
    <row r="197" ht="15.75" customHeight="1">
      <c r="A197" s="56" t="s">
        <v>1081</v>
      </c>
      <c r="B197" s="58" t="s">
        <v>1082</v>
      </c>
      <c r="C197" s="58"/>
      <c r="D197" s="58"/>
      <c r="E197" s="58">
        <v>0.0</v>
      </c>
      <c r="F197" s="89" t="s">
        <v>2390</v>
      </c>
      <c r="G197" s="87" t="s">
        <v>1083</v>
      </c>
      <c r="H197" s="58" t="s">
        <v>1084</v>
      </c>
    </row>
    <row r="198" ht="15.75" customHeight="1">
      <c r="A198" s="56" t="s">
        <v>1087</v>
      </c>
      <c r="B198" s="58" t="s">
        <v>1088</v>
      </c>
      <c r="C198" s="58"/>
      <c r="D198" s="58"/>
      <c r="E198" s="58">
        <v>0.0</v>
      </c>
      <c r="F198" s="89" t="s">
        <v>2384</v>
      </c>
      <c r="G198" s="87" t="s">
        <v>1089</v>
      </c>
      <c r="H198" s="58" t="s">
        <v>1090</v>
      </c>
    </row>
    <row r="199" ht="15.75" customHeight="1">
      <c r="A199" s="56" t="s">
        <v>1093</v>
      </c>
      <c r="B199" s="58" t="s">
        <v>2426</v>
      </c>
      <c r="C199" s="58"/>
      <c r="D199" s="58"/>
      <c r="E199" s="58">
        <v>0.0</v>
      </c>
      <c r="F199" s="89" t="s">
        <v>2384</v>
      </c>
      <c r="G199" s="87" t="s">
        <v>1095</v>
      </c>
      <c r="H199" s="58" t="s">
        <v>1096</v>
      </c>
    </row>
    <row r="200" ht="15.75" customHeight="1">
      <c r="A200" s="56" t="s">
        <v>1099</v>
      </c>
      <c r="B200" s="58" t="s">
        <v>1100</v>
      </c>
      <c r="C200" s="58"/>
      <c r="D200" s="58"/>
      <c r="E200" s="58">
        <v>0.0</v>
      </c>
      <c r="F200" s="89" t="s">
        <v>2384</v>
      </c>
      <c r="G200" s="87" t="s">
        <v>1101</v>
      </c>
      <c r="H200" s="58" t="s">
        <v>1102</v>
      </c>
    </row>
    <row r="201" ht="15.75" customHeight="1">
      <c r="A201" s="56" t="s">
        <v>1105</v>
      </c>
      <c r="B201" s="58" t="s">
        <v>1106</v>
      </c>
      <c r="C201" s="58"/>
      <c r="D201" s="58"/>
      <c r="E201" s="58">
        <v>0.0</v>
      </c>
      <c r="F201" s="89" t="s">
        <v>2390</v>
      </c>
      <c r="G201" s="87" t="s">
        <v>1107</v>
      </c>
      <c r="H201" s="58" t="s">
        <v>1108</v>
      </c>
    </row>
    <row r="202" ht="15.75" customHeight="1">
      <c r="A202" s="56" t="s">
        <v>1111</v>
      </c>
      <c r="B202" s="58" t="s">
        <v>1112</v>
      </c>
      <c r="C202" s="58"/>
      <c r="D202" s="58"/>
      <c r="E202" s="58">
        <v>0.0</v>
      </c>
      <c r="F202" s="89" t="s">
        <v>2384</v>
      </c>
      <c r="G202" s="87" t="s">
        <v>1113</v>
      </c>
      <c r="H202" s="58" t="s">
        <v>1114</v>
      </c>
    </row>
    <row r="203" ht="15.75" customHeight="1">
      <c r="A203" s="56" t="s">
        <v>1117</v>
      </c>
      <c r="B203" s="58" t="s">
        <v>1118</v>
      </c>
      <c r="C203" s="58"/>
      <c r="D203" s="58"/>
      <c r="E203" s="58">
        <v>0.0</v>
      </c>
      <c r="F203" s="89" t="s">
        <v>2382</v>
      </c>
      <c r="G203" s="87" t="s">
        <v>1119</v>
      </c>
      <c r="H203" s="58" t="s">
        <v>1120</v>
      </c>
    </row>
    <row r="204" ht="15.75" customHeight="1">
      <c r="A204" s="56" t="s">
        <v>1124</v>
      </c>
      <c r="B204" s="58" t="s">
        <v>2427</v>
      </c>
      <c r="C204" s="58"/>
      <c r="D204" s="58"/>
      <c r="E204" s="58">
        <v>0.0</v>
      </c>
      <c r="F204" s="89" t="s">
        <v>2382</v>
      </c>
      <c r="G204" s="87" t="s">
        <v>1126</v>
      </c>
      <c r="H204" s="58" t="s">
        <v>1127</v>
      </c>
    </row>
    <row r="205" ht="15.75" customHeight="1">
      <c r="A205" s="56" t="s">
        <v>1137</v>
      </c>
      <c r="B205" s="58" t="s">
        <v>682</v>
      </c>
      <c r="C205" s="58"/>
      <c r="D205" s="58" t="s">
        <v>1138</v>
      </c>
      <c r="E205" s="58">
        <v>0.0</v>
      </c>
      <c r="F205" s="89" t="s">
        <v>2384</v>
      </c>
      <c r="G205" s="87" t="s">
        <v>684</v>
      </c>
      <c r="H205" s="58" t="s">
        <v>1139</v>
      </c>
    </row>
    <row r="206" ht="15.75" customHeight="1">
      <c r="A206" s="56" t="s">
        <v>1140</v>
      </c>
      <c r="B206" s="58" t="s">
        <v>1141</v>
      </c>
      <c r="C206" s="58"/>
      <c r="D206" s="58"/>
      <c r="E206" s="58">
        <v>0.0</v>
      </c>
      <c r="F206" s="89" t="s">
        <v>2384</v>
      </c>
      <c r="G206" s="87" t="s">
        <v>1142</v>
      </c>
      <c r="H206" s="58" t="s">
        <v>1143</v>
      </c>
    </row>
    <row r="207" ht="15.75" customHeight="1">
      <c r="A207" s="56" t="s">
        <v>2352</v>
      </c>
      <c r="B207" s="58" t="s">
        <v>865</v>
      </c>
      <c r="C207" s="58"/>
      <c r="D207" s="58"/>
      <c r="E207" s="58">
        <v>0.0</v>
      </c>
      <c r="F207" s="89" t="s">
        <v>2384</v>
      </c>
      <c r="G207" s="87" t="s">
        <v>866</v>
      </c>
      <c r="H207" s="58" t="s">
        <v>867</v>
      </c>
    </row>
    <row r="208" ht="15.75" customHeight="1">
      <c r="A208" s="56" t="s">
        <v>1152</v>
      </c>
      <c r="B208" s="58" t="s">
        <v>1153</v>
      </c>
      <c r="C208" s="58"/>
      <c r="D208" s="58"/>
      <c r="E208" s="58">
        <v>0.0</v>
      </c>
      <c r="F208" s="89" t="s">
        <v>2384</v>
      </c>
      <c r="G208" s="87" t="s">
        <v>1154</v>
      </c>
      <c r="H208" s="58" t="s">
        <v>1155</v>
      </c>
    </row>
    <row r="209" ht="15.75" customHeight="1">
      <c r="A209" s="56" t="s">
        <v>1158</v>
      </c>
      <c r="B209" s="58" t="s">
        <v>1159</v>
      </c>
      <c r="C209" s="58"/>
      <c r="D209" s="58"/>
      <c r="E209" s="58">
        <v>0.0</v>
      </c>
      <c r="F209" s="89" t="s">
        <v>2384</v>
      </c>
      <c r="G209" s="87" t="s">
        <v>1160</v>
      </c>
      <c r="H209" s="58" t="s">
        <v>1161</v>
      </c>
    </row>
    <row r="210" ht="15.75" customHeight="1">
      <c r="A210" s="56" t="s">
        <v>1164</v>
      </c>
      <c r="B210" s="58" t="s">
        <v>2428</v>
      </c>
      <c r="C210" s="58"/>
      <c r="D210" s="58"/>
      <c r="E210" s="58">
        <v>0.0</v>
      </c>
      <c r="F210" s="89" t="s">
        <v>2384</v>
      </c>
      <c r="G210" s="87" t="s">
        <v>1166</v>
      </c>
      <c r="H210" s="58" t="s">
        <v>1167</v>
      </c>
    </row>
    <row r="211" ht="15.75" customHeight="1">
      <c r="A211" s="56" t="s">
        <v>1170</v>
      </c>
      <c r="B211" s="58" t="s">
        <v>1171</v>
      </c>
      <c r="C211" s="58"/>
      <c r="D211" s="58"/>
      <c r="E211" s="58">
        <v>0.0</v>
      </c>
      <c r="F211" s="89" t="s">
        <v>2384</v>
      </c>
      <c r="G211" s="87" t="s">
        <v>1172</v>
      </c>
      <c r="H211" s="58" t="s">
        <v>1173</v>
      </c>
    </row>
    <row r="212" ht="15.75" customHeight="1">
      <c r="A212" s="56" t="s">
        <v>1176</v>
      </c>
      <c r="B212" s="58" t="s">
        <v>1177</v>
      </c>
      <c r="C212" s="58"/>
      <c r="D212" s="58"/>
      <c r="E212" s="58">
        <v>0.0</v>
      </c>
      <c r="F212" s="89" t="s">
        <v>2384</v>
      </c>
      <c r="G212" s="87" t="s">
        <v>1178</v>
      </c>
      <c r="H212" s="58" t="s">
        <v>1179</v>
      </c>
    </row>
    <row r="213" ht="15.75" customHeight="1">
      <c r="A213" s="56" t="s">
        <v>1182</v>
      </c>
      <c r="B213" s="58" t="s">
        <v>1183</v>
      </c>
      <c r="C213" s="58"/>
      <c r="D213" s="58"/>
      <c r="E213" s="58">
        <v>0.0</v>
      </c>
      <c r="F213" s="89" t="s">
        <v>2384</v>
      </c>
      <c r="G213" s="87" t="s">
        <v>1184</v>
      </c>
      <c r="H213" s="58" t="s">
        <v>1185</v>
      </c>
    </row>
    <row r="214" ht="15.75" customHeight="1">
      <c r="A214" s="56" t="s">
        <v>1188</v>
      </c>
      <c r="B214" s="58" t="s">
        <v>1189</v>
      </c>
      <c r="C214" s="58"/>
      <c r="D214" s="58"/>
      <c r="E214" s="58">
        <v>0.0</v>
      </c>
      <c r="F214" s="89" t="s">
        <v>2384</v>
      </c>
      <c r="G214" s="87" t="s">
        <v>1190</v>
      </c>
      <c r="H214" s="58" t="s">
        <v>1191</v>
      </c>
    </row>
    <row r="215" ht="15.75" customHeight="1">
      <c r="A215" s="56" t="s">
        <v>1194</v>
      </c>
      <c r="B215" s="58" t="s">
        <v>1195</v>
      </c>
      <c r="C215" s="58"/>
      <c r="D215" s="58"/>
      <c r="E215" s="58">
        <v>0.0</v>
      </c>
      <c r="F215" s="89" t="s">
        <v>2384</v>
      </c>
      <c r="G215" s="87" t="s">
        <v>2429</v>
      </c>
      <c r="H215" s="58" t="s">
        <v>1197</v>
      </c>
    </row>
    <row r="216" ht="15.75" customHeight="1">
      <c r="A216" s="56" t="s">
        <v>1200</v>
      </c>
      <c r="B216" s="58" t="s">
        <v>1201</v>
      </c>
      <c r="C216" s="58"/>
      <c r="D216" s="58"/>
      <c r="E216" s="58">
        <v>0.0</v>
      </c>
      <c r="F216" s="89" t="s">
        <v>2384</v>
      </c>
      <c r="G216" s="87" t="s">
        <v>1202</v>
      </c>
      <c r="H216" s="58" t="s">
        <v>1203</v>
      </c>
    </row>
    <row r="217" ht="15.75" customHeight="1">
      <c r="A217" s="56" t="s">
        <v>1206</v>
      </c>
      <c r="B217" s="58" t="s">
        <v>1207</v>
      </c>
      <c r="C217" s="58"/>
      <c r="D217" s="58"/>
      <c r="E217" s="58">
        <v>0.0</v>
      </c>
      <c r="F217" s="89" t="s">
        <v>2384</v>
      </c>
      <c r="G217" s="87" t="s">
        <v>1208</v>
      </c>
      <c r="H217" s="58" t="s">
        <v>2430</v>
      </c>
    </row>
    <row r="218" ht="15.75" customHeight="1">
      <c r="A218" s="56" t="s">
        <v>1212</v>
      </c>
      <c r="B218" s="58" t="s">
        <v>1213</v>
      </c>
      <c r="C218" s="58"/>
      <c r="D218" s="58"/>
      <c r="E218" s="58">
        <v>0.0</v>
      </c>
      <c r="F218" s="89" t="s">
        <v>2384</v>
      </c>
      <c r="G218" s="58" t="s">
        <v>15</v>
      </c>
      <c r="H218" s="58" t="s">
        <v>2430</v>
      </c>
    </row>
    <row r="219" ht="15.75" customHeight="1">
      <c r="A219" s="56" t="s">
        <v>1212</v>
      </c>
      <c r="B219" s="58" t="s">
        <v>1215</v>
      </c>
      <c r="C219" s="58"/>
      <c r="D219" s="58"/>
      <c r="E219" s="58">
        <v>0.0</v>
      </c>
      <c r="F219" s="89" t="s">
        <v>2384</v>
      </c>
      <c r="G219" s="58" t="s">
        <v>15</v>
      </c>
      <c r="H219" s="58" t="s">
        <v>2430</v>
      </c>
    </row>
    <row r="220" ht="15.75" customHeight="1">
      <c r="A220" s="56" t="s">
        <v>1217</v>
      </c>
      <c r="B220" s="58" t="s">
        <v>1218</v>
      </c>
      <c r="C220" s="58"/>
      <c r="D220" s="58"/>
      <c r="E220" s="58">
        <v>0.0</v>
      </c>
      <c r="F220" s="89" t="s">
        <v>2384</v>
      </c>
      <c r="G220" s="87" t="s">
        <v>1208</v>
      </c>
      <c r="H220" s="58" t="s">
        <v>2431</v>
      </c>
    </row>
    <row r="221" ht="15.75" customHeight="1">
      <c r="A221" s="56" t="s">
        <v>1222</v>
      </c>
      <c r="B221" s="58" t="s">
        <v>1223</v>
      </c>
      <c r="C221" s="58"/>
      <c r="D221" s="58"/>
      <c r="E221" s="58">
        <v>0.0</v>
      </c>
      <c r="F221" s="89" t="s">
        <v>2384</v>
      </c>
      <c r="G221" s="87" t="s">
        <v>1224</v>
      </c>
      <c r="H221" s="58" t="s">
        <v>15</v>
      </c>
    </row>
    <row r="222" ht="15.75" customHeight="1">
      <c r="A222" s="56" t="s">
        <v>1227</v>
      </c>
      <c r="B222" s="58" t="s">
        <v>1228</v>
      </c>
      <c r="C222" s="58"/>
      <c r="D222" s="58"/>
      <c r="E222" s="58">
        <v>0.0</v>
      </c>
      <c r="F222" s="89" t="s">
        <v>2384</v>
      </c>
      <c r="G222" s="87" t="s">
        <v>1229</v>
      </c>
      <c r="H222" s="58" t="s">
        <v>1230</v>
      </c>
    </row>
    <row r="223" ht="15.75" customHeight="1">
      <c r="A223" s="56" t="s">
        <v>1233</v>
      </c>
      <c r="B223" s="58" t="s">
        <v>1234</v>
      </c>
      <c r="C223" s="58"/>
      <c r="D223" s="58"/>
      <c r="E223" s="58">
        <v>0.0</v>
      </c>
      <c r="F223" s="89" t="s">
        <v>2384</v>
      </c>
      <c r="G223" s="87" t="s">
        <v>1235</v>
      </c>
      <c r="H223" s="58" t="s">
        <v>1155</v>
      </c>
    </row>
    <row r="224" ht="15.75" customHeight="1">
      <c r="A224" s="56" t="s">
        <v>1238</v>
      </c>
      <c r="B224" s="58" t="s">
        <v>2432</v>
      </c>
      <c r="C224" s="58"/>
      <c r="D224" s="58"/>
      <c r="E224" s="58">
        <v>0.0</v>
      </c>
      <c r="F224" s="89" t="s">
        <v>2384</v>
      </c>
      <c r="G224" s="87" t="s">
        <v>2433</v>
      </c>
      <c r="H224" s="58" t="s">
        <v>1155</v>
      </c>
    </row>
    <row r="225" ht="15.75" customHeight="1">
      <c r="A225" s="56" t="s">
        <v>1244</v>
      </c>
      <c r="B225" s="58" t="s">
        <v>1245</v>
      </c>
      <c r="C225" s="58"/>
      <c r="D225" s="58"/>
      <c r="E225" s="58">
        <v>0.0</v>
      </c>
      <c r="F225" s="89" t="s">
        <v>2384</v>
      </c>
      <c r="G225" s="87" t="s">
        <v>1246</v>
      </c>
      <c r="H225" s="58" t="s">
        <v>1155</v>
      </c>
    </row>
    <row r="226" ht="15.75" customHeight="1">
      <c r="A226" s="56" t="s">
        <v>1249</v>
      </c>
      <c r="B226" s="58" t="s">
        <v>1250</v>
      </c>
      <c r="C226" s="58"/>
      <c r="D226" s="58"/>
      <c r="E226" s="58">
        <v>0.0</v>
      </c>
      <c r="F226" s="89" t="s">
        <v>2384</v>
      </c>
      <c r="G226" s="87" t="s">
        <v>1251</v>
      </c>
      <c r="H226" s="58" t="s">
        <v>2434</v>
      </c>
    </row>
    <row r="227" ht="15.75" customHeight="1">
      <c r="A227" s="56" t="s">
        <v>1255</v>
      </c>
      <c r="B227" s="58" t="s">
        <v>1256</v>
      </c>
      <c r="C227" s="58"/>
      <c r="D227" s="58"/>
      <c r="E227" s="58">
        <v>0.0</v>
      </c>
      <c r="F227" s="89" t="s">
        <v>2384</v>
      </c>
      <c r="G227" s="87" t="s">
        <v>1257</v>
      </c>
      <c r="H227" s="58" t="s">
        <v>1258</v>
      </c>
    </row>
    <row r="228" ht="15.75" customHeight="1">
      <c r="A228" s="56" t="s">
        <v>1261</v>
      </c>
      <c r="B228" s="58" t="s">
        <v>1262</v>
      </c>
      <c r="C228" s="58"/>
      <c r="D228" s="58"/>
      <c r="E228" s="58">
        <v>0.0</v>
      </c>
      <c r="F228" s="89" t="s">
        <v>2384</v>
      </c>
      <c r="G228" s="87" t="s">
        <v>1263</v>
      </c>
      <c r="H228" s="58" t="s">
        <v>1155</v>
      </c>
    </row>
    <row r="229" ht="15.75" customHeight="1">
      <c r="A229" s="56" t="s">
        <v>1265</v>
      </c>
      <c r="B229" s="58" t="s">
        <v>1266</v>
      </c>
      <c r="C229" s="58"/>
      <c r="D229" s="58"/>
      <c r="E229" s="58">
        <v>0.0</v>
      </c>
      <c r="F229" s="89" t="s">
        <v>2384</v>
      </c>
      <c r="G229" s="87" t="s">
        <v>1267</v>
      </c>
      <c r="H229" s="58" t="s">
        <v>1268</v>
      </c>
    </row>
    <row r="230" ht="15.75" customHeight="1">
      <c r="A230" s="56" t="s">
        <v>1271</v>
      </c>
      <c r="B230" s="58" t="s">
        <v>1272</v>
      </c>
      <c r="C230" s="58"/>
      <c r="D230" s="58"/>
      <c r="E230" s="58">
        <v>0.0</v>
      </c>
      <c r="F230" s="89" t="s">
        <v>2384</v>
      </c>
      <c r="G230" s="87" t="s">
        <v>1273</v>
      </c>
      <c r="H230" s="58" t="s">
        <v>2435</v>
      </c>
    </row>
    <row r="231" ht="15.75" customHeight="1">
      <c r="A231" s="56" t="s">
        <v>1277</v>
      </c>
      <c r="B231" s="58" t="s">
        <v>1278</v>
      </c>
      <c r="C231" s="58"/>
      <c r="D231" s="58"/>
      <c r="E231" s="58">
        <v>0.0</v>
      </c>
      <c r="F231" s="89" t="s">
        <v>2384</v>
      </c>
      <c r="G231" s="87" t="s">
        <v>1279</v>
      </c>
      <c r="H231" s="58" t="s">
        <v>1280</v>
      </c>
    </row>
    <row r="232" ht="15.75" customHeight="1">
      <c r="A232" s="56" t="s">
        <v>1283</v>
      </c>
      <c r="B232" s="58" t="s">
        <v>1284</v>
      </c>
      <c r="C232" s="58"/>
      <c r="D232" s="58"/>
      <c r="E232" s="58">
        <v>0.0</v>
      </c>
      <c r="F232" s="89" t="s">
        <v>2384</v>
      </c>
      <c r="G232" s="87" t="s">
        <v>1285</v>
      </c>
      <c r="H232" s="58" t="s">
        <v>1286</v>
      </c>
    </row>
    <row r="233" ht="15.75" customHeight="1">
      <c r="A233" s="56" t="s">
        <v>1289</v>
      </c>
      <c r="B233" s="58" t="s">
        <v>1290</v>
      </c>
      <c r="C233" s="58"/>
      <c r="D233" s="58"/>
      <c r="E233" s="58">
        <v>0.0</v>
      </c>
      <c r="F233" s="89" t="s">
        <v>2384</v>
      </c>
      <c r="G233" s="87" t="s">
        <v>1291</v>
      </c>
      <c r="H233" s="58" t="s">
        <v>1292</v>
      </c>
    </row>
    <row r="234" ht="15.75" customHeight="1">
      <c r="A234" s="56" t="s">
        <v>1295</v>
      </c>
      <c r="B234" s="58" t="s">
        <v>1296</v>
      </c>
      <c r="C234" s="58"/>
      <c r="D234" s="58"/>
      <c r="E234" s="58">
        <v>0.0</v>
      </c>
      <c r="F234" s="89" t="s">
        <v>2384</v>
      </c>
      <c r="G234" s="87" t="s">
        <v>1297</v>
      </c>
      <c r="H234" s="58" t="s">
        <v>1298</v>
      </c>
    </row>
    <row r="235" ht="15.75" customHeight="1">
      <c r="A235" s="56" t="s">
        <v>1301</v>
      </c>
      <c r="B235" s="58" t="s">
        <v>1302</v>
      </c>
      <c r="C235" s="58"/>
      <c r="D235" s="58"/>
      <c r="E235" s="58">
        <v>0.0</v>
      </c>
      <c r="F235" s="89" t="s">
        <v>2384</v>
      </c>
      <c r="G235" s="87" t="s">
        <v>1303</v>
      </c>
      <c r="H235" s="58" t="s">
        <v>1304</v>
      </c>
    </row>
    <row r="236" ht="15.75" customHeight="1">
      <c r="A236" s="56" t="s">
        <v>1307</v>
      </c>
      <c r="B236" s="58" t="s">
        <v>1308</v>
      </c>
      <c r="C236" s="58"/>
      <c r="D236" s="58"/>
      <c r="E236" s="58">
        <v>0.0</v>
      </c>
      <c r="F236" s="89" t="s">
        <v>2390</v>
      </c>
      <c r="G236" s="87" t="s">
        <v>1309</v>
      </c>
      <c r="H236" s="58" t="s">
        <v>2436</v>
      </c>
    </row>
    <row r="237" ht="15.75" customHeight="1">
      <c r="A237" s="56" t="s">
        <v>1313</v>
      </c>
      <c r="B237" s="58" t="s">
        <v>2020</v>
      </c>
      <c r="C237" s="58"/>
      <c r="D237" s="58"/>
      <c r="E237" s="58">
        <v>0.0</v>
      </c>
      <c r="F237" s="89" t="s">
        <v>2390</v>
      </c>
      <c r="G237" s="87" t="s">
        <v>2021</v>
      </c>
      <c r="H237" s="58" t="s">
        <v>2022</v>
      </c>
    </row>
    <row r="238" ht="15.75" customHeight="1">
      <c r="A238" s="56" t="s">
        <v>1318</v>
      </c>
      <c r="B238" s="58" t="s">
        <v>1319</v>
      </c>
      <c r="C238" s="58"/>
      <c r="D238" s="58"/>
      <c r="E238" s="58">
        <v>0.0</v>
      </c>
      <c r="F238" s="89" t="s">
        <v>2384</v>
      </c>
      <c r="G238" s="87" t="s">
        <v>1320</v>
      </c>
      <c r="H238" s="58" t="s">
        <v>1321</v>
      </c>
    </row>
    <row r="239" ht="15.75" customHeight="1">
      <c r="A239" s="56" t="s">
        <v>1324</v>
      </c>
      <c r="B239" s="58" t="s">
        <v>1325</v>
      </c>
      <c r="C239" s="58"/>
      <c r="D239" s="58"/>
      <c r="E239" s="58">
        <v>0.0</v>
      </c>
      <c r="F239" s="89" t="s">
        <v>2384</v>
      </c>
      <c r="G239" s="87" t="s">
        <v>1326</v>
      </c>
      <c r="H239" s="58" t="s">
        <v>1327</v>
      </c>
    </row>
    <row r="240" ht="15.75" customHeight="1">
      <c r="A240" s="56" t="s">
        <v>1330</v>
      </c>
      <c r="B240" s="58" t="s">
        <v>1331</v>
      </c>
      <c r="C240" s="58"/>
      <c r="D240" s="58"/>
      <c r="E240" s="58">
        <v>0.0</v>
      </c>
      <c r="F240" s="89" t="s">
        <v>2384</v>
      </c>
      <c r="G240" s="87" t="s">
        <v>1332</v>
      </c>
      <c r="H240" s="58" t="s">
        <v>1333</v>
      </c>
    </row>
    <row r="241" ht="15.75" customHeight="1">
      <c r="A241" s="56" t="s">
        <v>1336</v>
      </c>
      <c r="B241" s="58" t="s">
        <v>1337</v>
      </c>
      <c r="C241" s="58"/>
      <c r="D241" s="58"/>
      <c r="E241" s="58">
        <v>0.0</v>
      </c>
      <c r="F241" s="89" t="s">
        <v>2390</v>
      </c>
      <c r="G241" s="87" t="s">
        <v>1338</v>
      </c>
      <c r="H241" s="58" t="s">
        <v>1339</v>
      </c>
    </row>
    <row r="242" ht="15.75" customHeight="1">
      <c r="A242" s="56" t="s">
        <v>1342</v>
      </c>
      <c r="B242" s="58" t="s">
        <v>114</v>
      </c>
      <c r="C242" s="58" t="s">
        <v>1343</v>
      </c>
      <c r="D242" s="58"/>
      <c r="E242" s="58">
        <v>0.0</v>
      </c>
      <c r="F242" s="89" t="s">
        <v>2382</v>
      </c>
      <c r="G242" s="87" t="s">
        <v>116</v>
      </c>
      <c r="H242" s="58" t="s">
        <v>117</v>
      </c>
    </row>
    <row r="243" ht="15.75" customHeight="1">
      <c r="A243" s="56" t="s">
        <v>1344</v>
      </c>
      <c r="B243" s="58" t="s">
        <v>1345</v>
      </c>
      <c r="C243" s="58"/>
      <c r="D243" s="58"/>
      <c r="E243" s="58">
        <v>0.0</v>
      </c>
      <c r="F243" s="89" t="s">
        <v>2382</v>
      </c>
      <c r="G243" s="87" t="s">
        <v>1346</v>
      </c>
      <c r="H243" s="58" t="s">
        <v>1347</v>
      </c>
    </row>
    <row r="244" ht="15.75" customHeight="1">
      <c r="A244" s="56" t="s">
        <v>1751</v>
      </c>
      <c r="B244" s="58" t="s">
        <v>1349</v>
      </c>
      <c r="C244" s="58"/>
      <c r="D244" s="58"/>
      <c r="E244" s="58">
        <v>0.0</v>
      </c>
      <c r="F244" s="89" t="s">
        <v>2384</v>
      </c>
      <c r="G244" s="87" t="s">
        <v>1350</v>
      </c>
      <c r="H244" s="58" t="s">
        <v>1351</v>
      </c>
    </row>
    <row r="245" ht="15.75" customHeight="1">
      <c r="A245" s="56" t="s">
        <v>1751</v>
      </c>
      <c r="B245" s="58" t="s">
        <v>2012</v>
      </c>
      <c r="C245" s="58"/>
      <c r="D245" s="58"/>
      <c r="E245" s="58">
        <v>0.0</v>
      </c>
      <c r="F245" s="89" t="s">
        <v>2390</v>
      </c>
      <c r="G245" s="58" t="s">
        <v>15</v>
      </c>
      <c r="H245" s="58" t="s">
        <v>2013</v>
      </c>
    </row>
    <row r="246" ht="15.75" customHeight="1">
      <c r="A246" s="56" t="s">
        <v>1751</v>
      </c>
      <c r="B246" s="58" t="s">
        <v>1352</v>
      </c>
      <c r="C246" s="58"/>
      <c r="D246" s="58"/>
      <c r="E246" s="58">
        <v>0.0</v>
      </c>
      <c r="F246" s="89" t="s">
        <v>2390</v>
      </c>
      <c r="G246" s="87" t="s">
        <v>1353</v>
      </c>
      <c r="H246" s="58" t="s">
        <v>1354</v>
      </c>
    </row>
    <row r="247" ht="15.75" customHeight="1">
      <c r="A247" s="56" t="s">
        <v>1751</v>
      </c>
      <c r="B247" s="58" t="s">
        <v>1355</v>
      </c>
      <c r="C247" s="58"/>
      <c r="D247" s="58"/>
      <c r="E247" s="58">
        <v>0.0</v>
      </c>
      <c r="F247" s="89" t="s">
        <v>2390</v>
      </c>
      <c r="G247" s="87" t="s">
        <v>1346</v>
      </c>
      <c r="H247" s="58" t="s">
        <v>1356</v>
      </c>
    </row>
    <row r="248" ht="15.75" customHeight="1">
      <c r="A248" s="56" t="s">
        <v>1751</v>
      </c>
      <c r="B248" s="58" t="s">
        <v>1357</v>
      </c>
      <c r="C248" s="58"/>
      <c r="D248" s="58"/>
      <c r="E248" s="58">
        <v>0.0</v>
      </c>
      <c r="F248" s="89" t="s">
        <v>2390</v>
      </c>
      <c r="G248" s="87" t="s">
        <v>1346</v>
      </c>
      <c r="H248" s="58" t="s">
        <v>1358</v>
      </c>
    </row>
    <row r="249" ht="15.75" customHeight="1">
      <c r="A249" s="56" t="s">
        <v>1751</v>
      </c>
      <c r="B249" s="58" t="s">
        <v>1359</v>
      </c>
      <c r="C249" s="58"/>
      <c r="D249" s="58"/>
      <c r="E249" s="58">
        <v>0.0</v>
      </c>
      <c r="F249" s="89" t="s">
        <v>2390</v>
      </c>
      <c r="G249" s="87" t="s">
        <v>1346</v>
      </c>
      <c r="H249" s="58" t="s">
        <v>1360</v>
      </c>
    </row>
    <row r="250" ht="15.75" customHeight="1">
      <c r="A250" s="56" t="s">
        <v>1751</v>
      </c>
      <c r="B250" s="58" t="s">
        <v>1361</v>
      </c>
      <c r="C250" s="58"/>
      <c r="D250" s="58"/>
      <c r="E250" s="58">
        <v>0.0</v>
      </c>
      <c r="F250" s="89" t="s">
        <v>2382</v>
      </c>
      <c r="G250" s="87" t="s">
        <v>1362</v>
      </c>
      <c r="H250" s="58" t="s">
        <v>1363</v>
      </c>
    </row>
    <row r="251" ht="15.75" customHeight="1">
      <c r="A251" s="56" t="s">
        <v>1751</v>
      </c>
      <c r="B251" s="58" t="s">
        <v>2139</v>
      </c>
      <c r="C251" s="58"/>
      <c r="D251" s="58"/>
      <c r="E251" s="58">
        <v>0.0</v>
      </c>
      <c r="F251" s="89" t="s">
        <v>2390</v>
      </c>
      <c r="G251" s="87" t="s">
        <v>2437</v>
      </c>
      <c r="H251" s="58" t="s">
        <v>2438</v>
      </c>
    </row>
    <row r="252" ht="15.75" customHeight="1">
      <c r="A252" s="56" t="s">
        <v>1751</v>
      </c>
      <c r="B252" s="58" t="s">
        <v>1364</v>
      </c>
      <c r="C252" s="58"/>
      <c r="D252" s="58"/>
      <c r="E252" s="58">
        <v>0.0</v>
      </c>
      <c r="F252" s="89" t="s">
        <v>2382</v>
      </c>
      <c r="G252" s="87" t="s">
        <v>1365</v>
      </c>
      <c r="H252" s="58" t="s">
        <v>1366</v>
      </c>
    </row>
    <row r="253" ht="15.75" customHeight="1">
      <c r="A253" s="56" t="s">
        <v>1373</v>
      </c>
      <c r="B253" s="58" t="s">
        <v>1374</v>
      </c>
      <c r="C253" s="58"/>
      <c r="D253" s="58"/>
      <c r="E253" s="58">
        <v>0.0</v>
      </c>
      <c r="F253" s="89" t="s">
        <v>2382</v>
      </c>
      <c r="G253" s="87" t="s">
        <v>952</v>
      </c>
      <c r="H253" s="58" t="s">
        <v>1375</v>
      </c>
    </row>
    <row r="254" ht="15.75" customHeight="1">
      <c r="A254" s="56" t="s">
        <v>1373</v>
      </c>
      <c r="B254" s="58" t="s">
        <v>1376</v>
      </c>
      <c r="C254" s="58"/>
      <c r="D254" s="58"/>
      <c r="E254" s="58">
        <v>0.0</v>
      </c>
      <c r="F254" s="89" t="s">
        <v>2382</v>
      </c>
      <c r="G254" s="87" t="s">
        <v>952</v>
      </c>
      <c r="H254" s="58" t="s">
        <v>1375</v>
      </c>
    </row>
    <row r="255" ht="15.75" customHeight="1">
      <c r="A255" s="56" t="s">
        <v>1379</v>
      </c>
      <c r="B255" s="58" t="s">
        <v>1380</v>
      </c>
      <c r="C255" s="58"/>
      <c r="D255" s="58"/>
      <c r="E255" s="58">
        <v>0.0</v>
      </c>
      <c r="F255" s="89" t="s">
        <v>2384</v>
      </c>
      <c r="G255" s="58">
        <v>4442021.0</v>
      </c>
      <c r="H255" s="58" t="s">
        <v>1382</v>
      </c>
    </row>
    <row r="256" ht="15.75" customHeight="1">
      <c r="A256" s="56" t="s">
        <v>1393</v>
      </c>
      <c r="B256" s="58" t="s">
        <v>2439</v>
      </c>
      <c r="C256" s="58"/>
      <c r="D256" s="58"/>
      <c r="E256" s="58">
        <v>0.0</v>
      </c>
      <c r="F256" s="89" t="s">
        <v>2384</v>
      </c>
      <c r="G256" s="58" t="s">
        <v>15</v>
      </c>
      <c r="H256" s="58" t="s">
        <v>2440</v>
      </c>
    </row>
    <row r="257" ht="15.75" customHeight="1">
      <c r="A257" s="56" t="s">
        <v>1399</v>
      </c>
      <c r="B257" s="58" t="s">
        <v>1400</v>
      </c>
      <c r="C257" s="58"/>
      <c r="D257" s="58"/>
      <c r="E257" s="58">
        <v>0.0</v>
      </c>
      <c r="F257" s="89" t="s">
        <v>2382</v>
      </c>
      <c r="G257" s="58" t="s">
        <v>15</v>
      </c>
      <c r="H257" s="58" t="s">
        <v>1401</v>
      </c>
    </row>
    <row r="258" ht="15.75" customHeight="1">
      <c r="A258" s="56" t="s">
        <v>1402</v>
      </c>
      <c r="B258" s="58" t="s">
        <v>1403</v>
      </c>
      <c r="C258" s="58"/>
      <c r="D258" s="58"/>
      <c r="E258" s="58">
        <v>0.0</v>
      </c>
      <c r="F258" s="89" t="s">
        <v>2382</v>
      </c>
      <c r="G258" s="58" t="s">
        <v>15</v>
      </c>
      <c r="H258" s="58" t="s">
        <v>1404</v>
      </c>
    </row>
    <row r="259" ht="15.75" customHeight="1">
      <c r="A259" s="56" t="s">
        <v>1405</v>
      </c>
      <c r="B259" s="58" t="s">
        <v>1406</v>
      </c>
      <c r="C259" s="58"/>
      <c r="D259" s="58"/>
      <c r="E259" s="58">
        <v>0.0</v>
      </c>
      <c r="F259" s="89" t="s">
        <v>2390</v>
      </c>
      <c r="G259" s="87" t="s">
        <v>1407</v>
      </c>
      <c r="H259" s="58" t="s">
        <v>1408</v>
      </c>
    </row>
    <row r="260" ht="15.75" customHeight="1">
      <c r="A260" s="56" t="s">
        <v>2010</v>
      </c>
      <c r="B260" s="58" t="s">
        <v>2011</v>
      </c>
      <c r="C260" s="58"/>
      <c r="D260" s="58"/>
      <c r="E260" s="58">
        <v>0.0</v>
      </c>
      <c r="F260" s="89" t="s">
        <v>2382</v>
      </c>
      <c r="G260" s="58" t="s">
        <v>15</v>
      </c>
      <c r="H260" s="58" t="s">
        <v>878</v>
      </c>
    </row>
    <row r="261" ht="15.75" customHeight="1">
      <c r="A261" s="56" t="s">
        <v>1411</v>
      </c>
      <c r="B261" s="58" t="s">
        <v>877</v>
      </c>
      <c r="C261" s="58"/>
      <c r="D261" s="58"/>
      <c r="E261" s="58">
        <v>0.0</v>
      </c>
      <c r="F261" s="89" t="s">
        <v>2382</v>
      </c>
      <c r="G261" s="58" t="s">
        <v>15</v>
      </c>
      <c r="H261" s="58" t="s">
        <v>878</v>
      </c>
    </row>
    <row r="262" ht="15.75" customHeight="1">
      <c r="A262" s="56" t="s">
        <v>1412</v>
      </c>
      <c r="B262" s="58" t="s">
        <v>2441</v>
      </c>
      <c r="C262" s="58"/>
      <c r="D262" s="58"/>
      <c r="E262" s="58">
        <v>0.0</v>
      </c>
      <c r="F262" s="89" t="s">
        <v>2384</v>
      </c>
      <c r="G262" s="87" t="s">
        <v>684</v>
      </c>
      <c r="H262" s="58" t="s">
        <v>2442</v>
      </c>
    </row>
    <row r="263" ht="15.75" customHeight="1">
      <c r="A263" s="56" t="s">
        <v>1417</v>
      </c>
      <c r="B263" s="58" t="s">
        <v>1418</v>
      </c>
      <c r="C263" s="58"/>
      <c r="D263" s="58"/>
      <c r="E263" s="58">
        <v>0.0</v>
      </c>
      <c r="F263" s="89" t="s">
        <v>2384</v>
      </c>
      <c r="G263" s="87" t="s">
        <v>684</v>
      </c>
      <c r="H263" s="58" t="s">
        <v>1419</v>
      </c>
    </row>
    <row r="264" ht="15.75" customHeight="1">
      <c r="A264" s="56" t="s">
        <v>1422</v>
      </c>
      <c r="B264" s="58" t="s">
        <v>1037</v>
      </c>
      <c r="C264" s="58"/>
      <c r="D264" s="58"/>
      <c r="E264" s="58">
        <v>0.0</v>
      </c>
      <c r="F264" s="89" t="s">
        <v>2384</v>
      </c>
      <c r="G264" s="87" t="s">
        <v>684</v>
      </c>
      <c r="H264" s="58" t="s">
        <v>1419</v>
      </c>
    </row>
    <row r="265" ht="15.75" customHeight="1">
      <c r="A265" s="56" t="s">
        <v>1427</v>
      </c>
      <c r="B265" s="58" t="s">
        <v>2048</v>
      </c>
      <c r="C265" s="58"/>
      <c r="D265" s="58"/>
      <c r="E265" s="58">
        <v>0.0</v>
      </c>
      <c r="F265" s="89" t="s">
        <v>2390</v>
      </c>
      <c r="G265" s="58" t="s">
        <v>15</v>
      </c>
      <c r="H265" s="58" t="s">
        <v>2049</v>
      </c>
    </row>
    <row r="266" ht="15.75" customHeight="1">
      <c r="A266" s="56" t="s">
        <v>1449</v>
      </c>
      <c r="B266" s="58" t="s">
        <v>462</v>
      </c>
      <c r="C266" s="58"/>
      <c r="D266" s="58"/>
      <c r="E266" s="58">
        <v>0.0</v>
      </c>
      <c r="F266" s="89" t="s">
        <v>2382</v>
      </c>
      <c r="G266" s="87" t="s">
        <v>463</v>
      </c>
      <c r="H266" s="58" t="s">
        <v>464</v>
      </c>
    </row>
    <row r="267" ht="15.75" customHeight="1">
      <c r="A267" s="56" t="s">
        <v>2443</v>
      </c>
      <c r="B267" s="58" t="s">
        <v>2444</v>
      </c>
      <c r="C267" s="130" t="s">
        <v>2445</v>
      </c>
      <c r="D267" s="58"/>
      <c r="E267" s="58">
        <v>0.0</v>
      </c>
      <c r="F267" s="89" t="s">
        <v>2382</v>
      </c>
      <c r="G267" s="87" t="s">
        <v>952</v>
      </c>
      <c r="H267" s="58" t="s">
        <v>2446</v>
      </c>
    </row>
    <row r="268" ht="15.75" customHeight="1">
      <c r="A268" s="56" t="s">
        <v>1522</v>
      </c>
      <c r="B268" s="58" t="s">
        <v>957</v>
      </c>
      <c r="C268" s="58"/>
      <c r="D268" s="58"/>
      <c r="E268" s="58">
        <v>0.0</v>
      </c>
      <c r="F268" s="89" t="s">
        <v>2382</v>
      </c>
      <c r="G268" s="87" t="s">
        <v>958</v>
      </c>
      <c r="H268" s="58" t="s">
        <v>959</v>
      </c>
    </row>
    <row r="269" ht="15.75" customHeight="1">
      <c r="A269" s="56" t="s">
        <v>1523</v>
      </c>
      <c r="B269" s="58" t="s">
        <v>1524</v>
      </c>
      <c r="C269" s="58"/>
      <c r="D269" s="58"/>
      <c r="E269" s="58">
        <v>0.0</v>
      </c>
      <c r="F269" s="89" t="s">
        <v>2382</v>
      </c>
      <c r="G269" s="87" t="s">
        <v>962</v>
      </c>
      <c r="H269" s="58" t="s">
        <v>963</v>
      </c>
    </row>
    <row r="270" ht="15.75" customHeight="1">
      <c r="A270" s="56" t="s">
        <v>1525</v>
      </c>
      <c r="B270" s="58" t="s">
        <v>466</v>
      </c>
      <c r="C270" s="58"/>
      <c r="D270" s="58"/>
      <c r="E270" s="58">
        <v>0.0</v>
      </c>
      <c r="F270" s="89" t="s">
        <v>2401</v>
      </c>
      <c r="G270" s="58" t="s">
        <v>15</v>
      </c>
      <c r="H270" s="58" t="s">
        <v>467</v>
      </c>
    </row>
    <row r="271" ht="15.75" customHeight="1">
      <c r="A271" s="56" t="s">
        <v>1526</v>
      </c>
      <c r="B271" s="58" t="s">
        <v>466</v>
      </c>
      <c r="C271" s="58"/>
      <c r="D271" s="58"/>
      <c r="E271" s="58">
        <v>0.0</v>
      </c>
      <c r="F271" s="89" t="s">
        <v>2401</v>
      </c>
      <c r="G271" s="58" t="s">
        <v>15</v>
      </c>
      <c r="H271" s="58" t="s">
        <v>467</v>
      </c>
    </row>
    <row r="272" ht="15.75" customHeight="1">
      <c r="A272" s="56" t="s">
        <v>1527</v>
      </c>
      <c r="B272" s="58" t="s">
        <v>466</v>
      </c>
      <c r="C272" s="58"/>
      <c r="D272" s="58"/>
      <c r="E272" s="58">
        <v>0.0</v>
      </c>
      <c r="F272" s="89" t="s">
        <v>2401</v>
      </c>
      <c r="G272" s="58" t="s">
        <v>15</v>
      </c>
      <c r="H272" s="58" t="s">
        <v>467</v>
      </c>
    </row>
    <row r="273" ht="15.75" customHeight="1">
      <c r="A273" s="56" t="s">
        <v>1528</v>
      </c>
      <c r="B273" s="58" t="s">
        <v>466</v>
      </c>
      <c r="C273" s="58"/>
      <c r="D273" s="58"/>
      <c r="E273" s="58">
        <v>0.0</v>
      </c>
      <c r="F273" s="89" t="s">
        <v>2401</v>
      </c>
      <c r="G273" s="58" t="s">
        <v>15</v>
      </c>
      <c r="H273" s="58" t="s">
        <v>467</v>
      </c>
    </row>
    <row r="274" ht="15.75" customHeight="1">
      <c r="A274" s="56" t="s">
        <v>1529</v>
      </c>
      <c r="B274" s="58" t="s">
        <v>1530</v>
      </c>
      <c r="C274" s="58"/>
      <c r="D274" s="58"/>
      <c r="E274" s="58">
        <v>1.0</v>
      </c>
      <c r="F274" s="89" t="s">
        <v>2384</v>
      </c>
      <c r="G274" s="87" t="s">
        <v>1531</v>
      </c>
      <c r="H274" s="58" t="s">
        <v>1532</v>
      </c>
    </row>
    <row r="275" ht="15.75" customHeight="1">
      <c r="A275" s="56" t="s">
        <v>1535</v>
      </c>
      <c r="B275" s="58" t="s">
        <v>1536</v>
      </c>
      <c r="C275" s="58"/>
      <c r="D275" s="58"/>
      <c r="E275" s="58">
        <v>1.0</v>
      </c>
      <c r="F275" s="89" t="s">
        <v>2384</v>
      </c>
      <c r="G275" s="87" t="s">
        <v>1537</v>
      </c>
      <c r="H275" s="58" t="s">
        <v>1538</v>
      </c>
    </row>
    <row r="276" ht="15.75" customHeight="1">
      <c r="A276" s="56" t="s">
        <v>1541</v>
      </c>
      <c r="B276" s="58" t="s">
        <v>1542</v>
      </c>
      <c r="C276" s="58"/>
      <c r="D276" s="58"/>
      <c r="E276" s="58">
        <v>1.0</v>
      </c>
      <c r="F276" s="89" t="s">
        <v>2384</v>
      </c>
      <c r="G276" s="87" t="s">
        <v>2223</v>
      </c>
      <c r="H276" s="58" t="s">
        <v>1544</v>
      </c>
    </row>
    <row r="277" ht="15.75" customHeight="1">
      <c r="A277" s="56" t="s">
        <v>1547</v>
      </c>
      <c r="B277" s="89" t="s">
        <v>1548</v>
      </c>
      <c r="C277" s="58"/>
      <c r="D277" s="58"/>
      <c r="E277" s="58">
        <v>1.0</v>
      </c>
      <c r="F277" s="89" t="s">
        <v>2384</v>
      </c>
      <c r="G277" s="87" t="s">
        <v>1549</v>
      </c>
      <c r="H277" s="58" t="s">
        <v>1550</v>
      </c>
    </row>
    <row r="278" ht="15.75" customHeight="1">
      <c r="A278" s="56" t="s">
        <v>1553</v>
      </c>
      <c r="B278" s="58" t="s">
        <v>1554</v>
      </c>
      <c r="C278" s="58"/>
      <c r="D278" s="58"/>
      <c r="E278" s="58">
        <v>1.0</v>
      </c>
      <c r="F278" s="89" t="s">
        <v>2384</v>
      </c>
      <c r="G278" s="87" t="s">
        <v>1555</v>
      </c>
      <c r="H278" s="58" t="s">
        <v>1556</v>
      </c>
    </row>
    <row r="279" ht="15.75" customHeight="1">
      <c r="A279" s="56" t="s">
        <v>1559</v>
      </c>
      <c r="B279" s="58" t="s">
        <v>1560</v>
      </c>
      <c r="C279" s="58"/>
      <c r="D279" s="58"/>
      <c r="E279" s="58">
        <v>1.0</v>
      </c>
      <c r="F279" s="89" t="s">
        <v>2384</v>
      </c>
      <c r="G279" s="87" t="s">
        <v>2447</v>
      </c>
      <c r="H279" s="58" t="s">
        <v>1562</v>
      </c>
    </row>
    <row r="280" ht="15.75" customHeight="1">
      <c r="A280" s="56" t="s">
        <v>1565</v>
      </c>
      <c r="B280" s="58" t="s">
        <v>1566</v>
      </c>
      <c r="C280" s="58" t="s">
        <v>1567</v>
      </c>
      <c r="D280" s="58"/>
      <c r="E280" s="58">
        <v>1.0</v>
      </c>
      <c r="F280" s="89" t="s">
        <v>2382</v>
      </c>
      <c r="G280" s="87" t="s">
        <v>1568</v>
      </c>
      <c r="H280" s="58" t="s">
        <v>1569</v>
      </c>
    </row>
    <row r="281" ht="15.75" customHeight="1">
      <c r="A281" s="56" t="s">
        <v>1572</v>
      </c>
      <c r="B281" s="58" t="s">
        <v>1573</v>
      </c>
      <c r="C281" s="58"/>
      <c r="D281" s="58"/>
      <c r="E281" s="58">
        <v>1.0</v>
      </c>
      <c r="F281" s="89" t="s">
        <v>2384</v>
      </c>
      <c r="G281" s="87" t="s">
        <v>1574</v>
      </c>
      <c r="H281" s="58" t="s">
        <v>1575</v>
      </c>
    </row>
    <row r="282" ht="15.75" customHeight="1">
      <c r="A282" s="56" t="s">
        <v>1578</v>
      </c>
      <c r="B282" s="58" t="s">
        <v>1579</v>
      </c>
      <c r="C282" s="58"/>
      <c r="D282" s="58"/>
      <c r="E282" s="58">
        <v>1.0</v>
      </c>
      <c r="F282" s="89" t="s">
        <v>2384</v>
      </c>
      <c r="G282" s="87" t="s">
        <v>1580</v>
      </c>
      <c r="H282" s="58" t="s">
        <v>1581</v>
      </c>
    </row>
    <row r="283" ht="15.75" customHeight="1">
      <c r="A283" s="56" t="s">
        <v>1584</v>
      </c>
      <c r="B283" s="58" t="s">
        <v>1585</v>
      </c>
      <c r="C283" s="58"/>
      <c r="D283" s="58"/>
      <c r="E283" s="58">
        <v>1.0</v>
      </c>
      <c r="F283" s="89" t="s">
        <v>2384</v>
      </c>
      <c r="G283" s="87" t="s">
        <v>1586</v>
      </c>
      <c r="H283" s="58" t="s">
        <v>1587</v>
      </c>
    </row>
    <row r="284" ht="15.75" customHeight="1">
      <c r="A284" s="56" t="s">
        <v>1596</v>
      </c>
      <c r="B284" s="89" t="s">
        <v>1597</v>
      </c>
      <c r="C284" s="58"/>
      <c r="D284" s="58"/>
      <c r="E284" s="58">
        <v>1.0</v>
      </c>
      <c r="F284" s="89" t="s">
        <v>2384</v>
      </c>
      <c r="G284" s="87" t="s">
        <v>1598</v>
      </c>
      <c r="H284" s="58" t="s">
        <v>1599</v>
      </c>
    </row>
    <row r="285" ht="15.75" customHeight="1">
      <c r="A285" s="56" t="s">
        <v>1778</v>
      </c>
      <c r="B285" s="58" t="s">
        <v>119</v>
      </c>
      <c r="C285" s="58"/>
      <c r="D285" s="58"/>
      <c r="E285" s="58">
        <v>1.0</v>
      </c>
      <c r="F285" s="89" t="s">
        <v>2384</v>
      </c>
      <c r="G285" s="87" t="s">
        <v>120</v>
      </c>
      <c r="H285" s="58" t="s">
        <v>121</v>
      </c>
    </row>
    <row r="286" ht="15.75" customHeight="1">
      <c r="A286" s="56" t="s">
        <v>1602</v>
      </c>
      <c r="B286" s="58" t="s">
        <v>1603</v>
      </c>
      <c r="C286" s="58"/>
      <c r="D286" s="58"/>
      <c r="E286" s="58">
        <v>1.0</v>
      </c>
      <c r="F286" s="89" t="s">
        <v>2390</v>
      </c>
      <c r="G286" s="87" t="s">
        <v>1604</v>
      </c>
      <c r="H286" s="58" t="s">
        <v>1605</v>
      </c>
    </row>
    <row r="287" ht="15.75" customHeight="1">
      <c r="A287" s="56" t="s">
        <v>1625</v>
      </c>
      <c r="B287" s="58" t="s">
        <v>1626</v>
      </c>
      <c r="C287" s="58"/>
      <c r="D287" s="58"/>
      <c r="E287" s="58">
        <v>1.0</v>
      </c>
      <c r="F287" s="89" t="s">
        <v>2382</v>
      </c>
      <c r="G287" s="87" t="s">
        <v>1627</v>
      </c>
      <c r="H287" s="58" t="s">
        <v>1628</v>
      </c>
    </row>
    <row r="288" ht="15.75" customHeight="1">
      <c r="A288" s="56" t="s">
        <v>1738</v>
      </c>
      <c r="B288" s="58" t="s">
        <v>2277</v>
      </c>
      <c r="C288" s="58"/>
      <c r="D288" s="58"/>
      <c r="E288" s="58">
        <v>1.0</v>
      </c>
      <c r="F288" s="89" t="s">
        <v>2382</v>
      </c>
      <c r="G288" s="87" t="s">
        <v>2278</v>
      </c>
      <c r="H288" s="58" t="s">
        <v>2279</v>
      </c>
    </row>
    <row r="289" ht="15.75" customHeight="1">
      <c r="A289" s="56" t="s">
        <v>1633</v>
      </c>
      <c r="B289" s="58" t="s">
        <v>1634</v>
      </c>
      <c r="C289" s="58"/>
      <c r="D289" s="58"/>
      <c r="E289" s="58">
        <v>1.0</v>
      </c>
      <c r="F289" s="89" t="s">
        <v>2382</v>
      </c>
      <c r="G289" s="87" t="s">
        <v>1635</v>
      </c>
      <c r="H289" s="58" t="s">
        <v>1636</v>
      </c>
    </row>
    <row r="290" ht="15.75" customHeight="1">
      <c r="A290" s="56" t="s">
        <v>1639</v>
      </c>
      <c r="B290" s="58" t="s">
        <v>1640</v>
      </c>
      <c r="C290" s="58"/>
      <c r="D290" s="58"/>
      <c r="E290" s="58">
        <v>1.0</v>
      </c>
      <c r="F290" s="89" t="s">
        <v>2384</v>
      </c>
      <c r="G290" s="87" t="s">
        <v>1641</v>
      </c>
      <c r="H290" s="58" t="s">
        <v>1642</v>
      </c>
    </row>
    <row r="291" ht="15.75" customHeight="1">
      <c r="A291" s="56" t="s">
        <v>1645</v>
      </c>
      <c r="B291" s="58" t="s">
        <v>1646</v>
      </c>
      <c r="C291" s="58"/>
      <c r="D291" s="58"/>
      <c r="E291" s="58">
        <v>1.0</v>
      </c>
      <c r="F291" s="89" t="s">
        <v>2384</v>
      </c>
      <c r="G291" s="87" t="s">
        <v>1647</v>
      </c>
      <c r="H291" s="58" t="s">
        <v>1648</v>
      </c>
    </row>
    <row r="292" ht="15.75" customHeight="1">
      <c r="A292" s="56" t="s">
        <v>1651</v>
      </c>
      <c r="B292" s="58" t="s">
        <v>2305</v>
      </c>
      <c r="C292" s="58"/>
      <c r="D292" s="58"/>
      <c r="E292" s="58">
        <v>1.0</v>
      </c>
      <c r="F292" s="89" t="s">
        <v>2384</v>
      </c>
      <c r="G292" s="87" t="s">
        <v>2306</v>
      </c>
      <c r="H292" s="58" t="s">
        <v>2307</v>
      </c>
    </row>
    <row r="293" ht="15.75" customHeight="1">
      <c r="A293" s="56" t="s">
        <v>1656</v>
      </c>
      <c r="B293" s="58" t="s">
        <v>1657</v>
      </c>
      <c r="C293" s="58"/>
      <c r="D293" s="58"/>
      <c r="E293" s="58">
        <v>1.0</v>
      </c>
      <c r="F293" s="89" t="s">
        <v>2384</v>
      </c>
      <c r="G293" s="87" t="s">
        <v>1658</v>
      </c>
      <c r="H293" s="58" t="s">
        <v>1648</v>
      </c>
    </row>
    <row r="294" ht="15.75" customHeight="1">
      <c r="A294" s="56" t="s">
        <v>1661</v>
      </c>
      <c r="B294" s="58" t="s">
        <v>1662</v>
      </c>
      <c r="C294" s="58"/>
      <c r="D294" s="58"/>
      <c r="E294" s="58">
        <v>1.0</v>
      </c>
      <c r="F294" s="89" t="s">
        <v>2384</v>
      </c>
      <c r="G294" s="87" t="s">
        <v>1663</v>
      </c>
      <c r="H294" s="58" t="s">
        <v>1664</v>
      </c>
    </row>
    <row r="295" ht="15.75" customHeight="1">
      <c r="A295" s="56" t="s">
        <v>1667</v>
      </c>
      <c r="B295" s="58" t="s">
        <v>1668</v>
      </c>
      <c r="C295" s="58"/>
      <c r="D295" s="58"/>
      <c r="E295" s="58">
        <v>1.0</v>
      </c>
      <c r="F295" s="89" t="s">
        <v>2390</v>
      </c>
      <c r="G295" s="87" t="s">
        <v>1669</v>
      </c>
      <c r="H295" s="58" t="s">
        <v>1670</v>
      </c>
    </row>
    <row r="296" ht="15.75" customHeight="1">
      <c r="A296" s="56" t="s">
        <v>2342</v>
      </c>
      <c r="B296" s="58" t="s">
        <v>2343</v>
      </c>
      <c r="C296" s="58"/>
      <c r="D296" s="58"/>
      <c r="E296" s="58">
        <v>1.0</v>
      </c>
      <c r="F296" s="89" t="s">
        <v>2390</v>
      </c>
      <c r="G296" s="87" t="s">
        <v>2448</v>
      </c>
      <c r="H296" s="58" t="s">
        <v>2345</v>
      </c>
    </row>
    <row r="297" ht="15.75" customHeight="1">
      <c r="A297" s="56" t="s">
        <v>1672</v>
      </c>
      <c r="B297" s="58" t="s">
        <v>1673</v>
      </c>
      <c r="C297" s="58"/>
      <c r="D297" s="58"/>
      <c r="E297" s="58">
        <v>1.0</v>
      </c>
      <c r="F297" s="89" t="s">
        <v>2384</v>
      </c>
      <c r="G297" s="87" t="s">
        <v>1674</v>
      </c>
      <c r="H297" s="58" t="s">
        <v>1599</v>
      </c>
    </row>
    <row r="298" ht="15.75" customHeight="1">
      <c r="A298" s="56" t="s">
        <v>1677</v>
      </c>
      <c r="B298" s="58" t="s">
        <v>1678</v>
      </c>
      <c r="C298" s="58"/>
      <c r="D298" s="58"/>
      <c r="E298" s="58">
        <v>1.0</v>
      </c>
      <c r="F298" s="89" t="s">
        <v>2384</v>
      </c>
      <c r="G298" s="87" t="s">
        <v>1021</v>
      </c>
      <c r="H298" s="58" t="s">
        <v>1679</v>
      </c>
    </row>
    <row r="299" ht="15.75" customHeight="1">
      <c r="A299" s="56" t="s">
        <v>2107</v>
      </c>
      <c r="B299" s="58" t="s">
        <v>2108</v>
      </c>
      <c r="C299" s="58"/>
      <c r="D299" s="58"/>
      <c r="E299" s="58">
        <v>1.0</v>
      </c>
      <c r="F299" s="89" t="s">
        <v>2384</v>
      </c>
      <c r="G299" s="87" t="s">
        <v>2109</v>
      </c>
      <c r="H299" s="58" t="s">
        <v>2110</v>
      </c>
    </row>
    <row r="300" ht="15.75" customHeight="1">
      <c r="A300" s="56" t="s">
        <v>1691</v>
      </c>
      <c r="B300" s="58" t="s">
        <v>1692</v>
      </c>
      <c r="C300" s="58"/>
      <c r="D300" s="58"/>
      <c r="E300" s="58">
        <v>1.0</v>
      </c>
      <c r="F300" s="89" t="s">
        <v>2390</v>
      </c>
      <c r="G300" s="87" t="s">
        <v>2109</v>
      </c>
      <c r="H300" s="58" t="s">
        <v>1593</v>
      </c>
    </row>
    <row r="301" ht="15.75" customHeight="1">
      <c r="A301" s="56" t="s">
        <v>2265</v>
      </c>
      <c r="B301" s="58" t="s">
        <v>2266</v>
      </c>
      <c r="C301" s="58"/>
      <c r="D301" s="58"/>
      <c r="E301" s="58">
        <v>1.0</v>
      </c>
      <c r="F301" s="89" t="s">
        <v>2390</v>
      </c>
      <c r="G301" s="87" t="s">
        <v>2449</v>
      </c>
      <c r="H301" s="58" t="s">
        <v>1593</v>
      </c>
    </row>
    <row r="302" ht="15.75" customHeight="1">
      <c r="A302" s="56" t="s">
        <v>1695</v>
      </c>
      <c r="B302" s="58" t="s">
        <v>1696</v>
      </c>
      <c r="C302" s="58"/>
      <c r="D302" s="58"/>
      <c r="E302" s="58">
        <v>1.0</v>
      </c>
      <c r="F302" s="89" t="s">
        <v>2390</v>
      </c>
      <c r="G302" s="87" t="s">
        <v>1697</v>
      </c>
      <c r="H302" s="58" t="s">
        <v>1698</v>
      </c>
    </row>
    <row r="303" ht="15.75" customHeight="1">
      <c r="A303" s="56" t="s">
        <v>1701</v>
      </c>
      <c r="B303" s="58" t="s">
        <v>108</v>
      </c>
      <c r="C303" s="58"/>
      <c r="D303" s="58"/>
      <c r="E303" s="58">
        <v>1.0</v>
      </c>
      <c r="F303" s="89" t="s">
        <v>2384</v>
      </c>
      <c r="G303" s="87" t="s">
        <v>109</v>
      </c>
      <c r="H303" s="58" t="s">
        <v>110</v>
      </c>
    </row>
    <row r="304" ht="15.75" customHeight="1">
      <c r="A304" s="56" t="s">
        <v>2050</v>
      </c>
      <c r="B304" s="58" t="s">
        <v>2051</v>
      </c>
      <c r="C304" s="58"/>
      <c r="D304" s="58"/>
      <c r="E304" s="58">
        <v>1.0</v>
      </c>
      <c r="F304" s="89" t="s">
        <v>2384</v>
      </c>
      <c r="G304" s="87" t="s">
        <v>1627</v>
      </c>
      <c r="H304" s="58" t="s">
        <v>2052</v>
      </c>
    </row>
    <row r="305" ht="15.75" customHeight="1">
      <c r="A305" s="56" t="s">
        <v>1707</v>
      </c>
      <c r="B305" s="58" t="s">
        <v>1708</v>
      </c>
      <c r="C305" s="58"/>
      <c r="D305" s="58"/>
      <c r="E305" s="58">
        <v>1.0</v>
      </c>
      <c r="F305" s="89" t="s">
        <v>2384</v>
      </c>
      <c r="G305" s="87" t="s">
        <v>1709</v>
      </c>
      <c r="H305" s="58" t="s">
        <v>1710</v>
      </c>
    </row>
    <row r="306" ht="15.75" customHeight="1">
      <c r="A306" s="56" t="s">
        <v>1716</v>
      </c>
      <c r="B306" s="58" t="s">
        <v>1717</v>
      </c>
      <c r="C306" s="58"/>
      <c r="D306" s="58"/>
      <c r="E306" s="58">
        <v>1.0</v>
      </c>
      <c r="F306" s="89" t="s">
        <v>2382</v>
      </c>
      <c r="G306" s="58" t="s">
        <v>15</v>
      </c>
      <c r="H306" s="58" t="s">
        <v>1718</v>
      </c>
    </row>
    <row r="307" ht="15.75" customHeight="1">
      <c r="A307" s="56" t="s">
        <v>1719</v>
      </c>
      <c r="B307" s="58" t="s">
        <v>466</v>
      </c>
      <c r="C307" s="58"/>
      <c r="D307" s="58"/>
      <c r="E307" s="58">
        <v>1.0</v>
      </c>
      <c r="F307" s="89" t="s">
        <v>2401</v>
      </c>
      <c r="G307" s="58" t="s">
        <v>15</v>
      </c>
      <c r="H307" s="58" t="s">
        <v>467</v>
      </c>
    </row>
    <row r="308" ht="15.75" customHeight="1">
      <c r="A308" s="56" t="s">
        <v>1721</v>
      </c>
      <c r="B308" s="58" t="s">
        <v>466</v>
      </c>
      <c r="C308" s="58"/>
      <c r="D308" s="58"/>
      <c r="E308" s="58">
        <v>1.0</v>
      </c>
      <c r="F308" s="89" t="s">
        <v>2401</v>
      </c>
      <c r="G308" s="58" t="s">
        <v>15</v>
      </c>
      <c r="H308" s="58" t="s">
        <v>467</v>
      </c>
    </row>
    <row r="309" ht="15.75" customHeight="1">
      <c r="A309" s="56" t="s">
        <v>2450</v>
      </c>
      <c r="B309" s="58" t="s">
        <v>466</v>
      </c>
      <c r="C309" s="58"/>
      <c r="D309" s="58"/>
      <c r="E309" s="58">
        <v>1.0</v>
      </c>
      <c r="F309" s="89" t="s">
        <v>2401</v>
      </c>
      <c r="G309" s="58" t="s">
        <v>15</v>
      </c>
      <c r="H309" s="58" t="s">
        <v>467</v>
      </c>
    </row>
    <row r="310" ht="15.75" customHeight="1">
      <c r="A310" s="56"/>
      <c r="B310" s="58"/>
      <c r="C310" s="58"/>
      <c r="D310" s="58"/>
      <c r="E310" s="58"/>
      <c r="G310" s="58"/>
      <c r="H310" s="58"/>
    </row>
    <row r="311" ht="15.75" customHeight="1">
      <c r="A311" s="56"/>
      <c r="B311" s="58"/>
      <c r="C311" s="58"/>
      <c r="D311" s="58"/>
      <c r="E311" s="58"/>
      <c r="G311" s="58"/>
      <c r="H311" s="58"/>
    </row>
    <row r="312" ht="15.75" customHeight="1">
      <c r="A312" s="56"/>
      <c r="B312" s="58"/>
      <c r="C312" s="58"/>
      <c r="D312" s="58"/>
      <c r="E312" s="58"/>
      <c r="G312" s="58"/>
      <c r="H312" s="58"/>
    </row>
    <row r="313" ht="15.75" customHeight="1">
      <c r="A313" s="56"/>
      <c r="B313" s="58"/>
      <c r="C313" s="58"/>
      <c r="D313" s="58"/>
      <c r="E313" s="58"/>
      <c r="G313" s="58"/>
      <c r="H313" s="58"/>
    </row>
    <row r="314" ht="15.75" customHeight="1">
      <c r="A314" s="16"/>
      <c r="B314" s="10"/>
      <c r="C314" s="10"/>
      <c r="D314" s="10"/>
      <c r="E314" s="10"/>
      <c r="G314" s="10"/>
      <c r="H314" s="10"/>
    </row>
    <row r="315" ht="15.75" customHeight="1">
      <c r="A315" s="16"/>
      <c r="B315" s="10"/>
      <c r="C315" s="10"/>
      <c r="D315" s="10"/>
      <c r="E315" s="10"/>
      <c r="G315" s="10"/>
      <c r="H315" s="10"/>
    </row>
    <row r="316" ht="15.75" customHeight="1">
      <c r="A316" s="16"/>
      <c r="B316" s="10"/>
      <c r="C316" s="10"/>
      <c r="D316" s="10"/>
      <c r="E316" s="10"/>
      <c r="G316" s="10"/>
      <c r="H316" s="10"/>
    </row>
    <row r="317" ht="15.75" customHeight="1">
      <c r="A317" s="16"/>
      <c r="B317" s="10"/>
      <c r="C317" s="10"/>
      <c r="D317" s="10"/>
      <c r="E317" s="10"/>
      <c r="G317" s="10"/>
      <c r="H317" s="10"/>
    </row>
    <row r="318" ht="15.75" customHeight="1">
      <c r="A318" s="16"/>
      <c r="B318" s="10"/>
      <c r="C318" s="10"/>
      <c r="D318" s="10"/>
      <c r="E318" s="10"/>
      <c r="G318" s="10"/>
      <c r="H318" s="10"/>
    </row>
    <row r="319" ht="15.75" customHeight="1">
      <c r="A319" s="16"/>
      <c r="B319" s="10"/>
      <c r="C319" s="10"/>
      <c r="D319" s="10"/>
      <c r="E319" s="10"/>
      <c r="G319" s="10"/>
      <c r="H319" s="10"/>
    </row>
    <row r="320" ht="15.75" customHeight="1">
      <c r="A320" s="16"/>
      <c r="B320" s="10"/>
      <c r="C320" s="10"/>
      <c r="D320" s="10"/>
      <c r="E320" s="10"/>
      <c r="G320" s="10"/>
      <c r="H320" s="10"/>
    </row>
    <row r="321" ht="15.75" customHeight="1">
      <c r="A321" s="16"/>
      <c r="B321" s="10"/>
      <c r="C321" s="10"/>
      <c r="D321" s="10"/>
      <c r="E321" s="10"/>
      <c r="G321" s="10"/>
      <c r="H321" s="10"/>
    </row>
    <row r="322" ht="15.75" customHeight="1">
      <c r="A322" s="16"/>
      <c r="B322" s="10"/>
      <c r="C322" s="10"/>
      <c r="D322" s="10"/>
      <c r="E322" s="10"/>
      <c r="G322" s="10"/>
      <c r="H322" s="10"/>
    </row>
    <row r="323" ht="15.75" customHeight="1">
      <c r="A323" s="16"/>
      <c r="B323" s="10"/>
      <c r="C323" s="10"/>
      <c r="D323" s="10"/>
      <c r="E323" s="10"/>
      <c r="G323" s="10"/>
      <c r="H323" s="10"/>
    </row>
    <row r="324" ht="15.75" customHeight="1">
      <c r="A324" s="16"/>
      <c r="B324" s="10"/>
      <c r="C324" s="10"/>
      <c r="D324" s="10"/>
      <c r="E324" s="10"/>
      <c r="G324" s="10"/>
      <c r="H324" s="10"/>
    </row>
    <row r="325" ht="15.75" customHeight="1">
      <c r="A325" s="16"/>
      <c r="B325" s="10"/>
      <c r="C325" s="10"/>
      <c r="D325" s="10"/>
      <c r="E325" s="10"/>
      <c r="G325" s="10"/>
      <c r="H325" s="10"/>
    </row>
    <row r="326" ht="15.75" customHeight="1">
      <c r="A326" s="16"/>
      <c r="B326" s="10"/>
      <c r="C326" s="10"/>
      <c r="D326" s="10"/>
      <c r="E326" s="10"/>
      <c r="G326" s="10"/>
      <c r="H326" s="10"/>
    </row>
    <row r="327" ht="15.75" customHeight="1">
      <c r="A327" s="16"/>
      <c r="B327" s="10"/>
      <c r="C327" s="10"/>
      <c r="D327" s="10"/>
      <c r="E327" s="10"/>
      <c r="G327" s="10"/>
      <c r="H327" s="10"/>
    </row>
    <row r="328" ht="15.75" customHeight="1">
      <c r="A328" s="16"/>
      <c r="B328" s="10"/>
      <c r="C328" s="10"/>
      <c r="D328" s="10"/>
      <c r="E328" s="10"/>
      <c r="G328" s="10"/>
      <c r="H328" s="10"/>
    </row>
    <row r="329" ht="15.75" customHeight="1">
      <c r="A329" s="16"/>
      <c r="B329" s="10"/>
      <c r="C329" s="10"/>
      <c r="D329" s="10"/>
      <c r="E329" s="10"/>
      <c r="G329" s="10"/>
      <c r="H329" s="10"/>
    </row>
    <row r="330" ht="15.75" customHeight="1">
      <c r="A330" s="16"/>
      <c r="B330" s="10"/>
      <c r="C330" s="10"/>
      <c r="D330" s="10"/>
      <c r="E330" s="10"/>
      <c r="G330" s="10"/>
      <c r="H330" s="10"/>
    </row>
    <row r="331" ht="15.75" customHeight="1">
      <c r="A331" s="16"/>
      <c r="B331" s="10"/>
      <c r="C331" s="10"/>
      <c r="D331" s="10"/>
      <c r="E331" s="10"/>
      <c r="G331" s="10"/>
      <c r="H331" s="10"/>
    </row>
    <row r="332" ht="15.75" customHeight="1">
      <c r="A332" s="16"/>
      <c r="B332" s="10"/>
      <c r="C332" s="10"/>
      <c r="D332" s="10"/>
      <c r="E332" s="10"/>
      <c r="G332" s="10"/>
      <c r="H332" s="10"/>
    </row>
    <row r="333" ht="15.75" customHeight="1">
      <c r="A333" s="16"/>
      <c r="B333" s="10"/>
      <c r="C333" s="10"/>
      <c r="D333" s="10"/>
      <c r="E333" s="10"/>
      <c r="G333" s="10"/>
      <c r="H333" s="10"/>
    </row>
    <row r="334" ht="15.75" customHeight="1">
      <c r="A334" s="16"/>
      <c r="B334" s="10"/>
      <c r="C334" s="10"/>
      <c r="D334" s="10"/>
      <c r="E334" s="10"/>
      <c r="G334" s="10"/>
      <c r="H334" s="10"/>
    </row>
    <row r="335" ht="15.75" customHeight="1">
      <c r="A335" s="16"/>
      <c r="B335" s="10"/>
      <c r="C335" s="10"/>
      <c r="D335" s="10"/>
      <c r="E335" s="10"/>
      <c r="G335" s="10"/>
      <c r="H335" s="10"/>
    </row>
    <row r="336" ht="15.75" customHeight="1">
      <c r="A336" s="16"/>
      <c r="B336" s="10"/>
      <c r="C336" s="10"/>
      <c r="D336" s="10"/>
      <c r="E336" s="10"/>
      <c r="G336" s="10"/>
      <c r="H336" s="10"/>
    </row>
    <row r="337" ht="15.75" customHeight="1">
      <c r="A337" s="16"/>
      <c r="B337" s="10"/>
      <c r="C337" s="10"/>
      <c r="D337" s="10"/>
      <c r="E337" s="10"/>
      <c r="G337" s="10"/>
      <c r="H337" s="10"/>
    </row>
    <row r="338" ht="15.75" customHeight="1">
      <c r="A338" s="16"/>
      <c r="B338" s="10"/>
      <c r="C338" s="10"/>
      <c r="D338" s="10"/>
      <c r="E338" s="10"/>
      <c r="G338" s="10"/>
      <c r="H338" s="10"/>
    </row>
    <row r="339" ht="15.75" customHeight="1">
      <c r="A339" s="16"/>
      <c r="B339" s="10"/>
      <c r="C339" s="10"/>
      <c r="D339" s="10"/>
      <c r="E339" s="10"/>
      <c r="G339" s="10"/>
      <c r="H339" s="10"/>
    </row>
    <row r="340" ht="15.75" customHeight="1">
      <c r="A340" s="16"/>
      <c r="B340" s="10"/>
      <c r="C340" s="10"/>
      <c r="D340" s="10"/>
      <c r="E340" s="10"/>
      <c r="G340" s="10"/>
      <c r="H340" s="10"/>
    </row>
    <row r="341" ht="15.75" customHeight="1">
      <c r="A341" s="16"/>
      <c r="B341" s="10"/>
      <c r="C341" s="10"/>
      <c r="D341" s="10"/>
      <c r="E341" s="10"/>
      <c r="G341" s="10"/>
      <c r="H341" s="10"/>
    </row>
    <row r="342" ht="15.75" customHeight="1">
      <c r="A342" s="16"/>
      <c r="B342" s="10"/>
      <c r="C342" s="10"/>
      <c r="D342" s="10"/>
      <c r="E342" s="10"/>
      <c r="G342" s="10"/>
      <c r="H342" s="10"/>
    </row>
    <row r="343" ht="15.75" customHeight="1">
      <c r="A343" s="16"/>
      <c r="B343" s="10"/>
      <c r="C343" s="10"/>
      <c r="D343" s="10"/>
      <c r="E343" s="10"/>
      <c r="G343" s="10"/>
      <c r="H343" s="10"/>
    </row>
    <row r="344" ht="15.75" customHeight="1">
      <c r="A344" s="16"/>
      <c r="B344" s="10"/>
      <c r="C344" s="10"/>
      <c r="D344" s="10"/>
      <c r="E344" s="10"/>
      <c r="G344" s="10"/>
      <c r="H344" s="10"/>
    </row>
    <row r="345" ht="15.75" customHeight="1">
      <c r="A345" s="16"/>
      <c r="B345" s="10"/>
      <c r="C345" s="10"/>
      <c r="D345" s="10"/>
      <c r="E345" s="10"/>
      <c r="G345" s="10"/>
      <c r="H345" s="10"/>
    </row>
    <row r="346" ht="15.75" customHeight="1">
      <c r="A346" s="16"/>
      <c r="B346" s="10"/>
      <c r="C346" s="10"/>
      <c r="D346" s="10"/>
      <c r="E346" s="10"/>
      <c r="G346" s="10"/>
      <c r="H346" s="10"/>
    </row>
    <row r="347" ht="15.75" customHeight="1">
      <c r="A347" s="16"/>
      <c r="B347" s="10"/>
      <c r="C347" s="10"/>
      <c r="D347" s="10"/>
      <c r="E347" s="10"/>
      <c r="G347" s="10"/>
      <c r="H347" s="10"/>
    </row>
    <row r="348" ht="15.75" customHeight="1">
      <c r="A348" s="16"/>
      <c r="B348" s="10"/>
      <c r="C348" s="10"/>
      <c r="D348" s="10"/>
      <c r="E348" s="10"/>
      <c r="G348" s="10"/>
      <c r="H348" s="10"/>
    </row>
    <row r="349" ht="15.75" customHeight="1">
      <c r="A349" s="16"/>
      <c r="B349" s="10"/>
      <c r="C349" s="10"/>
      <c r="D349" s="10"/>
      <c r="E349" s="10"/>
      <c r="G349" s="10"/>
      <c r="H349" s="10"/>
    </row>
    <row r="350" ht="15.75" customHeight="1">
      <c r="A350" s="16"/>
      <c r="B350" s="10"/>
      <c r="C350" s="10"/>
      <c r="D350" s="10"/>
      <c r="E350" s="10"/>
      <c r="G350" s="10"/>
      <c r="H350" s="10"/>
    </row>
    <row r="351" ht="15.75" customHeight="1">
      <c r="A351" s="16"/>
      <c r="B351" s="10"/>
      <c r="C351" s="10"/>
      <c r="D351" s="10"/>
      <c r="E351" s="10"/>
      <c r="G351" s="10"/>
      <c r="H351" s="10"/>
    </row>
    <row r="352" ht="15.75" customHeight="1">
      <c r="A352" s="16"/>
      <c r="B352" s="10"/>
      <c r="C352" s="10"/>
      <c r="D352" s="10"/>
      <c r="E352" s="10"/>
      <c r="G352" s="10"/>
      <c r="H352" s="10"/>
    </row>
    <row r="353" ht="15.75" customHeight="1">
      <c r="A353" s="16"/>
      <c r="B353" s="10"/>
      <c r="C353" s="10"/>
      <c r="D353" s="10"/>
      <c r="E353" s="10"/>
      <c r="G353" s="10"/>
      <c r="H353" s="10"/>
    </row>
    <row r="354" ht="15.75" customHeight="1">
      <c r="A354" s="16"/>
      <c r="B354" s="10"/>
      <c r="C354" s="10"/>
      <c r="D354" s="10"/>
      <c r="E354" s="10"/>
      <c r="G354" s="10"/>
      <c r="H354" s="10"/>
    </row>
    <row r="355" ht="15.75" customHeight="1">
      <c r="A355" s="16"/>
      <c r="B355" s="10"/>
      <c r="C355" s="10"/>
      <c r="D355" s="10"/>
      <c r="E355" s="10"/>
      <c r="G355" s="10"/>
      <c r="H355" s="10"/>
    </row>
    <row r="356" ht="15.75" customHeight="1">
      <c r="A356" s="16"/>
      <c r="B356" s="10"/>
      <c r="C356" s="10"/>
      <c r="D356" s="10"/>
      <c r="E356" s="10"/>
      <c r="G356" s="10"/>
      <c r="H356" s="10"/>
    </row>
    <row r="357" ht="15.75" customHeight="1">
      <c r="A357" s="16"/>
      <c r="B357" s="10"/>
      <c r="C357" s="10"/>
      <c r="D357" s="10"/>
      <c r="E357" s="10"/>
      <c r="G357" s="10"/>
      <c r="H357" s="10"/>
    </row>
    <row r="358" ht="15.75" customHeight="1">
      <c r="A358" s="16"/>
      <c r="B358" s="10"/>
      <c r="C358" s="10"/>
      <c r="D358" s="10"/>
      <c r="E358" s="10"/>
      <c r="G358" s="10"/>
      <c r="H358" s="10"/>
    </row>
    <row r="359" ht="15.75" customHeight="1">
      <c r="A359" s="16"/>
      <c r="B359" s="10"/>
      <c r="C359" s="10"/>
      <c r="D359" s="10"/>
      <c r="E359" s="10"/>
      <c r="G359" s="10"/>
      <c r="H359" s="10"/>
    </row>
    <row r="360" ht="15.75" customHeight="1">
      <c r="A360" s="16"/>
      <c r="B360" s="10"/>
      <c r="C360" s="10"/>
      <c r="D360" s="10"/>
      <c r="E360" s="10"/>
      <c r="G360" s="10"/>
      <c r="H360" s="10"/>
    </row>
    <row r="361" ht="15.75" customHeight="1">
      <c r="A361" s="16"/>
      <c r="B361" s="10"/>
      <c r="C361" s="10"/>
      <c r="D361" s="10"/>
      <c r="E361" s="10"/>
      <c r="G361" s="10"/>
      <c r="H361" s="10"/>
    </row>
    <row r="362" ht="15.75" customHeight="1">
      <c r="A362" s="16"/>
      <c r="B362" s="10"/>
      <c r="C362" s="10"/>
      <c r="D362" s="10"/>
      <c r="E362" s="10"/>
      <c r="G362" s="10"/>
      <c r="H362" s="10"/>
    </row>
    <row r="363" ht="15.75" customHeight="1">
      <c r="A363" s="16"/>
      <c r="B363" s="10"/>
      <c r="C363" s="10"/>
      <c r="D363" s="10"/>
      <c r="E363" s="10"/>
      <c r="G363" s="10"/>
      <c r="H363" s="10"/>
    </row>
    <row r="364" ht="15.75" customHeight="1">
      <c r="A364" s="16"/>
      <c r="B364" s="10"/>
      <c r="C364" s="10"/>
      <c r="D364" s="10"/>
      <c r="E364" s="10"/>
      <c r="G364" s="10"/>
      <c r="H364" s="10"/>
    </row>
    <row r="365" ht="15.75" customHeight="1">
      <c r="A365" s="16"/>
      <c r="B365" s="10"/>
      <c r="C365" s="10"/>
      <c r="D365" s="10"/>
      <c r="E365" s="10"/>
      <c r="G365" s="10"/>
      <c r="H365" s="10"/>
    </row>
    <row r="366" ht="15.75" customHeight="1">
      <c r="A366" s="16"/>
      <c r="B366" s="10"/>
      <c r="C366" s="10"/>
      <c r="D366" s="10"/>
      <c r="E366" s="10"/>
      <c r="G366" s="10"/>
      <c r="H366" s="10"/>
    </row>
    <row r="367" ht="15.75" customHeight="1">
      <c r="A367" s="16"/>
      <c r="B367" s="10"/>
      <c r="C367" s="10"/>
      <c r="D367" s="10"/>
      <c r="E367" s="10"/>
      <c r="G367" s="10"/>
      <c r="H367" s="10"/>
    </row>
    <row r="368" ht="15.75" customHeight="1">
      <c r="A368" s="16"/>
      <c r="B368" s="10"/>
      <c r="C368" s="10"/>
      <c r="D368" s="10"/>
      <c r="E368" s="10"/>
      <c r="G368" s="10"/>
      <c r="H368" s="10"/>
    </row>
    <row r="369" ht="15.75" customHeight="1">
      <c r="A369" s="16"/>
      <c r="B369" s="10"/>
      <c r="C369" s="10"/>
      <c r="D369" s="10"/>
      <c r="E369" s="10"/>
      <c r="G369" s="10"/>
      <c r="H369" s="10"/>
    </row>
    <row r="370" ht="15.75" customHeight="1">
      <c r="A370" s="16"/>
      <c r="B370" s="10"/>
      <c r="C370" s="10"/>
      <c r="D370" s="10"/>
      <c r="E370" s="10"/>
      <c r="G370" s="10"/>
      <c r="H370" s="10"/>
    </row>
    <row r="371" ht="15.75" customHeight="1">
      <c r="A371" s="16"/>
      <c r="B371" s="10"/>
      <c r="C371" s="10"/>
      <c r="D371" s="10"/>
      <c r="E371" s="10"/>
      <c r="G371" s="10"/>
      <c r="H371" s="10"/>
    </row>
    <row r="372" ht="15.75" customHeight="1">
      <c r="A372" s="16"/>
      <c r="B372" s="10"/>
      <c r="C372" s="10"/>
      <c r="D372" s="10"/>
      <c r="E372" s="10"/>
      <c r="G372" s="10"/>
      <c r="H372" s="10"/>
    </row>
    <row r="373" ht="15.75" customHeight="1">
      <c r="A373" s="16"/>
      <c r="B373" s="10"/>
      <c r="C373" s="10"/>
      <c r="D373" s="10"/>
      <c r="E373" s="10"/>
      <c r="G373" s="10"/>
      <c r="H373" s="10"/>
    </row>
    <row r="374" ht="15.75" customHeight="1">
      <c r="A374" s="16"/>
      <c r="B374" s="10"/>
      <c r="C374" s="10"/>
      <c r="D374" s="10"/>
      <c r="E374" s="10"/>
      <c r="G374" s="10"/>
      <c r="H374" s="10"/>
    </row>
    <row r="375" ht="15.75" customHeight="1">
      <c r="A375" s="16"/>
      <c r="B375" s="10"/>
      <c r="C375" s="10"/>
      <c r="D375" s="10"/>
      <c r="E375" s="10"/>
      <c r="G375" s="10"/>
      <c r="H375" s="10"/>
    </row>
    <row r="376" ht="15.75" customHeight="1">
      <c r="A376" s="16"/>
      <c r="B376" s="10"/>
      <c r="C376" s="10"/>
      <c r="D376" s="10"/>
      <c r="E376" s="10"/>
      <c r="G376" s="10"/>
      <c r="H376" s="10"/>
    </row>
    <row r="377" ht="15.75" customHeight="1">
      <c r="A377" s="16"/>
      <c r="B377" s="10"/>
      <c r="C377" s="10"/>
      <c r="D377" s="10"/>
      <c r="E377" s="10"/>
      <c r="G377" s="10"/>
      <c r="H377" s="10"/>
    </row>
    <row r="378" ht="15.75" customHeight="1">
      <c r="A378" s="16"/>
      <c r="B378" s="10"/>
      <c r="C378" s="10"/>
      <c r="D378" s="10"/>
      <c r="E378" s="10"/>
      <c r="G378" s="10"/>
      <c r="H378" s="10"/>
    </row>
    <row r="379" ht="15.75" customHeight="1">
      <c r="A379" s="16"/>
      <c r="B379" s="10"/>
      <c r="C379" s="10"/>
      <c r="D379" s="10"/>
      <c r="E379" s="10"/>
      <c r="G379" s="10"/>
      <c r="H379" s="10"/>
    </row>
    <row r="380" ht="15.75" customHeight="1">
      <c r="A380" s="16"/>
      <c r="B380" s="10"/>
      <c r="C380" s="10"/>
      <c r="D380" s="10"/>
      <c r="E380" s="10"/>
      <c r="G380" s="10"/>
      <c r="H380" s="10"/>
    </row>
    <row r="381" ht="15.75" customHeight="1">
      <c r="A381" s="16"/>
      <c r="B381" s="10"/>
      <c r="C381" s="10"/>
      <c r="D381" s="10"/>
      <c r="E381" s="10"/>
      <c r="G381" s="10"/>
      <c r="H381" s="10"/>
    </row>
    <row r="382" ht="15.75" customHeight="1">
      <c r="A382" s="16"/>
      <c r="B382" s="10"/>
      <c r="C382" s="10"/>
      <c r="D382" s="10"/>
      <c r="E382" s="10"/>
      <c r="G382" s="10"/>
      <c r="H382" s="10"/>
    </row>
    <row r="383" ht="15.75" customHeight="1">
      <c r="A383" s="16"/>
      <c r="B383" s="10"/>
      <c r="C383" s="10"/>
      <c r="D383" s="10"/>
      <c r="E383" s="10"/>
      <c r="G383" s="10"/>
      <c r="H383" s="10"/>
    </row>
    <row r="384" ht="15.75" customHeight="1">
      <c r="A384" s="16"/>
      <c r="B384" s="10"/>
      <c r="C384" s="10"/>
      <c r="D384" s="10"/>
      <c r="E384" s="10"/>
      <c r="G384" s="10"/>
      <c r="H384" s="10"/>
    </row>
    <row r="385" ht="15.75" customHeight="1">
      <c r="A385" s="16"/>
      <c r="B385" s="10"/>
      <c r="C385" s="10"/>
      <c r="D385" s="10"/>
      <c r="E385" s="10"/>
      <c r="G385" s="10"/>
      <c r="H385" s="10"/>
    </row>
    <row r="386" ht="15.75" customHeight="1">
      <c r="A386" s="16"/>
      <c r="B386" s="10"/>
      <c r="C386" s="10"/>
      <c r="D386" s="10"/>
      <c r="E386" s="10"/>
      <c r="G386" s="10"/>
      <c r="H386" s="10"/>
    </row>
    <row r="387" ht="15.75" customHeight="1">
      <c r="A387" s="16"/>
      <c r="B387" s="10"/>
      <c r="C387" s="10"/>
      <c r="D387" s="10"/>
      <c r="E387" s="10"/>
      <c r="G387" s="10"/>
      <c r="H387" s="10"/>
    </row>
    <row r="388" ht="15.75" customHeight="1">
      <c r="A388" s="16"/>
      <c r="B388" s="10"/>
      <c r="C388" s="10"/>
      <c r="D388" s="10"/>
      <c r="E388" s="10"/>
      <c r="G388" s="10"/>
      <c r="H388" s="10"/>
    </row>
    <row r="389" ht="15.75" customHeight="1">
      <c r="A389" s="16"/>
      <c r="B389" s="10"/>
      <c r="C389" s="10"/>
      <c r="D389" s="10"/>
      <c r="E389" s="10"/>
      <c r="G389" s="10"/>
      <c r="H389" s="10"/>
    </row>
    <row r="390" ht="15.75" customHeight="1">
      <c r="A390" s="16"/>
      <c r="B390" s="10"/>
      <c r="C390" s="10"/>
      <c r="D390" s="10"/>
      <c r="E390" s="10"/>
      <c r="G390" s="10"/>
      <c r="H390" s="10"/>
    </row>
    <row r="391" ht="15.75" customHeight="1">
      <c r="A391" s="16"/>
      <c r="B391" s="10"/>
      <c r="C391" s="10"/>
      <c r="D391" s="10"/>
      <c r="E391" s="10"/>
      <c r="G391" s="10"/>
      <c r="H391" s="10"/>
    </row>
    <row r="392" ht="15.75" customHeight="1">
      <c r="A392" s="16"/>
      <c r="B392" s="10"/>
      <c r="C392" s="10"/>
      <c r="D392" s="10"/>
      <c r="E392" s="10"/>
      <c r="G392" s="10"/>
      <c r="H392" s="10"/>
    </row>
    <row r="393" ht="15.75" customHeight="1">
      <c r="A393" s="16"/>
      <c r="B393" s="10"/>
      <c r="C393" s="10"/>
      <c r="D393" s="10"/>
      <c r="E393" s="10"/>
      <c r="G393" s="10"/>
      <c r="H393" s="10"/>
    </row>
    <row r="394" ht="15.75" customHeight="1">
      <c r="A394" s="16"/>
      <c r="B394" s="10"/>
      <c r="C394" s="10"/>
      <c r="D394" s="10"/>
      <c r="E394" s="10"/>
      <c r="G394" s="10"/>
      <c r="H394" s="10"/>
    </row>
    <row r="395" ht="15.75" customHeight="1">
      <c r="A395" s="16"/>
      <c r="B395" s="10"/>
      <c r="C395" s="10"/>
      <c r="D395" s="10"/>
      <c r="E395" s="10"/>
      <c r="G395" s="10"/>
      <c r="H395" s="10"/>
    </row>
    <row r="396" ht="15.75" customHeight="1">
      <c r="A396" s="16"/>
      <c r="B396" s="10"/>
      <c r="C396" s="10"/>
      <c r="D396" s="10"/>
      <c r="E396" s="10"/>
      <c r="G396" s="10"/>
      <c r="H396" s="10"/>
    </row>
    <row r="397" ht="15.75" customHeight="1">
      <c r="A397" s="16"/>
      <c r="B397" s="10"/>
      <c r="C397" s="10"/>
      <c r="D397" s="10"/>
      <c r="E397" s="10"/>
      <c r="G397" s="10"/>
      <c r="H397" s="10"/>
    </row>
    <row r="398" ht="15.75" customHeight="1">
      <c r="A398" s="16"/>
      <c r="B398" s="10"/>
      <c r="C398" s="10"/>
      <c r="D398" s="10"/>
      <c r="E398" s="10"/>
      <c r="G398" s="10"/>
      <c r="H398" s="10"/>
    </row>
    <row r="399" ht="15.75" customHeight="1">
      <c r="A399" s="16"/>
      <c r="B399" s="10"/>
      <c r="C399" s="10"/>
      <c r="D399" s="10"/>
      <c r="E399" s="10"/>
      <c r="G399" s="10"/>
      <c r="H399" s="10"/>
    </row>
    <row r="400" ht="15.75" customHeight="1">
      <c r="A400" s="16"/>
      <c r="B400" s="10"/>
      <c r="C400" s="10"/>
      <c r="D400" s="10"/>
      <c r="E400" s="10"/>
      <c r="G400" s="10"/>
      <c r="H400" s="10"/>
    </row>
    <row r="401" ht="15.75" customHeight="1">
      <c r="A401" s="16"/>
      <c r="B401" s="10"/>
      <c r="C401" s="10"/>
      <c r="D401" s="10"/>
      <c r="E401" s="10"/>
      <c r="G401" s="10"/>
      <c r="H401" s="10"/>
    </row>
    <row r="402" ht="15.75" customHeight="1">
      <c r="A402" s="16"/>
      <c r="B402" s="10"/>
      <c r="C402" s="10"/>
      <c r="D402" s="10"/>
      <c r="E402" s="10"/>
      <c r="G402" s="10"/>
      <c r="H402" s="10"/>
    </row>
    <row r="403" ht="15.75" customHeight="1">
      <c r="A403" s="16"/>
      <c r="B403" s="10"/>
      <c r="C403" s="10"/>
      <c r="D403" s="10"/>
      <c r="E403" s="10"/>
      <c r="G403" s="10"/>
      <c r="H403" s="10"/>
    </row>
    <row r="404" ht="15.75" customHeight="1">
      <c r="A404" s="16"/>
      <c r="B404" s="10"/>
      <c r="C404" s="10"/>
      <c r="D404" s="10"/>
      <c r="E404" s="10"/>
      <c r="G404" s="10"/>
      <c r="H404" s="10"/>
    </row>
    <row r="405" ht="15.75" customHeight="1">
      <c r="A405" s="16"/>
      <c r="B405" s="10"/>
      <c r="C405" s="10"/>
      <c r="D405" s="10"/>
      <c r="E405" s="10"/>
      <c r="G405" s="10"/>
      <c r="H405" s="10"/>
    </row>
    <row r="406" ht="15.75" customHeight="1">
      <c r="A406" s="16"/>
      <c r="B406" s="10"/>
      <c r="C406" s="10"/>
      <c r="D406" s="10"/>
      <c r="E406" s="10"/>
      <c r="G406" s="10"/>
      <c r="H406" s="10"/>
    </row>
    <row r="407" ht="15.75" customHeight="1">
      <c r="A407" s="16"/>
      <c r="B407" s="10"/>
      <c r="C407" s="10"/>
      <c r="D407" s="10"/>
      <c r="E407" s="10"/>
      <c r="G407" s="10"/>
      <c r="H407" s="10"/>
    </row>
    <row r="408" ht="15.75" customHeight="1">
      <c r="A408" s="16"/>
      <c r="B408" s="10"/>
      <c r="C408" s="10"/>
      <c r="D408" s="10"/>
      <c r="E408" s="10"/>
      <c r="G408" s="10"/>
      <c r="H408" s="10"/>
    </row>
    <row r="409" ht="15.75" customHeight="1">
      <c r="A409" s="16"/>
      <c r="B409" s="10"/>
      <c r="C409" s="10"/>
      <c r="D409" s="10"/>
      <c r="E409" s="10"/>
      <c r="G409" s="10"/>
      <c r="H409" s="10"/>
    </row>
    <row r="410" ht="15.75" customHeight="1">
      <c r="A410" s="16"/>
      <c r="B410" s="10"/>
      <c r="C410" s="10"/>
      <c r="D410" s="10"/>
      <c r="E410" s="10"/>
      <c r="G410" s="10"/>
      <c r="H410" s="10"/>
    </row>
    <row r="411" ht="15.75" customHeight="1">
      <c r="A411" s="16"/>
      <c r="B411" s="10"/>
      <c r="C411" s="10"/>
      <c r="D411" s="10"/>
      <c r="E411" s="10"/>
      <c r="G411" s="10"/>
      <c r="H411" s="10"/>
    </row>
    <row r="412" ht="15.75" customHeight="1">
      <c r="A412" s="16"/>
      <c r="B412" s="10"/>
      <c r="C412" s="10"/>
      <c r="D412" s="10"/>
      <c r="E412" s="10"/>
      <c r="G412" s="10"/>
      <c r="H412" s="10"/>
    </row>
    <row r="413" ht="15.75" customHeight="1">
      <c r="A413" s="16"/>
      <c r="B413" s="10"/>
      <c r="C413" s="10"/>
      <c r="D413" s="10"/>
      <c r="E413" s="10"/>
      <c r="G413" s="10"/>
      <c r="H413" s="10"/>
    </row>
    <row r="414" ht="15.75" customHeight="1">
      <c r="A414" s="16"/>
      <c r="B414" s="10"/>
      <c r="C414" s="10"/>
      <c r="D414" s="10"/>
      <c r="E414" s="10"/>
      <c r="G414" s="10"/>
      <c r="H414" s="10"/>
    </row>
    <row r="415" ht="15.75" customHeight="1">
      <c r="A415" s="16"/>
      <c r="B415" s="10"/>
      <c r="C415" s="10"/>
      <c r="D415" s="10"/>
      <c r="E415" s="10"/>
      <c r="G415" s="10"/>
      <c r="H415" s="10"/>
    </row>
    <row r="416" ht="15.75" customHeight="1">
      <c r="A416" s="16"/>
      <c r="B416" s="10"/>
      <c r="C416" s="10"/>
      <c r="D416" s="10"/>
      <c r="E416" s="10"/>
      <c r="G416" s="10"/>
      <c r="H416" s="10"/>
    </row>
    <row r="417" ht="15.75" customHeight="1">
      <c r="A417" s="16"/>
      <c r="B417" s="10"/>
      <c r="C417" s="10"/>
      <c r="D417" s="10"/>
      <c r="E417" s="10"/>
      <c r="G417" s="10"/>
      <c r="H417" s="10"/>
    </row>
    <row r="418" ht="15.75" customHeight="1">
      <c r="A418" s="16"/>
      <c r="B418" s="10"/>
      <c r="C418" s="10"/>
      <c r="D418" s="10"/>
      <c r="E418" s="10"/>
      <c r="G418" s="10"/>
      <c r="H418" s="10"/>
    </row>
    <row r="419" ht="15.75" customHeight="1">
      <c r="A419" s="16"/>
      <c r="B419" s="10"/>
      <c r="C419" s="10"/>
      <c r="D419" s="10"/>
      <c r="E419" s="10"/>
      <c r="G419" s="10"/>
      <c r="H419" s="10"/>
    </row>
    <row r="420" ht="15.75" customHeight="1">
      <c r="A420" s="16"/>
      <c r="B420" s="10"/>
      <c r="C420" s="10"/>
      <c r="D420" s="10"/>
      <c r="E420" s="10"/>
      <c r="G420" s="10"/>
      <c r="H420" s="10"/>
    </row>
    <row r="421" ht="15.75" customHeight="1">
      <c r="A421" s="16"/>
      <c r="B421" s="10"/>
      <c r="C421" s="10"/>
      <c r="D421" s="10"/>
      <c r="E421" s="10"/>
      <c r="G421" s="10"/>
      <c r="H421" s="10"/>
    </row>
    <row r="422" ht="15.75" customHeight="1">
      <c r="A422" s="16"/>
      <c r="B422" s="10"/>
      <c r="C422" s="10"/>
      <c r="D422" s="10"/>
      <c r="E422" s="10"/>
      <c r="G422" s="10"/>
      <c r="H422" s="10"/>
    </row>
    <row r="423" ht="15.75" customHeight="1">
      <c r="A423" s="16"/>
      <c r="B423" s="10"/>
      <c r="C423" s="10"/>
      <c r="D423" s="10"/>
      <c r="E423" s="10"/>
      <c r="G423" s="10"/>
      <c r="H423" s="10"/>
    </row>
    <row r="424" ht="15.75" customHeight="1">
      <c r="A424" s="16"/>
      <c r="B424" s="10"/>
      <c r="C424" s="10"/>
      <c r="D424" s="10"/>
      <c r="E424" s="10"/>
      <c r="G424" s="10"/>
      <c r="H424" s="10"/>
    </row>
    <row r="425" ht="15.75" customHeight="1">
      <c r="A425" s="16"/>
      <c r="B425" s="10"/>
      <c r="C425" s="10"/>
      <c r="D425" s="10"/>
      <c r="E425" s="10"/>
      <c r="G425" s="10"/>
      <c r="H425" s="10"/>
    </row>
    <row r="426" ht="15.75" customHeight="1">
      <c r="A426" s="16"/>
      <c r="B426" s="10"/>
      <c r="C426" s="10"/>
      <c r="D426" s="10"/>
      <c r="E426" s="10"/>
      <c r="G426" s="10"/>
      <c r="H426" s="10"/>
    </row>
    <row r="427" ht="15.75" customHeight="1">
      <c r="A427" s="16"/>
      <c r="B427" s="10"/>
      <c r="C427" s="10"/>
      <c r="D427" s="10"/>
      <c r="E427" s="10"/>
      <c r="G427" s="10"/>
      <c r="H427" s="10"/>
    </row>
    <row r="428" ht="15.75" customHeight="1">
      <c r="A428" s="16"/>
      <c r="B428" s="10"/>
      <c r="C428" s="10"/>
      <c r="D428" s="10"/>
      <c r="E428" s="10"/>
      <c r="G428" s="10"/>
      <c r="H428" s="10"/>
    </row>
    <row r="429" ht="15.75" customHeight="1">
      <c r="A429" s="16"/>
      <c r="B429" s="10"/>
      <c r="C429" s="10"/>
      <c r="D429" s="10"/>
      <c r="E429" s="10"/>
      <c r="G429" s="10"/>
      <c r="H429" s="10"/>
    </row>
    <row r="430" ht="15.75" customHeight="1">
      <c r="A430" s="16"/>
      <c r="B430" s="10"/>
      <c r="C430" s="10"/>
      <c r="D430" s="10"/>
      <c r="E430" s="10"/>
      <c r="G430" s="10"/>
      <c r="H430" s="10"/>
    </row>
    <row r="431" ht="15.75" customHeight="1">
      <c r="A431" s="16"/>
      <c r="B431" s="10"/>
      <c r="C431" s="10"/>
      <c r="D431" s="10"/>
      <c r="E431" s="10"/>
      <c r="G431" s="10"/>
      <c r="H431" s="10"/>
    </row>
    <row r="432" ht="15.75" customHeight="1">
      <c r="A432" s="16"/>
      <c r="B432" s="10"/>
      <c r="C432" s="10"/>
      <c r="D432" s="10"/>
      <c r="E432" s="10"/>
      <c r="G432" s="10"/>
      <c r="H432" s="10"/>
    </row>
    <row r="433" ht="15.75" customHeight="1">
      <c r="A433" s="16"/>
      <c r="B433" s="10"/>
      <c r="C433" s="10"/>
      <c r="D433" s="10"/>
      <c r="E433" s="10"/>
      <c r="G433" s="10"/>
      <c r="H433" s="10"/>
    </row>
    <row r="434" ht="15.75" customHeight="1">
      <c r="A434" s="16"/>
      <c r="B434" s="10"/>
      <c r="C434" s="10"/>
      <c r="D434" s="10"/>
      <c r="E434" s="10"/>
      <c r="G434" s="10"/>
      <c r="H434" s="10"/>
    </row>
    <row r="435" ht="15.75" customHeight="1">
      <c r="A435" s="16"/>
      <c r="B435" s="10"/>
      <c r="C435" s="10"/>
      <c r="D435" s="10"/>
      <c r="E435" s="10"/>
      <c r="G435" s="10"/>
      <c r="H435" s="10"/>
    </row>
    <row r="436" ht="15.75" customHeight="1">
      <c r="A436" s="16"/>
      <c r="B436" s="10"/>
      <c r="C436" s="10"/>
      <c r="D436" s="10"/>
      <c r="E436" s="10"/>
      <c r="G436" s="10"/>
      <c r="H436" s="10"/>
    </row>
    <row r="437" ht="15.75" customHeight="1">
      <c r="A437" s="16"/>
      <c r="B437" s="10"/>
      <c r="C437" s="10"/>
      <c r="D437" s="10"/>
      <c r="E437" s="10"/>
      <c r="G437" s="10"/>
      <c r="H437" s="10"/>
    </row>
    <row r="438" ht="15.75" customHeight="1">
      <c r="A438" s="16"/>
      <c r="B438" s="10"/>
      <c r="C438" s="10"/>
      <c r="D438" s="10"/>
      <c r="E438" s="10"/>
      <c r="G438" s="10"/>
      <c r="H438" s="10"/>
    </row>
    <row r="439" ht="15.75" customHeight="1">
      <c r="A439" s="16"/>
      <c r="B439" s="10"/>
      <c r="C439" s="10"/>
      <c r="D439" s="10"/>
      <c r="E439" s="10"/>
      <c r="G439" s="10"/>
      <c r="H439" s="10"/>
    </row>
    <row r="440" ht="15.75" customHeight="1">
      <c r="A440" s="16"/>
      <c r="B440" s="10"/>
      <c r="C440" s="10"/>
      <c r="D440" s="10"/>
      <c r="E440" s="10"/>
      <c r="G440" s="10"/>
      <c r="H440" s="10"/>
    </row>
    <row r="441" ht="15.75" customHeight="1">
      <c r="A441" s="16"/>
      <c r="B441" s="10"/>
      <c r="C441" s="10"/>
      <c r="D441" s="10"/>
      <c r="E441" s="10"/>
      <c r="G441" s="10"/>
      <c r="H441" s="10"/>
    </row>
    <row r="442" ht="15.75" customHeight="1">
      <c r="A442" s="16"/>
      <c r="B442" s="10"/>
      <c r="C442" s="10"/>
      <c r="D442" s="10"/>
      <c r="E442" s="10"/>
      <c r="G442" s="10"/>
      <c r="H442" s="10"/>
    </row>
    <row r="443" ht="15.75" customHeight="1">
      <c r="A443" s="16"/>
      <c r="B443" s="10"/>
      <c r="C443" s="10"/>
      <c r="D443" s="10"/>
      <c r="E443" s="10"/>
      <c r="G443" s="10"/>
      <c r="H443" s="10"/>
    </row>
    <row r="444" ht="15.75" customHeight="1">
      <c r="A444" s="16"/>
      <c r="B444" s="10"/>
      <c r="C444" s="10"/>
      <c r="D444" s="10"/>
      <c r="E444" s="10"/>
      <c r="G444" s="10"/>
      <c r="H444" s="10"/>
    </row>
    <row r="445" ht="15.75" customHeight="1">
      <c r="A445" s="16"/>
      <c r="B445" s="10"/>
      <c r="C445" s="10"/>
      <c r="D445" s="10"/>
      <c r="E445" s="10"/>
      <c r="G445" s="10"/>
      <c r="H445" s="10"/>
    </row>
    <row r="446" ht="15.75" customHeight="1">
      <c r="A446" s="16"/>
      <c r="B446" s="10"/>
      <c r="C446" s="10"/>
      <c r="D446" s="10"/>
      <c r="E446" s="10"/>
      <c r="G446" s="10"/>
      <c r="H446" s="10"/>
    </row>
    <row r="447" ht="15.75" customHeight="1">
      <c r="A447" s="16"/>
      <c r="B447" s="10"/>
      <c r="C447" s="10"/>
      <c r="D447" s="10"/>
      <c r="E447" s="10"/>
      <c r="G447" s="10"/>
      <c r="H447" s="10"/>
    </row>
    <row r="448" ht="15.75" customHeight="1">
      <c r="A448" s="16"/>
      <c r="B448" s="10"/>
      <c r="C448" s="10"/>
      <c r="D448" s="10"/>
      <c r="E448" s="10"/>
      <c r="G448" s="10"/>
      <c r="H448" s="10"/>
    </row>
    <row r="449" ht="15.75" customHeight="1">
      <c r="A449" s="16"/>
      <c r="B449" s="10"/>
      <c r="C449" s="10"/>
      <c r="D449" s="10"/>
      <c r="E449" s="10"/>
      <c r="G449" s="10"/>
      <c r="H449" s="10"/>
    </row>
    <row r="450" ht="15.75" customHeight="1">
      <c r="A450" s="16"/>
      <c r="B450" s="10"/>
      <c r="C450" s="10"/>
      <c r="D450" s="10"/>
      <c r="E450" s="10"/>
      <c r="G450" s="10"/>
      <c r="H450" s="10"/>
    </row>
    <row r="451" ht="15.75" customHeight="1">
      <c r="A451" s="16"/>
      <c r="B451" s="10"/>
      <c r="C451" s="10"/>
      <c r="D451" s="10"/>
      <c r="E451" s="10"/>
      <c r="G451" s="10"/>
      <c r="H451" s="10"/>
    </row>
    <row r="452" ht="15.75" customHeight="1">
      <c r="A452" s="16"/>
      <c r="B452" s="10"/>
      <c r="C452" s="10"/>
      <c r="D452" s="10"/>
      <c r="E452" s="10"/>
      <c r="G452" s="10"/>
      <c r="H452" s="10"/>
    </row>
    <row r="453" ht="15.75" customHeight="1">
      <c r="A453" s="16"/>
      <c r="B453" s="10"/>
      <c r="C453" s="10"/>
      <c r="D453" s="10"/>
      <c r="E453" s="10"/>
      <c r="G453" s="10"/>
      <c r="H453" s="10"/>
    </row>
    <row r="454" ht="15.75" customHeight="1">
      <c r="A454" s="16"/>
      <c r="B454" s="10"/>
      <c r="C454" s="10"/>
      <c r="D454" s="10"/>
      <c r="E454" s="10"/>
      <c r="G454" s="10"/>
      <c r="H454" s="10"/>
    </row>
    <row r="455" ht="15.75" customHeight="1">
      <c r="A455" s="16"/>
      <c r="B455" s="10"/>
      <c r="C455" s="10"/>
      <c r="D455" s="10"/>
      <c r="E455" s="10"/>
      <c r="G455" s="10"/>
      <c r="H455" s="10"/>
    </row>
    <row r="456" ht="15.75" customHeight="1">
      <c r="A456" s="16"/>
      <c r="B456" s="10"/>
      <c r="C456" s="10"/>
      <c r="D456" s="10"/>
      <c r="E456" s="10"/>
      <c r="G456" s="10"/>
      <c r="H456" s="10"/>
    </row>
    <row r="457" ht="15.75" customHeight="1">
      <c r="A457" s="16"/>
      <c r="B457" s="10"/>
      <c r="C457" s="10"/>
      <c r="D457" s="10"/>
      <c r="E457" s="10"/>
      <c r="G457" s="10"/>
      <c r="H457" s="10"/>
    </row>
    <row r="458" ht="15.75" customHeight="1">
      <c r="A458" s="16"/>
      <c r="B458" s="10"/>
      <c r="C458" s="10"/>
      <c r="D458" s="10"/>
      <c r="E458" s="10"/>
      <c r="G458" s="10"/>
      <c r="H458" s="10"/>
    </row>
    <row r="459" ht="15.75" customHeight="1">
      <c r="A459" s="16"/>
      <c r="B459" s="10"/>
      <c r="C459" s="10"/>
      <c r="D459" s="10"/>
      <c r="E459" s="10"/>
      <c r="G459" s="10"/>
      <c r="H459" s="10"/>
    </row>
    <row r="460" ht="15.75" customHeight="1">
      <c r="A460" s="16"/>
      <c r="B460" s="10"/>
      <c r="C460" s="10"/>
      <c r="D460" s="10"/>
      <c r="E460" s="10"/>
      <c r="G460" s="10"/>
      <c r="H460" s="10"/>
    </row>
    <row r="461" ht="15.75" customHeight="1">
      <c r="A461" s="16"/>
      <c r="B461" s="10"/>
      <c r="C461" s="10"/>
      <c r="D461" s="10"/>
      <c r="E461" s="10"/>
      <c r="G461" s="10"/>
      <c r="H461" s="10"/>
    </row>
    <row r="462" ht="15.75" customHeight="1">
      <c r="A462" s="16"/>
      <c r="B462" s="10"/>
      <c r="C462" s="10"/>
      <c r="D462" s="10"/>
      <c r="E462" s="10"/>
      <c r="G462" s="10"/>
      <c r="H462" s="10"/>
    </row>
    <row r="463" ht="15.75" customHeight="1">
      <c r="A463" s="16"/>
      <c r="B463" s="10"/>
      <c r="C463" s="10"/>
      <c r="D463" s="10"/>
      <c r="E463" s="10"/>
      <c r="G463" s="10"/>
      <c r="H463" s="10"/>
    </row>
    <row r="464" ht="15.75" customHeight="1">
      <c r="A464" s="16"/>
      <c r="B464" s="10"/>
      <c r="C464" s="10"/>
      <c r="D464" s="10"/>
      <c r="E464" s="10"/>
      <c r="G464" s="10"/>
      <c r="H464" s="10"/>
    </row>
    <row r="465" ht="15.75" customHeight="1">
      <c r="A465" s="16"/>
      <c r="B465" s="10"/>
      <c r="C465" s="10"/>
      <c r="D465" s="10"/>
      <c r="E465" s="10"/>
      <c r="G465" s="10"/>
      <c r="H465" s="10"/>
    </row>
    <row r="466" ht="15.75" customHeight="1">
      <c r="A466" s="16"/>
      <c r="B466" s="10"/>
      <c r="C466" s="10"/>
      <c r="D466" s="10"/>
      <c r="E466" s="10"/>
      <c r="G466" s="10"/>
      <c r="H466" s="10"/>
    </row>
    <row r="467" ht="15.75" customHeight="1">
      <c r="A467" s="16"/>
      <c r="B467" s="10"/>
      <c r="C467" s="10"/>
      <c r="D467" s="10"/>
      <c r="E467" s="10"/>
      <c r="G467" s="10"/>
      <c r="H467" s="10"/>
    </row>
    <row r="468" ht="15.75" customHeight="1">
      <c r="A468" s="16"/>
      <c r="B468" s="10"/>
      <c r="C468" s="10"/>
      <c r="D468" s="10"/>
      <c r="E468" s="10"/>
      <c r="G468" s="10"/>
      <c r="H468" s="10"/>
    </row>
    <row r="469" ht="15.75" customHeight="1">
      <c r="A469" s="16"/>
      <c r="B469" s="10"/>
      <c r="C469" s="10"/>
      <c r="D469" s="10"/>
      <c r="E469" s="10"/>
      <c r="G469" s="10"/>
      <c r="H469" s="10"/>
    </row>
    <row r="470" ht="15.75" customHeight="1">
      <c r="A470" s="16"/>
      <c r="B470" s="10"/>
      <c r="C470" s="10"/>
      <c r="D470" s="10"/>
      <c r="E470" s="10"/>
      <c r="G470" s="10"/>
      <c r="H470" s="10"/>
    </row>
    <row r="471" ht="15.75" customHeight="1">
      <c r="A471" s="16"/>
      <c r="B471" s="10"/>
      <c r="C471" s="10"/>
      <c r="D471" s="10"/>
      <c r="E471" s="10"/>
      <c r="G471" s="10"/>
      <c r="H471" s="10"/>
    </row>
    <row r="472" ht="15.75" customHeight="1">
      <c r="A472" s="16"/>
      <c r="B472" s="10"/>
      <c r="C472" s="10"/>
      <c r="D472" s="10"/>
      <c r="E472" s="10"/>
      <c r="G472" s="10"/>
      <c r="H472" s="10"/>
    </row>
    <row r="473" ht="15.75" customHeight="1">
      <c r="A473" s="16"/>
      <c r="B473" s="10"/>
      <c r="C473" s="10"/>
      <c r="D473" s="10"/>
      <c r="E473" s="10"/>
      <c r="G473" s="10"/>
      <c r="H473" s="10"/>
    </row>
    <row r="474" ht="15.75" customHeight="1">
      <c r="A474" s="16"/>
      <c r="B474" s="10"/>
      <c r="C474" s="10"/>
      <c r="D474" s="10"/>
      <c r="E474" s="10"/>
      <c r="G474" s="10"/>
      <c r="H474" s="10"/>
    </row>
    <row r="475" ht="15.75" customHeight="1">
      <c r="A475" s="16"/>
      <c r="B475" s="10"/>
      <c r="C475" s="10"/>
      <c r="D475" s="10"/>
      <c r="E475" s="10"/>
      <c r="G475" s="10"/>
      <c r="H475" s="10"/>
    </row>
    <row r="476" ht="15.75" customHeight="1">
      <c r="A476" s="16"/>
      <c r="B476" s="10"/>
      <c r="C476" s="10"/>
      <c r="D476" s="10"/>
      <c r="E476" s="10"/>
      <c r="G476" s="10"/>
      <c r="H476" s="10"/>
    </row>
    <row r="477" ht="15.75" customHeight="1">
      <c r="A477" s="16"/>
      <c r="B477" s="10"/>
      <c r="C477" s="10"/>
      <c r="D477" s="10"/>
      <c r="E477" s="10"/>
      <c r="G477" s="10"/>
      <c r="H477" s="10"/>
    </row>
    <row r="478" ht="15.75" customHeight="1">
      <c r="A478" s="16"/>
      <c r="B478" s="10"/>
      <c r="C478" s="10"/>
      <c r="D478" s="10"/>
      <c r="E478" s="10"/>
      <c r="G478" s="10"/>
      <c r="H478" s="10"/>
    </row>
    <row r="479" ht="15.75" customHeight="1">
      <c r="A479" s="16"/>
      <c r="B479" s="10"/>
      <c r="C479" s="10"/>
      <c r="D479" s="10"/>
      <c r="E479" s="10"/>
      <c r="G479" s="10"/>
      <c r="H479" s="10"/>
    </row>
    <row r="480" ht="15.75" customHeight="1">
      <c r="A480" s="16"/>
      <c r="B480" s="10"/>
      <c r="C480" s="10"/>
      <c r="D480" s="10"/>
      <c r="E480" s="10"/>
      <c r="G480" s="10"/>
      <c r="H480" s="10"/>
    </row>
    <row r="481" ht="15.75" customHeight="1">
      <c r="A481" s="16"/>
      <c r="B481" s="10"/>
      <c r="C481" s="10"/>
      <c r="D481" s="10"/>
      <c r="E481" s="10"/>
      <c r="G481" s="10"/>
      <c r="H481" s="10"/>
    </row>
    <row r="482" ht="15.75" customHeight="1">
      <c r="A482" s="16"/>
      <c r="B482" s="10"/>
      <c r="C482" s="10"/>
      <c r="D482" s="10"/>
      <c r="E482" s="10"/>
      <c r="G482" s="10"/>
      <c r="H482" s="10"/>
    </row>
    <row r="483" ht="15.75" customHeight="1">
      <c r="A483" s="16"/>
      <c r="B483" s="10"/>
      <c r="C483" s="10"/>
      <c r="D483" s="10"/>
      <c r="E483" s="10"/>
      <c r="G483" s="10"/>
      <c r="H483" s="10"/>
    </row>
    <row r="484" ht="15.75" customHeight="1">
      <c r="A484" s="16"/>
      <c r="B484" s="10"/>
      <c r="C484" s="10"/>
      <c r="D484" s="10"/>
      <c r="E484" s="10"/>
      <c r="G484" s="10"/>
      <c r="H484" s="10"/>
    </row>
    <row r="485" ht="15.75" customHeight="1">
      <c r="A485" s="16"/>
      <c r="B485" s="10"/>
      <c r="C485" s="10"/>
      <c r="D485" s="10"/>
      <c r="E485" s="10"/>
      <c r="G485" s="10"/>
      <c r="H485" s="10"/>
    </row>
    <row r="486" ht="15.75" customHeight="1">
      <c r="A486" s="16"/>
      <c r="B486" s="10"/>
      <c r="C486" s="10"/>
      <c r="D486" s="10"/>
      <c r="E486" s="10"/>
      <c r="G486" s="10"/>
      <c r="H486" s="10"/>
    </row>
    <row r="487" ht="15.75" customHeight="1">
      <c r="A487" s="16"/>
      <c r="B487" s="10"/>
      <c r="C487" s="10"/>
      <c r="D487" s="10"/>
      <c r="E487" s="10"/>
      <c r="G487" s="10"/>
      <c r="H487" s="10"/>
    </row>
    <row r="488" ht="15.75" customHeight="1">
      <c r="A488" s="16"/>
      <c r="B488" s="10"/>
      <c r="C488" s="10"/>
      <c r="D488" s="10"/>
      <c r="E488" s="10"/>
      <c r="G488" s="10"/>
      <c r="H488" s="10"/>
    </row>
    <row r="489" ht="15.75" customHeight="1">
      <c r="A489" s="16"/>
      <c r="B489" s="10"/>
      <c r="C489" s="10"/>
      <c r="D489" s="10"/>
      <c r="E489" s="10"/>
      <c r="G489" s="10"/>
      <c r="H489" s="10"/>
    </row>
    <row r="490" ht="15.75" customHeight="1">
      <c r="A490" s="16"/>
      <c r="B490" s="10"/>
      <c r="C490" s="10"/>
      <c r="D490" s="10"/>
      <c r="E490" s="10"/>
      <c r="G490" s="10"/>
      <c r="H490" s="10"/>
    </row>
    <row r="491" ht="15.75" customHeight="1">
      <c r="A491" s="16"/>
      <c r="B491" s="10"/>
      <c r="C491" s="10"/>
      <c r="D491" s="10"/>
      <c r="E491" s="10"/>
      <c r="G491" s="10"/>
      <c r="H491" s="10"/>
    </row>
    <row r="492" ht="15.75" customHeight="1">
      <c r="A492" s="16"/>
      <c r="B492" s="10"/>
      <c r="C492" s="10"/>
      <c r="D492" s="10"/>
      <c r="E492" s="10"/>
      <c r="G492" s="10"/>
      <c r="H492" s="10"/>
    </row>
    <row r="493" ht="15.75" customHeight="1">
      <c r="A493" s="16"/>
      <c r="B493" s="10"/>
      <c r="C493" s="10"/>
      <c r="D493" s="10"/>
      <c r="E493" s="10"/>
      <c r="G493" s="10"/>
      <c r="H493" s="10"/>
    </row>
    <row r="494" ht="15.75" customHeight="1">
      <c r="A494" s="16"/>
      <c r="B494" s="10"/>
      <c r="C494" s="10"/>
      <c r="D494" s="10"/>
      <c r="E494" s="10"/>
      <c r="G494" s="10"/>
      <c r="H494" s="10"/>
    </row>
    <row r="495" ht="15.75" customHeight="1">
      <c r="A495" s="16"/>
      <c r="B495" s="10"/>
      <c r="C495" s="10"/>
      <c r="D495" s="10"/>
      <c r="E495" s="10"/>
      <c r="G495" s="10"/>
      <c r="H495" s="10"/>
    </row>
    <row r="496" ht="15.75" customHeight="1">
      <c r="A496" s="16"/>
      <c r="B496" s="10"/>
      <c r="C496" s="10"/>
      <c r="D496" s="10"/>
      <c r="E496" s="10"/>
      <c r="G496" s="10"/>
      <c r="H496" s="10"/>
    </row>
    <row r="497" ht="15.75" customHeight="1">
      <c r="A497" s="16"/>
      <c r="B497" s="10"/>
      <c r="C497" s="10"/>
      <c r="D497" s="10"/>
      <c r="E497" s="10"/>
      <c r="G497" s="10"/>
      <c r="H497" s="10"/>
    </row>
    <row r="498" ht="15.75" customHeight="1">
      <c r="A498" s="16"/>
      <c r="B498" s="10"/>
      <c r="C498" s="10"/>
      <c r="D498" s="10"/>
      <c r="E498" s="10"/>
      <c r="G498" s="10"/>
      <c r="H498" s="10"/>
    </row>
    <row r="499" ht="15.75" customHeight="1">
      <c r="A499" s="16"/>
      <c r="B499" s="10"/>
      <c r="C499" s="10"/>
      <c r="D499" s="10"/>
      <c r="E499" s="10"/>
      <c r="G499" s="10"/>
      <c r="H499" s="10"/>
    </row>
    <row r="500" ht="15.75" customHeight="1">
      <c r="A500" s="16"/>
      <c r="B500" s="10"/>
      <c r="C500" s="10"/>
      <c r="D500" s="10"/>
      <c r="E500" s="10"/>
      <c r="G500" s="10"/>
      <c r="H500" s="10"/>
    </row>
    <row r="501" ht="15.75" customHeight="1">
      <c r="A501" s="16"/>
      <c r="B501" s="10"/>
      <c r="C501" s="10"/>
      <c r="D501" s="10"/>
      <c r="E501" s="10"/>
      <c r="G501" s="10"/>
      <c r="H501" s="10"/>
    </row>
    <row r="502" ht="15.75" customHeight="1">
      <c r="A502" s="16"/>
      <c r="B502" s="10"/>
      <c r="C502" s="10"/>
      <c r="D502" s="10"/>
      <c r="E502" s="10"/>
      <c r="G502" s="10"/>
      <c r="H502" s="10"/>
    </row>
    <row r="503" ht="15.75" customHeight="1">
      <c r="A503" s="16"/>
      <c r="B503" s="10"/>
      <c r="C503" s="10"/>
      <c r="D503" s="10"/>
      <c r="E503" s="10"/>
      <c r="G503" s="10"/>
      <c r="H503" s="10"/>
    </row>
    <row r="504" ht="15.75" customHeight="1">
      <c r="A504" s="16"/>
      <c r="B504" s="10"/>
      <c r="C504" s="10"/>
      <c r="D504" s="10"/>
      <c r="E504" s="10"/>
      <c r="G504" s="10"/>
      <c r="H504" s="10"/>
    </row>
    <row r="505" ht="15.75" customHeight="1">
      <c r="A505" s="16"/>
      <c r="B505" s="10"/>
      <c r="C505" s="10"/>
      <c r="D505" s="10"/>
      <c r="E505" s="10"/>
      <c r="G505" s="10"/>
      <c r="H505" s="10"/>
    </row>
    <row r="506" ht="15.75" customHeight="1">
      <c r="A506" s="16"/>
      <c r="B506" s="10"/>
      <c r="C506" s="10"/>
      <c r="D506" s="10"/>
      <c r="E506" s="10"/>
      <c r="G506" s="10"/>
      <c r="H506" s="10"/>
    </row>
    <row r="507" ht="15.75" customHeight="1">
      <c r="A507" s="16"/>
      <c r="B507" s="10"/>
      <c r="C507" s="10"/>
      <c r="D507" s="10"/>
      <c r="E507" s="10"/>
      <c r="G507" s="10"/>
      <c r="H507" s="10"/>
    </row>
    <row r="508" ht="15.75" customHeight="1">
      <c r="A508" s="16"/>
      <c r="B508" s="10"/>
      <c r="C508" s="10"/>
      <c r="D508" s="10"/>
      <c r="E508" s="10"/>
      <c r="G508" s="10"/>
      <c r="H508" s="10"/>
    </row>
    <row r="509" ht="15.75" customHeight="1">
      <c r="A509" s="16"/>
      <c r="B509" s="10"/>
      <c r="C509" s="10"/>
      <c r="D509" s="10"/>
      <c r="E509" s="10"/>
      <c r="G509" s="10"/>
      <c r="H509" s="10"/>
    </row>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140" t="s">
        <v>0</v>
      </c>
      <c r="B1" s="140" t="s">
        <v>4</v>
      </c>
      <c r="C1" s="140" t="s">
        <v>2451</v>
      </c>
    </row>
    <row r="2" ht="15.75" customHeight="1">
      <c r="A2" s="89" t="s">
        <v>2452</v>
      </c>
      <c r="B2" s="89">
        <v>-3.0</v>
      </c>
      <c r="C2" s="89" t="s">
        <v>2453</v>
      </c>
    </row>
    <row r="3" ht="15.75" customHeight="1">
      <c r="A3" s="89" t="s">
        <v>2454</v>
      </c>
      <c r="B3" s="89">
        <v>-3.0</v>
      </c>
      <c r="C3" s="89" t="s">
        <v>2453</v>
      </c>
    </row>
    <row r="4" ht="15.75" customHeight="1">
      <c r="A4" s="89" t="s">
        <v>2455</v>
      </c>
      <c r="B4" s="89">
        <v>-3.0</v>
      </c>
      <c r="C4" s="89" t="s">
        <v>2453</v>
      </c>
    </row>
    <row r="5" ht="15.75" customHeight="1">
      <c r="A5" s="89" t="s">
        <v>2456</v>
      </c>
      <c r="B5" s="89">
        <v>-3.0</v>
      </c>
      <c r="C5" s="89" t="s">
        <v>2453</v>
      </c>
    </row>
    <row r="6" ht="15.75" customHeight="1">
      <c r="A6" s="89" t="s">
        <v>2457</v>
      </c>
      <c r="B6" s="89">
        <v>-3.0</v>
      </c>
      <c r="C6" s="89" t="s">
        <v>2453</v>
      </c>
    </row>
    <row r="7" ht="15.75" customHeight="1">
      <c r="A7" s="89" t="s">
        <v>2458</v>
      </c>
      <c r="B7" s="89">
        <v>-3.0</v>
      </c>
      <c r="C7" s="89" t="s">
        <v>2453</v>
      </c>
    </row>
    <row r="8" ht="15.75" customHeight="1">
      <c r="A8" s="89" t="s">
        <v>2459</v>
      </c>
      <c r="B8" s="89">
        <v>-3.0</v>
      </c>
      <c r="C8" s="89" t="s">
        <v>2453</v>
      </c>
    </row>
    <row r="9" ht="15.75" customHeight="1">
      <c r="A9" s="89" t="s">
        <v>2460</v>
      </c>
      <c r="B9" s="89">
        <v>-3.0</v>
      </c>
      <c r="C9" s="89" t="s">
        <v>2453</v>
      </c>
    </row>
    <row r="10" ht="15.75" customHeight="1">
      <c r="A10" s="89" t="s">
        <v>2461</v>
      </c>
      <c r="B10" s="89">
        <v>-3.0</v>
      </c>
      <c r="C10" s="89" t="s">
        <v>2453</v>
      </c>
    </row>
    <row r="11" ht="15.75" customHeight="1">
      <c r="A11" s="89" t="s">
        <v>2462</v>
      </c>
      <c r="B11" s="89">
        <v>-2.0</v>
      </c>
      <c r="C11" s="89" t="s">
        <v>2453</v>
      </c>
    </row>
    <row r="12" ht="15.75" customHeight="1">
      <c r="A12" s="89" t="s">
        <v>2463</v>
      </c>
      <c r="B12" s="89">
        <v>-2.0</v>
      </c>
      <c r="C12" s="89" t="s">
        <v>2453</v>
      </c>
    </row>
    <row r="13" ht="15.75" customHeight="1">
      <c r="A13" s="89" t="s">
        <v>2464</v>
      </c>
      <c r="B13" s="89">
        <v>-2.0</v>
      </c>
      <c r="C13" s="89" t="s">
        <v>2453</v>
      </c>
    </row>
    <row r="14" ht="15.75" customHeight="1">
      <c r="A14" s="89" t="s">
        <v>2465</v>
      </c>
      <c r="B14" s="89">
        <v>-2.0</v>
      </c>
      <c r="C14" s="89" t="s">
        <v>2453</v>
      </c>
    </row>
    <row r="15" ht="15.75" customHeight="1">
      <c r="A15" s="89" t="s">
        <v>2466</v>
      </c>
      <c r="B15" s="89">
        <v>-2.0</v>
      </c>
      <c r="C15" s="89" t="s">
        <v>2453</v>
      </c>
    </row>
    <row r="16" ht="15.75" customHeight="1">
      <c r="A16" s="89" t="s">
        <v>2467</v>
      </c>
      <c r="B16" s="89">
        <v>-2.0</v>
      </c>
      <c r="C16" s="89" t="s">
        <v>2453</v>
      </c>
    </row>
    <row r="17" ht="15.75" customHeight="1">
      <c r="A17" s="89" t="s">
        <v>2468</v>
      </c>
      <c r="B17" s="89">
        <v>-2.0</v>
      </c>
      <c r="C17" s="89" t="s">
        <v>2453</v>
      </c>
    </row>
    <row r="18" ht="15.75" customHeight="1">
      <c r="A18" s="89" t="s">
        <v>2469</v>
      </c>
      <c r="B18" s="89">
        <v>-2.0</v>
      </c>
      <c r="C18" s="89" t="s">
        <v>2453</v>
      </c>
    </row>
    <row r="19" ht="15.75" customHeight="1">
      <c r="A19" s="89" t="s">
        <v>2470</v>
      </c>
      <c r="B19" s="89">
        <v>-2.0</v>
      </c>
      <c r="C19" s="89" t="s">
        <v>2453</v>
      </c>
    </row>
    <row r="20" ht="15.75" customHeight="1">
      <c r="A20" s="89" t="s">
        <v>2452</v>
      </c>
      <c r="B20" s="89">
        <v>-1.0</v>
      </c>
      <c r="C20" s="89" t="s">
        <v>2453</v>
      </c>
    </row>
    <row r="21" ht="15.75" customHeight="1">
      <c r="A21" s="91" t="s">
        <v>2471</v>
      </c>
      <c r="B21" s="91">
        <v>-1.0</v>
      </c>
      <c r="C21" s="91" t="s">
        <v>2453</v>
      </c>
    </row>
    <row r="22" ht="15.75" customHeight="1">
      <c r="A22" s="89" t="s">
        <v>2472</v>
      </c>
      <c r="B22" s="89">
        <v>-1.0</v>
      </c>
      <c r="C22" s="89" t="s">
        <v>2453</v>
      </c>
    </row>
    <row r="23" ht="15.75" customHeight="1">
      <c r="A23" s="89" t="s">
        <v>2454</v>
      </c>
      <c r="B23" s="89">
        <v>-1.0</v>
      </c>
      <c r="C23" s="89" t="s">
        <v>2453</v>
      </c>
    </row>
    <row r="24" ht="15.75" customHeight="1">
      <c r="A24" s="89" t="s">
        <v>2473</v>
      </c>
      <c r="B24" s="89">
        <v>-1.0</v>
      </c>
      <c r="C24" s="89" t="s">
        <v>2453</v>
      </c>
    </row>
    <row r="25" ht="15.75" customHeight="1">
      <c r="A25" s="89" t="s">
        <v>2474</v>
      </c>
      <c r="B25" s="89">
        <v>-1.0</v>
      </c>
      <c r="C25" s="89" t="s">
        <v>2453</v>
      </c>
    </row>
    <row r="26" ht="15.75" customHeight="1">
      <c r="A26" s="89" t="s">
        <v>2475</v>
      </c>
      <c r="B26" s="89">
        <v>-1.0</v>
      </c>
      <c r="C26" s="89" t="s">
        <v>2453</v>
      </c>
    </row>
    <row r="27" ht="15.75" customHeight="1">
      <c r="A27" s="91" t="s">
        <v>2476</v>
      </c>
      <c r="B27" s="91">
        <v>-1.0</v>
      </c>
      <c r="C27" s="91" t="s">
        <v>2453</v>
      </c>
    </row>
    <row r="28" ht="15.75" customHeight="1">
      <c r="A28" s="89" t="s">
        <v>2458</v>
      </c>
      <c r="B28" s="89">
        <v>-1.0</v>
      </c>
      <c r="C28" s="89" t="s">
        <v>2453</v>
      </c>
    </row>
    <row r="29" ht="15.75" customHeight="1">
      <c r="A29" s="89" t="s">
        <v>2477</v>
      </c>
      <c r="B29" s="89">
        <v>-1.0</v>
      </c>
      <c r="C29" s="89" t="s">
        <v>2453</v>
      </c>
    </row>
    <row r="30" ht="15.75" customHeight="1">
      <c r="A30" s="89" t="s">
        <v>2478</v>
      </c>
      <c r="B30" s="89">
        <v>-1.0</v>
      </c>
      <c r="C30" s="89" t="s">
        <v>2453</v>
      </c>
    </row>
    <row r="31" ht="15.75" customHeight="1">
      <c r="A31" s="89" t="s">
        <v>2479</v>
      </c>
      <c r="B31" s="89">
        <v>-1.0</v>
      </c>
      <c r="C31" s="89" t="s">
        <v>2453</v>
      </c>
    </row>
    <row r="32" ht="15.75" customHeight="1">
      <c r="A32" s="89" t="s">
        <v>2480</v>
      </c>
      <c r="B32" s="89">
        <v>-1.0</v>
      </c>
      <c r="C32" s="89" t="s">
        <v>2453</v>
      </c>
    </row>
    <row r="33" ht="15.75" customHeight="1">
      <c r="A33" s="89" t="s">
        <v>2481</v>
      </c>
      <c r="B33" s="89">
        <v>-1.0</v>
      </c>
      <c r="C33" s="89" t="s">
        <v>2453</v>
      </c>
    </row>
    <row r="34" ht="15.75" customHeight="1">
      <c r="A34" s="89" t="s">
        <v>2482</v>
      </c>
      <c r="B34" s="89">
        <v>-1.0</v>
      </c>
      <c r="C34" s="89" t="s">
        <v>2453</v>
      </c>
    </row>
    <row r="35" ht="15.75" customHeight="1">
      <c r="A35" s="89" t="s">
        <v>2483</v>
      </c>
      <c r="B35" s="89">
        <v>0.0</v>
      </c>
      <c r="C35" s="89" t="s">
        <v>2453</v>
      </c>
    </row>
    <row r="36" ht="15.75" customHeight="1">
      <c r="A36" s="91" t="s">
        <v>2462</v>
      </c>
      <c r="B36" s="91">
        <v>0.0</v>
      </c>
      <c r="C36" s="91" t="s">
        <v>2453</v>
      </c>
    </row>
    <row r="37" ht="15.75" customHeight="1">
      <c r="A37" s="91" t="s">
        <v>2472</v>
      </c>
      <c r="B37" s="89">
        <v>0.0</v>
      </c>
      <c r="C37" s="89" t="s">
        <v>2453</v>
      </c>
    </row>
    <row r="38" ht="15.75" customHeight="1">
      <c r="A38" s="89" t="s">
        <v>2464</v>
      </c>
      <c r="B38" s="89">
        <v>0.0</v>
      </c>
      <c r="C38" s="89" t="s">
        <v>2453</v>
      </c>
    </row>
    <row r="39" ht="15.75" customHeight="1">
      <c r="A39" s="89" t="s">
        <v>2455</v>
      </c>
      <c r="B39" s="89">
        <v>0.0</v>
      </c>
      <c r="C39" s="89" t="s">
        <v>2453</v>
      </c>
    </row>
    <row r="40" ht="15.75" customHeight="1">
      <c r="A40" s="89" t="s">
        <v>2484</v>
      </c>
      <c r="B40" s="89">
        <v>0.0</v>
      </c>
      <c r="C40" s="89" t="s">
        <v>2453</v>
      </c>
    </row>
    <row r="41" ht="15.75" customHeight="1">
      <c r="A41" s="89" t="s">
        <v>2485</v>
      </c>
      <c r="B41" s="89">
        <v>0.0</v>
      </c>
      <c r="C41" s="89" t="s">
        <v>2453</v>
      </c>
    </row>
    <row r="42" ht="15.75" customHeight="1">
      <c r="A42" s="89" t="s">
        <v>2486</v>
      </c>
      <c r="B42" s="89">
        <v>0.0</v>
      </c>
      <c r="C42" s="89" t="s">
        <v>2453</v>
      </c>
    </row>
    <row r="43" ht="15.75" customHeight="1">
      <c r="A43" s="89" t="s">
        <v>2487</v>
      </c>
      <c r="B43" s="89">
        <v>0.0</v>
      </c>
      <c r="C43" s="89" t="s">
        <v>2453</v>
      </c>
    </row>
    <row r="44" ht="15.75" customHeight="1">
      <c r="A44" s="89" t="s">
        <v>2488</v>
      </c>
      <c r="B44" s="89">
        <v>0.0</v>
      </c>
      <c r="C44" s="89" t="s">
        <v>2453</v>
      </c>
    </row>
    <row r="45" ht="15.75" customHeight="1">
      <c r="A45" s="89" t="s">
        <v>2489</v>
      </c>
      <c r="B45" s="89">
        <v>0.0</v>
      </c>
      <c r="C45" s="89" t="s">
        <v>2453</v>
      </c>
    </row>
    <row r="46" ht="15.75" customHeight="1">
      <c r="A46" s="89" t="s">
        <v>2490</v>
      </c>
      <c r="B46" s="89">
        <v>0.0</v>
      </c>
      <c r="C46" s="89" t="s">
        <v>2453</v>
      </c>
    </row>
    <row r="47" ht="15.75" customHeight="1">
      <c r="A47" s="89" t="s">
        <v>2491</v>
      </c>
      <c r="B47" s="89">
        <v>0.0</v>
      </c>
      <c r="C47" s="89" t="s">
        <v>2453</v>
      </c>
    </row>
    <row r="48" ht="15.75" customHeight="1">
      <c r="A48" s="89" t="s">
        <v>2492</v>
      </c>
      <c r="B48" s="89">
        <v>0.0</v>
      </c>
      <c r="C48" s="89" t="s">
        <v>2453</v>
      </c>
    </row>
    <row r="49" ht="15.75" customHeight="1">
      <c r="A49" s="89" t="s">
        <v>2469</v>
      </c>
      <c r="B49" s="89">
        <v>0.0</v>
      </c>
      <c r="C49" s="89" t="s">
        <v>2453</v>
      </c>
    </row>
    <row r="50" ht="15.75" customHeight="1">
      <c r="A50" s="89" t="s">
        <v>2493</v>
      </c>
      <c r="B50" s="89">
        <v>0.0</v>
      </c>
      <c r="C50" s="89" t="s">
        <v>2453</v>
      </c>
    </row>
    <row r="51" ht="15.75" customHeight="1">
      <c r="A51" s="89" t="s">
        <v>2494</v>
      </c>
      <c r="B51" s="89">
        <v>0.0</v>
      </c>
      <c r="C51" s="89" t="s">
        <v>2453</v>
      </c>
    </row>
    <row r="52" ht="15.75" customHeight="1">
      <c r="A52" s="91" t="s">
        <v>2495</v>
      </c>
      <c r="B52" s="89">
        <v>0.0</v>
      </c>
      <c r="C52" s="89" t="s">
        <v>2453</v>
      </c>
    </row>
    <row r="53" ht="15.75" customHeight="1">
      <c r="A53" s="89" t="s">
        <v>2496</v>
      </c>
      <c r="B53" s="89">
        <v>1.0</v>
      </c>
      <c r="C53" s="89" t="s">
        <v>2453</v>
      </c>
    </row>
    <row r="54" ht="15.75" customHeight="1">
      <c r="A54" s="89" t="s">
        <v>2462</v>
      </c>
      <c r="B54" s="89">
        <v>1.0</v>
      </c>
      <c r="C54" s="89" t="s">
        <v>2453</v>
      </c>
    </row>
    <row r="55" ht="15.75" customHeight="1">
      <c r="A55" s="89" t="s">
        <v>2471</v>
      </c>
      <c r="B55" s="89">
        <v>1.0</v>
      </c>
      <c r="C55" s="89" t="s">
        <v>2453</v>
      </c>
    </row>
    <row r="56" ht="15.75" customHeight="1">
      <c r="A56" s="89" t="s">
        <v>2497</v>
      </c>
      <c r="B56" s="89">
        <v>1.0</v>
      </c>
      <c r="C56" s="89" t="s">
        <v>2453</v>
      </c>
    </row>
    <row r="57" ht="15.75" customHeight="1">
      <c r="A57" s="89" t="s">
        <v>2457</v>
      </c>
      <c r="B57" s="89">
        <v>1.0</v>
      </c>
      <c r="C57" s="89" t="s">
        <v>2453</v>
      </c>
    </row>
    <row r="58" ht="15.75" customHeight="1">
      <c r="A58" s="91" t="s">
        <v>2498</v>
      </c>
      <c r="B58" s="91">
        <v>1.0</v>
      </c>
      <c r="C58" s="91" t="s">
        <v>2453</v>
      </c>
    </row>
    <row r="59" ht="15.75" customHeight="1">
      <c r="A59" s="89" t="s">
        <v>2499</v>
      </c>
      <c r="B59" s="89">
        <v>1.0</v>
      </c>
      <c r="C59" s="89" t="s">
        <v>2453</v>
      </c>
    </row>
    <row r="60" ht="15.75" customHeight="1">
      <c r="A60" s="89" t="s">
        <v>2500</v>
      </c>
      <c r="B60" s="89">
        <v>1.0</v>
      </c>
      <c r="C60" s="89" t="s">
        <v>2453</v>
      </c>
    </row>
    <row r="61" ht="15.75" customHeight="1">
      <c r="A61" s="91" t="s">
        <v>2501</v>
      </c>
      <c r="B61" s="91">
        <v>1.0</v>
      </c>
      <c r="C61" s="89" t="s">
        <v>2453</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20.75"/>
    <col customWidth="1" min="2" max="2" width="36.88"/>
    <col customWidth="1" min="3" max="6" width="12.63"/>
  </cols>
  <sheetData>
    <row r="1" ht="15.75" customHeight="1">
      <c r="A1" s="141" t="s">
        <v>2502</v>
      </c>
      <c r="B1" s="142">
        <v>330.0</v>
      </c>
    </row>
    <row r="2" ht="15.75" customHeight="1">
      <c r="A2" s="140" t="s">
        <v>2503</v>
      </c>
      <c r="B2" s="143">
        <v>0.0</v>
      </c>
    </row>
    <row r="3" ht="15.75" customHeight="1">
      <c r="A3" s="140" t="s">
        <v>2504</v>
      </c>
      <c r="B3" s="143">
        <v>0.0</v>
      </c>
    </row>
    <row r="4" ht="15.75" customHeight="1">
      <c r="A4" s="141" t="s">
        <v>2505</v>
      </c>
      <c r="B4" s="142">
        <v>655.0</v>
      </c>
    </row>
    <row r="5" ht="15.75" customHeight="1">
      <c r="A5" s="141" t="s">
        <v>2506</v>
      </c>
      <c r="B5" s="142">
        <v>528.0</v>
      </c>
    </row>
    <row r="6" ht="15.75" customHeight="1">
      <c r="A6" s="141" t="s">
        <v>2507</v>
      </c>
      <c r="B6" s="144">
        <v>41.067832</v>
      </c>
    </row>
    <row r="7" ht="15.75" customHeight="1">
      <c r="A7" s="141" t="s">
        <v>2508</v>
      </c>
      <c r="B7" s="144">
        <v>29.018151</v>
      </c>
    </row>
    <row r="8" ht="15.75" customHeight="1">
      <c r="A8" s="141" t="s">
        <v>2509</v>
      </c>
      <c r="B8" s="144">
        <v>41.065531</v>
      </c>
    </row>
    <row r="9" ht="15.75" customHeight="1">
      <c r="A9" s="141" t="s">
        <v>2510</v>
      </c>
      <c r="B9" s="144">
        <v>29.014361</v>
      </c>
    </row>
    <row r="10" ht="15.75" customHeight="1">
      <c r="A10" s="140" t="s">
        <v>2511</v>
      </c>
      <c r="B10" s="143">
        <f>2*6371000*ASIN(SQRT((SIN((B6*(3.14159/180)-B6*(3.14159/180))/2))^2+COS(B6*(3.14159/180))*COS(B6*(3.14159/180))*SIN(((B9*(3.14159/180)-B7*(3.14159/180))/2))^2))</f>
        <v>317.7286831</v>
      </c>
    </row>
    <row r="11" ht="15.75" customHeight="1">
      <c r="A11" s="140" t="s">
        <v>2512</v>
      </c>
      <c r="B11" s="143">
        <f>2*6371000*ASIN(SQRT((SIN((B8*(3.14159/180)-B6*(3.14159/180))/2))^2+COS(B8*(3.14159/180))*COS(B6*(3.14159/180))*SIN(((B7*(3.14159/180)-B7*(3.14159/180))/2))^2))</f>
        <v>255.8593101</v>
      </c>
    </row>
    <row r="12" ht="15.75" customHeight="1">
      <c r="A12" s="140" t="s">
        <v>2513</v>
      </c>
      <c r="B12" s="143">
        <f>2*6371000*ASIN(SQRT((SIN((B8*(3.14159/180)-B6*(3.14159/180))/2))^2+COS(B8*(3.14159/180))*COS(B6*(3.14159/180))*SIN(((B9*(3.14159/180)-B7*(3.14159/180))/2))^2))</f>
        <v>407.9448924</v>
      </c>
    </row>
    <row r="13" ht="15.75" customHeight="1">
      <c r="A13" s="140" t="s">
        <v>2514</v>
      </c>
      <c r="B13" s="143">
        <f>SQRT((B2-B4)^2+(B3-B5)^2)*0.0002645833</f>
        <v>0.2225975957</v>
      </c>
    </row>
    <row r="14" ht="15.75" customHeight="1">
      <c r="A14" s="28"/>
      <c r="B14" s="143"/>
    </row>
    <row r="15" ht="15.75" customHeight="1">
      <c r="A15" s="145" t="s">
        <v>2515</v>
      </c>
      <c r="B15" s="146">
        <f>B4/B5</f>
        <v>1.240530303</v>
      </c>
    </row>
    <row r="16" ht="15.75" customHeight="1">
      <c r="A16" s="145" t="s">
        <v>2516</v>
      </c>
      <c r="B16" s="146">
        <f>B10/B11</f>
        <v>1.24181013</v>
      </c>
    </row>
    <row r="17" ht="15.75" customHeight="1">
      <c r="A17" s="28"/>
      <c r="B17" s="143"/>
    </row>
    <row r="18" ht="15.75" customHeight="1">
      <c r="A18" s="147" t="s">
        <v>2517</v>
      </c>
      <c r="B18" s="148" t="str">
        <f>"["&amp;(B6+B8)/2&amp;", "&amp;(B7+B9)/2&amp;"]"</f>
        <v>[41.0666815, 29.016256]</v>
      </c>
    </row>
    <row r="19" ht="15.75" customHeight="1">
      <c r="A19" s="147" t="s">
        <v>2518</v>
      </c>
      <c r="B19" s="148" t="str">
        <f>"["&amp;B6&amp;", "&amp;B7&amp;"]"&amp;", "&amp;"["&amp;B8&amp;", "&amp;B9&amp;"]"</f>
        <v>[41.067832, 29.018151], [41.065531, 29.014361]</v>
      </c>
    </row>
    <row r="20" ht="15.75" customHeight="1">
      <c r="A20" s="147" t="s">
        <v>2519</v>
      </c>
      <c r="B20" s="148" t="str">
        <f>"["&amp;B6+0.003&amp;", "&amp;B7+0.003&amp;"]"&amp;", "&amp;"["&amp;B8-0.003&amp;", "&amp;B9-0.003&amp;"]"</f>
        <v>[41.070832, 29.021151], [41.062531, 29.011361]</v>
      </c>
    </row>
    <row r="21" ht="15.75" customHeight="1">
      <c r="A21" s="147" t="s">
        <v>2520</v>
      </c>
      <c r="B21" s="148">
        <f>B13/B12</f>
        <v>0.0005456560428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38"/>
    <col customWidth="1" min="2" max="2" width="13.75"/>
    <col customWidth="1" min="3" max="3" width="49.25"/>
    <col customWidth="1" min="4" max="4" width="48.25"/>
    <col customWidth="1" min="5" max="5" width="11.13"/>
    <col customWidth="1" min="6" max="6" width="6.0"/>
    <col customWidth="1" min="7" max="7" width="28.25"/>
    <col customWidth="1" min="8" max="8" width="7.25"/>
    <col customWidth="1" min="9" max="9" width="9.75"/>
    <col customWidth="1" min="10" max="10" width="19.38"/>
    <col customWidth="1" min="12" max="12" width="8.13"/>
    <col customWidth="1" min="13" max="13" width="28.13"/>
  </cols>
  <sheetData>
    <row r="1" ht="15.75" customHeight="1">
      <c r="A1" s="149" t="s">
        <v>0</v>
      </c>
      <c r="B1" s="149" t="s">
        <v>2521</v>
      </c>
      <c r="C1" s="150" t="s">
        <v>2522</v>
      </c>
      <c r="D1" s="149" t="s">
        <v>2523</v>
      </c>
      <c r="E1" s="150" t="s">
        <v>2524</v>
      </c>
      <c r="F1" s="149" t="s">
        <v>2525</v>
      </c>
      <c r="G1" s="150" t="s">
        <v>2526</v>
      </c>
      <c r="H1" s="149" t="s">
        <v>2527</v>
      </c>
      <c r="I1" s="149" t="s">
        <v>2528</v>
      </c>
      <c r="J1" s="149" t="s">
        <v>2529</v>
      </c>
      <c r="K1" s="149" t="s">
        <v>2530</v>
      </c>
      <c r="L1" s="149"/>
      <c r="M1" s="149" t="s">
        <v>2531</v>
      </c>
      <c r="N1" s="149"/>
      <c r="O1" s="149"/>
      <c r="P1" s="149"/>
      <c r="Q1" s="149"/>
      <c r="R1" s="149"/>
      <c r="S1" s="149"/>
      <c r="T1" s="149"/>
      <c r="U1" s="149"/>
      <c r="V1" s="149"/>
      <c r="W1" s="149"/>
      <c r="X1" s="149"/>
      <c r="Y1" s="149"/>
      <c r="Z1" s="149"/>
      <c r="AA1" s="149"/>
      <c r="AB1" s="149"/>
      <c r="AC1" s="149"/>
      <c r="AD1" s="149"/>
      <c r="AE1" s="149"/>
      <c r="AF1" s="149"/>
    </row>
    <row r="2" ht="15.75" hidden="1" customHeight="1">
      <c r="A2" s="151" t="s">
        <v>2532</v>
      </c>
      <c r="B2" s="151" t="s">
        <v>2533</v>
      </c>
      <c r="C2" s="89"/>
      <c r="D2" s="151" t="s">
        <v>2534</v>
      </c>
      <c r="E2" s="151"/>
      <c r="F2" s="151" t="s">
        <v>2535</v>
      </c>
      <c r="H2" s="151">
        <v>1.0</v>
      </c>
      <c r="I2" s="151" t="s">
        <v>2536</v>
      </c>
      <c r="J2" s="151" t="s">
        <v>2537</v>
      </c>
      <c r="K2" s="151" t="s">
        <v>2538</v>
      </c>
      <c r="L2" s="89"/>
      <c r="M2" s="89" t="s">
        <v>2539</v>
      </c>
    </row>
    <row r="3" ht="15.75" customHeight="1">
      <c r="A3" s="152" t="s">
        <v>2540</v>
      </c>
      <c r="B3" s="152" t="s">
        <v>2541</v>
      </c>
      <c r="C3" s="153" t="str">
        <f t="shared" ref="C3:C24" si="1"> CONCATENATE($N$3,I3,$O$3,A3)</f>
        <v>http://192.168.187.30:8000/eh.html?mode=kiosk&amp;from=K-302</v>
      </c>
      <c r="D3" s="154" t="s">
        <v>2542</v>
      </c>
      <c r="E3" s="154" t="s">
        <v>2543</v>
      </c>
      <c r="F3" s="152" t="s">
        <v>2535</v>
      </c>
      <c r="G3" s="91" t="s">
        <v>2544</v>
      </c>
      <c r="H3" s="155">
        <v>2.0</v>
      </c>
      <c r="I3" s="155" t="s">
        <v>2545</v>
      </c>
      <c r="J3" s="155" t="s">
        <v>2546</v>
      </c>
      <c r="K3" s="155" t="s">
        <v>2538</v>
      </c>
      <c r="L3" s="89" t="s">
        <v>2547</v>
      </c>
      <c r="N3" s="156" t="s">
        <v>2548</v>
      </c>
      <c r="O3" s="91" t="s">
        <v>2549</v>
      </c>
    </row>
    <row r="4" ht="15.75" customHeight="1">
      <c r="A4" s="155" t="s">
        <v>2550</v>
      </c>
      <c r="B4" s="155" t="s">
        <v>2551</v>
      </c>
      <c r="C4" s="157" t="str">
        <f t="shared" si="1"/>
        <v>http://192.168.187.30:8000/sh.html?mode=kiosk&amp;from=K-203</v>
      </c>
      <c r="D4" s="158" t="s">
        <v>2552</v>
      </c>
      <c r="E4" s="158" t="s">
        <v>2553</v>
      </c>
      <c r="F4" s="155" t="s">
        <v>2535</v>
      </c>
      <c r="G4" s="91" t="s">
        <v>2554</v>
      </c>
      <c r="H4" s="155">
        <v>3.0</v>
      </c>
      <c r="I4" s="155" t="s">
        <v>2555</v>
      </c>
      <c r="J4" s="155" t="s">
        <v>2556</v>
      </c>
      <c r="K4" s="155" t="s">
        <v>2557</v>
      </c>
    </row>
    <row r="5" ht="15.75" hidden="1" customHeight="1">
      <c r="A5" s="151" t="s">
        <v>2558</v>
      </c>
      <c r="B5" s="151" t="s">
        <v>2559</v>
      </c>
      <c r="C5" s="159" t="str">
        <f t="shared" si="1"/>
        <v>http://192.168.187.30:8000/sh.html?mode=kiosk&amp;from=K-204</v>
      </c>
      <c r="D5" s="151" t="s">
        <v>2560</v>
      </c>
      <c r="E5" s="151"/>
      <c r="F5" s="151" t="s">
        <v>2535</v>
      </c>
      <c r="H5" s="151">
        <v>4.0</v>
      </c>
      <c r="I5" s="151" t="s">
        <v>2555</v>
      </c>
      <c r="J5" s="151" t="s">
        <v>2556</v>
      </c>
      <c r="K5" s="151" t="s">
        <v>2557</v>
      </c>
      <c r="M5" s="89" t="s">
        <v>2539</v>
      </c>
    </row>
    <row r="6" ht="15.75" customHeight="1">
      <c r="A6" s="155" t="s">
        <v>2561</v>
      </c>
      <c r="B6" s="155" t="s">
        <v>2562</v>
      </c>
      <c r="C6" s="157" t="str">
        <f t="shared" si="1"/>
        <v>http://192.168.187.30:8000/nh.html?mode=kiosk&amp;from=K-207</v>
      </c>
      <c r="D6" s="158" t="s">
        <v>2563</v>
      </c>
      <c r="E6" s="158" t="s">
        <v>2553</v>
      </c>
      <c r="F6" s="155" t="s">
        <v>2535</v>
      </c>
      <c r="G6" s="91" t="s">
        <v>2564</v>
      </c>
      <c r="H6" s="155"/>
      <c r="I6" s="155" t="s">
        <v>2565</v>
      </c>
      <c r="J6" s="155" t="s">
        <v>2566</v>
      </c>
      <c r="K6" s="155" t="s">
        <v>2557</v>
      </c>
      <c r="L6" s="89" t="s">
        <v>2567</v>
      </c>
      <c r="M6" s="160" t="s">
        <v>2568</v>
      </c>
    </row>
    <row r="7" ht="15.75" customHeight="1">
      <c r="A7" s="155" t="s">
        <v>2569</v>
      </c>
      <c r="B7" s="155" t="s">
        <v>2570</v>
      </c>
      <c r="C7" s="157" t="str">
        <f t="shared" si="1"/>
        <v>http://192.168.187.30:8000/sh.html?mode=kiosk&amp;from=K-206</v>
      </c>
      <c r="D7" s="158" t="s">
        <v>2571</v>
      </c>
      <c r="E7" s="158" t="s">
        <v>2553</v>
      </c>
      <c r="F7" s="155" t="s">
        <v>2535</v>
      </c>
      <c r="G7" s="91" t="s">
        <v>2572</v>
      </c>
      <c r="H7" s="155">
        <v>6.0</v>
      </c>
      <c r="I7" s="155" t="s">
        <v>2555</v>
      </c>
      <c r="J7" s="155" t="s">
        <v>2556</v>
      </c>
      <c r="K7" s="155" t="s">
        <v>2557</v>
      </c>
      <c r="L7" s="89" t="s">
        <v>2573</v>
      </c>
    </row>
    <row r="8" ht="15.75" customHeight="1">
      <c r="A8" s="155" t="s">
        <v>2574</v>
      </c>
      <c r="B8" s="158" t="s">
        <v>2575</v>
      </c>
      <c r="C8" s="157" t="str">
        <f t="shared" si="1"/>
        <v>http://192.168.187.30:8000/nh.html?mode=kiosk&amp;from=K-110</v>
      </c>
      <c r="D8" s="161" t="s">
        <v>2576</v>
      </c>
      <c r="E8" s="161" t="s">
        <v>2577</v>
      </c>
      <c r="F8" s="155" t="s">
        <v>2535</v>
      </c>
      <c r="G8" s="91" t="s">
        <v>2572</v>
      </c>
      <c r="H8" s="155"/>
      <c r="I8" s="155" t="s">
        <v>2565</v>
      </c>
      <c r="J8" s="155" t="s">
        <v>2566</v>
      </c>
      <c r="K8" s="155" t="s">
        <v>2557</v>
      </c>
      <c r="L8" s="89" t="s">
        <v>2567</v>
      </c>
    </row>
    <row r="9" ht="15.75" customHeight="1">
      <c r="A9" s="155" t="s">
        <v>2578</v>
      </c>
      <c r="B9" s="155" t="s">
        <v>2579</v>
      </c>
      <c r="C9" s="157" t="str">
        <f t="shared" si="1"/>
        <v>http://192.168.187.30:8000/sh.html?mode=kiosk&amp;from=K-108</v>
      </c>
      <c r="D9" s="158" t="s">
        <v>2580</v>
      </c>
      <c r="E9" s="161" t="s">
        <v>2577</v>
      </c>
      <c r="F9" s="155" t="s">
        <v>2535</v>
      </c>
      <c r="G9" s="91" t="s">
        <v>2581</v>
      </c>
      <c r="H9" s="155">
        <v>8.0</v>
      </c>
      <c r="I9" s="155" t="s">
        <v>2555</v>
      </c>
      <c r="J9" s="155" t="s">
        <v>2556</v>
      </c>
      <c r="K9" s="155" t="s">
        <v>2557</v>
      </c>
      <c r="L9" s="89" t="s">
        <v>2567</v>
      </c>
      <c r="M9" s="89" t="s">
        <v>2582</v>
      </c>
    </row>
    <row r="10" ht="15.75" customHeight="1">
      <c r="A10" s="155" t="s">
        <v>2583</v>
      </c>
      <c r="B10" s="155" t="s">
        <v>2584</v>
      </c>
      <c r="C10" s="157" t="str">
        <f t="shared" si="1"/>
        <v>http://192.168.187.30:8000/wh.html?mode=kiosk&amp;from=K-109</v>
      </c>
      <c r="D10" s="158" t="s">
        <v>2585</v>
      </c>
      <c r="E10" s="161" t="s">
        <v>2577</v>
      </c>
      <c r="F10" s="155" t="s">
        <v>2535</v>
      </c>
      <c r="G10" s="91" t="s">
        <v>2581</v>
      </c>
      <c r="H10" s="155">
        <v>9.0</v>
      </c>
      <c r="I10" s="155" t="s">
        <v>2536</v>
      </c>
      <c r="J10" s="155" t="s">
        <v>2537</v>
      </c>
      <c r="K10" s="155" t="s">
        <v>2538</v>
      </c>
      <c r="L10" s="89" t="s">
        <v>2567</v>
      </c>
      <c r="M10" s="89" t="s">
        <v>2582</v>
      </c>
    </row>
    <row r="11" ht="15.75" customHeight="1">
      <c r="A11" s="162" t="s">
        <v>2586</v>
      </c>
      <c r="B11" s="162" t="s">
        <v>2587</v>
      </c>
      <c r="C11" s="163" t="str">
        <f t="shared" si="1"/>
        <v>http://192.168.187.30:8000/sv.html?mode=kiosk&amp;from=K021</v>
      </c>
      <c r="D11" s="164" t="s">
        <v>2588</v>
      </c>
      <c r="E11" s="164" t="s">
        <v>2589</v>
      </c>
      <c r="F11" s="162" t="s">
        <v>2590</v>
      </c>
      <c r="G11" s="91" t="s">
        <v>15</v>
      </c>
      <c r="H11" s="155">
        <v>21.0</v>
      </c>
      <c r="I11" s="155" t="s">
        <v>2591</v>
      </c>
      <c r="J11" s="155" t="s">
        <v>2556</v>
      </c>
      <c r="K11" s="155" t="s">
        <v>2557</v>
      </c>
      <c r="L11" s="89" t="s">
        <v>2573</v>
      </c>
      <c r="M11" s="89" t="s">
        <v>2592</v>
      </c>
      <c r="N11" s="165"/>
    </row>
    <row r="12" ht="15.75" customHeight="1">
      <c r="A12" s="162" t="s">
        <v>2593</v>
      </c>
      <c r="B12" s="162" t="s">
        <v>2594</v>
      </c>
      <c r="C12" s="163" t="str">
        <f t="shared" si="1"/>
        <v>http://192.168.187.30:8000/sv.html?mode=kiosk&amp;from=K022</v>
      </c>
      <c r="D12" s="162" t="s">
        <v>2595</v>
      </c>
      <c r="E12" s="164" t="s">
        <v>2589</v>
      </c>
      <c r="F12" s="162" t="s">
        <v>2590</v>
      </c>
      <c r="G12" s="91" t="s">
        <v>2596</v>
      </c>
      <c r="H12" s="155">
        <v>22.0</v>
      </c>
      <c r="I12" s="155" t="s">
        <v>2591</v>
      </c>
      <c r="J12" s="155" t="s">
        <v>2556</v>
      </c>
      <c r="K12" s="155" t="s">
        <v>2557</v>
      </c>
      <c r="M12" s="160" t="s">
        <v>2568</v>
      </c>
    </row>
    <row r="13" ht="15.75" customHeight="1">
      <c r="A13" s="155" t="s">
        <v>2597</v>
      </c>
      <c r="B13" s="155" t="s">
        <v>2598</v>
      </c>
      <c r="C13" s="157" t="str">
        <f t="shared" si="1"/>
        <v>http://192.168.187.30:8000/nh.html?mode=kiosk&amp;from=K012</v>
      </c>
      <c r="D13" s="158" t="s">
        <v>2599</v>
      </c>
      <c r="E13" s="158" t="s">
        <v>2589</v>
      </c>
      <c r="F13" s="155" t="s">
        <v>2535</v>
      </c>
      <c r="G13" s="91" t="s">
        <v>2572</v>
      </c>
      <c r="H13" s="155">
        <v>12.0</v>
      </c>
      <c r="I13" s="155" t="s">
        <v>2565</v>
      </c>
      <c r="J13" s="155" t="s">
        <v>2566</v>
      </c>
      <c r="K13" s="155" t="s">
        <v>2557</v>
      </c>
      <c r="L13" s="89" t="s">
        <v>2567</v>
      </c>
      <c r="M13" s="89" t="s">
        <v>2582</v>
      </c>
    </row>
    <row r="14" ht="15.75" hidden="1" customHeight="1">
      <c r="A14" s="151" t="s">
        <v>2600</v>
      </c>
      <c r="B14" s="151" t="s">
        <v>2601</v>
      </c>
      <c r="C14" s="159" t="str">
        <f t="shared" si="1"/>
        <v>http://192.168.187.30:8000/nv.html?mode=kiosk&amp;from=K014</v>
      </c>
      <c r="D14" s="151" t="s">
        <v>2602</v>
      </c>
      <c r="E14" s="151"/>
      <c r="F14" s="151" t="s">
        <v>2590</v>
      </c>
      <c r="H14" s="151">
        <v>14.0</v>
      </c>
      <c r="I14" s="151" t="s">
        <v>2603</v>
      </c>
      <c r="J14" s="151" t="s">
        <v>2566</v>
      </c>
      <c r="K14" s="151" t="s">
        <v>2557</v>
      </c>
      <c r="M14" s="89" t="s">
        <v>2539</v>
      </c>
    </row>
    <row r="15" ht="15.75" customHeight="1">
      <c r="A15" s="162" t="s">
        <v>2604</v>
      </c>
      <c r="B15" s="162" t="s">
        <v>2605</v>
      </c>
      <c r="C15" s="163" t="str">
        <f t="shared" si="1"/>
        <v>http://192.168.187.30:8000/sv.html?mode=kiosk&amp;from=K025</v>
      </c>
      <c r="D15" s="164" t="s">
        <v>2606</v>
      </c>
      <c r="E15" s="164" t="s">
        <v>2589</v>
      </c>
      <c r="F15" s="162" t="s">
        <v>2590</v>
      </c>
      <c r="G15" s="89" t="s">
        <v>15</v>
      </c>
      <c r="H15" s="155">
        <v>25.0</v>
      </c>
      <c r="I15" s="155" t="s">
        <v>2591</v>
      </c>
      <c r="J15" s="155" t="s">
        <v>2556</v>
      </c>
      <c r="K15" s="155" t="s">
        <v>2557</v>
      </c>
      <c r="M15" s="160" t="s">
        <v>2568</v>
      </c>
    </row>
    <row r="16" ht="15.75" customHeight="1">
      <c r="A16" s="155" t="s">
        <v>2607</v>
      </c>
      <c r="B16" s="155" t="s">
        <v>2608</v>
      </c>
      <c r="C16" s="157" t="str">
        <f t="shared" si="1"/>
        <v>http://192.168.187.30:8000/nh.html?mode=kiosk&amp;from=K016</v>
      </c>
      <c r="D16" s="155" t="s">
        <v>2609</v>
      </c>
      <c r="E16" s="158" t="s">
        <v>2589</v>
      </c>
      <c r="F16" s="155" t="s">
        <v>2535</v>
      </c>
      <c r="G16" s="91" t="s">
        <v>2610</v>
      </c>
      <c r="H16" s="155">
        <v>16.0</v>
      </c>
      <c r="I16" s="155" t="s">
        <v>2565</v>
      </c>
      <c r="J16" s="155" t="s">
        <v>2566</v>
      </c>
      <c r="K16" s="155" t="s">
        <v>2557</v>
      </c>
      <c r="L16" s="89" t="s">
        <v>2567</v>
      </c>
      <c r="M16" s="89" t="s">
        <v>2611</v>
      </c>
    </row>
    <row r="17" ht="15.75" customHeight="1">
      <c r="A17" s="155" t="s">
        <v>2612</v>
      </c>
      <c r="B17" s="155" t="s">
        <v>2613</v>
      </c>
      <c r="C17" s="157" t="str">
        <f t="shared" si="1"/>
        <v>http://192.168.187.30:8000/wh.html?mode=kiosk&amp;from=K118</v>
      </c>
      <c r="D17" s="158" t="s">
        <v>2614</v>
      </c>
      <c r="E17" s="158" t="s">
        <v>2615</v>
      </c>
      <c r="F17" s="155" t="s">
        <v>2535</v>
      </c>
      <c r="G17" s="91" t="s">
        <v>2610</v>
      </c>
      <c r="H17" s="155">
        <v>18.0</v>
      </c>
      <c r="I17" s="155" t="s">
        <v>2536</v>
      </c>
      <c r="J17" s="155" t="s">
        <v>2537</v>
      </c>
      <c r="K17" s="155" t="s">
        <v>2538</v>
      </c>
      <c r="L17" s="89" t="s">
        <v>2567</v>
      </c>
      <c r="M17" s="89" t="s">
        <v>2582</v>
      </c>
    </row>
    <row r="18" ht="15.75" hidden="1" customHeight="1">
      <c r="A18" s="151" t="s">
        <v>2616</v>
      </c>
      <c r="B18" s="151" t="s">
        <v>2617</v>
      </c>
      <c r="C18" s="159" t="str">
        <f t="shared" si="1"/>
        <v>http://192.168.187.30:8000/nv.html?mode=kiosk&amp;from=K119</v>
      </c>
      <c r="D18" s="151" t="s">
        <v>2618</v>
      </c>
      <c r="E18" s="151"/>
      <c r="F18" s="151" t="s">
        <v>2590</v>
      </c>
      <c r="H18" s="151">
        <v>19.0</v>
      </c>
      <c r="I18" s="151" t="s">
        <v>2603</v>
      </c>
      <c r="J18" s="151" t="s">
        <v>2566</v>
      </c>
      <c r="K18" s="151" t="s">
        <v>2557</v>
      </c>
      <c r="M18" s="89" t="s">
        <v>2539</v>
      </c>
    </row>
    <row r="19" ht="15.75" hidden="1" customHeight="1">
      <c r="A19" s="151" t="s">
        <v>2619</v>
      </c>
      <c r="B19" s="151" t="s">
        <v>2620</v>
      </c>
      <c r="C19" s="159" t="str">
        <f t="shared" si="1"/>
        <v>http://192.168.187.30:8000/sv.html?mode=kiosk&amp;from=K024</v>
      </c>
      <c r="D19" s="151" t="s">
        <v>2621</v>
      </c>
      <c r="E19" s="151"/>
      <c r="F19" s="151" t="s">
        <v>2590</v>
      </c>
      <c r="H19" s="151">
        <v>24.0</v>
      </c>
      <c r="I19" s="151" t="s">
        <v>2591</v>
      </c>
      <c r="J19" s="151" t="s">
        <v>2556</v>
      </c>
      <c r="K19" s="151" t="s">
        <v>2557</v>
      </c>
      <c r="M19" s="89" t="s">
        <v>2539</v>
      </c>
    </row>
    <row r="20" ht="15.75" customHeight="1">
      <c r="A20" s="155" t="s">
        <v>2622</v>
      </c>
      <c r="B20" s="155" t="s">
        <v>2623</v>
      </c>
      <c r="C20" s="157" t="str">
        <f t="shared" si="1"/>
        <v>http://192.168.187.30:8000/sh.html?mode=kiosk&amp;from=K120</v>
      </c>
      <c r="D20" s="158" t="s">
        <v>2624</v>
      </c>
      <c r="E20" s="158" t="s">
        <v>2615</v>
      </c>
      <c r="F20" s="155" t="s">
        <v>2535</v>
      </c>
      <c r="G20" s="91" t="s">
        <v>2581</v>
      </c>
      <c r="H20" s="155">
        <v>20.0</v>
      </c>
      <c r="I20" s="155" t="s">
        <v>2555</v>
      </c>
      <c r="J20" s="155" t="s">
        <v>2556</v>
      </c>
      <c r="K20" s="155" t="s">
        <v>2557</v>
      </c>
      <c r="L20" s="89" t="s">
        <v>2567</v>
      </c>
      <c r="M20" s="89" t="s">
        <v>2625</v>
      </c>
    </row>
    <row r="21" ht="15.75" customHeight="1">
      <c r="A21" s="162" t="s">
        <v>2626</v>
      </c>
      <c r="B21" s="162" t="s">
        <v>2627</v>
      </c>
      <c r="C21" s="163" t="str">
        <f t="shared" si="1"/>
        <v>http://192.168.187.30:8000/nv.html?mode=kiosk&amp;from=K010</v>
      </c>
      <c r="D21" s="164" t="s">
        <v>2628</v>
      </c>
      <c r="E21" s="164" t="s">
        <v>2589</v>
      </c>
      <c r="F21" s="162" t="s">
        <v>2590</v>
      </c>
      <c r="G21" s="91" t="s">
        <v>2629</v>
      </c>
      <c r="H21" s="155">
        <v>10.0</v>
      </c>
      <c r="I21" s="155" t="s">
        <v>2603</v>
      </c>
      <c r="J21" s="155" t="s">
        <v>2566</v>
      </c>
      <c r="K21" s="155" t="s">
        <v>2557</v>
      </c>
      <c r="M21" s="89" t="s">
        <v>2630</v>
      </c>
    </row>
    <row r="22" ht="15.75" customHeight="1">
      <c r="A22" s="162" t="s">
        <v>2631</v>
      </c>
      <c r="B22" s="162" t="s">
        <v>2632</v>
      </c>
      <c r="C22" s="163" t="str">
        <f t="shared" si="1"/>
        <v>http://192.168.187.30:8000/nv.html?mode=kiosk&amp;from=K011</v>
      </c>
      <c r="D22" s="162" t="s">
        <v>2633</v>
      </c>
      <c r="E22" s="164" t="s">
        <v>2589</v>
      </c>
      <c r="F22" s="162" t="s">
        <v>2590</v>
      </c>
      <c r="G22" s="89" t="s">
        <v>15</v>
      </c>
      <c r="H22" s="155">
        <v>11.0</v>
      </c>
      <c r="I22" s="155" t="s">
        <v>2603</v>
      </c>
      <c r="J22" s="155" t="s">
        <v>2566</v>
      </c>
      <c r="K22" s="155" t="s">
        <v>2557</v>
      </c>
      <c r="M22" s="89" t="s">
        <v>2634</v>
      </c>
    </row>
    <row r="23" ht="15.75" customHeight="1">
      <c r="A23" s="162" t="s">
        <v>2635</v>
      </c>
      <c r="B23" s="162" t="s">
        <v>2636</v>
      </c>
      <c r="C23" s="163" t="str">
        <f t="shared" si="1"/>
        <v>http://192.168.187.30:8000/nv.html?mode=kiosk&amp;from=K015</v>
      </c>
      <c r="D23" s="164" t="s">
        <v>2637</v>
      </c>
      <c r="E23" s="164" t="s">
        <v>2589</v>
      </c>
      <c r="F23" s="162" t="s">
        <v>2590</v>
      </c>
      <c r="G23" s="91" t="s">
        <v>15</v>
      </c>
      <c r="H23" s="155">
        <v>15.0</v>
      </c>
      <c r="I23" s="155" t="s">
        <v>2603</v>
      </c>
      <c r="J23" s="155" t="s">
        <v>2566</v>
      </c>
      <c r="K23" s="155" t="s">
        <v>2557</v>
      </c>
      <c r="M23" s="89" t="s">
        <v>2638</v>
      </c>
    </row>
    <row r="24" ht="15.75" customHeight="1">
      <c r="A24" s="152" t="s">
        <v>2639</v>
      </c>
      <c r="B24" s="152" t="s">
        <v>2640</v>
      </c>
      <c r="C24" s="153" t="str">
        <f t="shared" si="1"/>
        <v>http://192.168.187.30:8000/wh.html?mode=kiosk&amp;from=K023</v>
      </c>
      <c r="D24" s="152" t="s">
        <v>2641</v>
      </c>
      <c r="E24" s="154" t="s">
        <v>2589</v>
      </c>
      <c r="F24" s="152" t="s">
        <v>2535</v>
      </c>
      <c r="G24" s="91" t="s">
        <v>2544</v>
      </c>
      <c r="H24" s="155"/>
      <c r="I24" s="155" t="s">
        <v>2536</v>
      </c>
      <c r="J24" s="155" t="s">
        <v>2546</v>
      </c>
      <c r="K24" s="155" t="s">
        <v>2538</v>
      </c>
      <c r="L24" s="89" t="s">
        <v>2567</v>
      </c>
    </row>
    <row r="25" ht="15.75" hidden="1" customHeight="1">
      <c r="A25" s="151" t="s">
        <v>2642</v>
      </c>
      <c r="B25" s="151" t="s">
        <v>2640</v>
      </c>
      <c r="C25" s="89"/>
      <c r="D25" s="151" t="s">
        <v>2643</v>
      </c>
      <c r="E25" s="151"/>
      <c r="F25" s="151" t="s">
        <v>2590</v>
      </c>
      <c r="H25" s="151">
        <v>27.0</v>
      </c>
      <c r="I25" s="151" t="s">
        <v>2591</v>
      </c>
      <c r="J25" s="151" t="s">
        <v>2556</v>
      </c>
      <c r="K25" s="151" t="s">
        <v>2557</v>
      </c>
      <c r="M25" s="89" t="s">
        <v>2539</v>
      </c>
    </row>
    <row r="26" ht="15.75" customHeight="1">
      <c r="A26" s="89" t="s">
        <v>2644</v>
      </c>
      <c r="B26" s="89" t="s">
        <v>2645</v>
      </c>
      <c r="C26" s="89"/>
      <c r="H26" s="89"/>
      <c r="M26" s="89" t="s">
        <v>2646</v>
      </c>
    </row>
    <row r="27" ht="15.75" customHeight="1">
      <c r="A27" s="89" t="s">
        <v>2644</v>
      </c>
      <c r="B27" s="89" t="s">
        <v>2647</v>
      </c>
      <c r="H27" s="89"/>
    </row>
    <row r="28" ht="15.75" customHeight="1">
      <c r="A28" s="166" t="s">
        <v>2648</v>
      </c>
      <c r="B28" s="167" t="s">
        <v>2562</v>
      </c>
      <c r="C28" s="89"/>
      <c r="D28" s="166" t="s">
        <v>2649</v>
      </c>
      <c r="E28" s="166"/>
      <c r="F28" s="166" t="s">
        <v>2535</v>
      </c>
      <c r="H28" s="166">
        <v>5.0</v>
      </c>
      <c r="I28" s="166" t="s">
        <v>2555</v>
      </c>
      <c r="J28" s="166" t="s">
        <v>2556</v>
      </c>
      <c r="K28" s="166" t="s">
        <v>2557</v>
      </c>
      <c r="M28" s="89" t="s">
        <v>2650</v>
      </c>
    </row>
    <row r="29" ht="15.75" customHeight="1">
      <c r="A29" s="166" t="s">
        <v>2651</v>
      </c>
      <c r="B29" s="167" t="s">
        <v>2652</v>
      </c>
      <c r="C29" s="89"/>
      <c r="D29" s="166" t="s">
        <v>2653</v>
      </c>
      <c r="E29" s="166"/>
      <c r="F29" s="166" t="s">
        <v>2535</v>
      </c>
      <c r="H29" s="166">
        <v>7.0</v>
      </c>
      <c r="I29" s="166" t="s">
        <v>2555</v>
      </c>
      <c r="J29" s="166" t="s">
        <v>2556</v>
      </c>
      <c r="K29" s="166" t="s">
        <v>2557</v>
      </c>
      <c r="M29" s="89" t="s">
        <v>2638</v>
      </c>
    </row>
    <row r="30" ht="15.75" customHeight="1">
      <c r="A30" s="166" t="s">
        <v>2639</v>
      </c>
      <c r="B30" s="166" t="s">
        <v>2654</v>
      </c>
      <c r="D30" s="166" t="s">
        <v>2655</v>
      </c>
      <c r="E30" s="166"/>
      <c r="F30" s="166" t="s">
        <v>2590</v>
      </c>
      <c r="H30" s="166">
        <v>23.0</v>
      </c>
      <c r="I30" s="166" t="s">
        <v>2656</v>
      </c>
      <c r="J30" s="166" t="s">
        <v>2537</v>
      </c>
      <c r="K30" s="166" t="s">
        <v>2538</v>
      </c>
    </row>
    <row r="31" ht="15.75" customHeight="1">
      <c r="A31" s="166" t="s">
        <v>2657</v>
      </c>
      <c r="B31" s="166" t="s">
        <v>2658</v>
      </c>
      <c r="D31" s="166" t="s">
        <v>2659</v>
      </c>
      <c r="E31" s="166"/>
      <c r="F31" s="166" t="s">
        <v>2590</v>
      </c>
      <c r="H31" s="166">
        <v>13.0</v>
      </c>
      <c r="I31" s="166" t="s">
        <v>2660</v>
      </c>
      <c r="J31" s="166" t="s">
        <v>2546</v>
      </c>
      <c r="K31" s="166" t="s">
        <v>2538</v>
      </c>
    </row>
    <row r="32" ht="15.75" customHeight="1">
      <c r="A32" s="166" t="s">
        <v>2661</v>
      </c>
      <c r="B32" s="166" t="s">
        <v>2662</v>
      </c>
      <c r="D32" s="166" t="s">
        <v>2663</v>
      </c>
      <c r="E32" s="166"/>
      <c r="F32" s="166" t="s">
        <v>2590</v>
      </c>
      <c r="H32" s="166">
        <v>26.0</v>
      </c>
      <c r="I32" s="166" t="s">
        <v>2603</v>
      </c>
      <c r="J32" s="166" t="s">
        <v>2566</v>
      </c>
      <c r="K32" s="166" t="s">
        <v>2557</v>
      </c>
    </row>
    <row r="33" ht="15.75" customHeight="1">
      <c r="A33" s="166" t="s">
        <v>2664</v>
      </c>
      <c r="B33" s="166" t="s">
        <v>2665</v>
      </c>
      <c r="D33" s="166" t="s">
        <v>2666</v>
      </c>
      <c r="E33" s="166"/>
      <c r="F33" s="166" t="s">
        <v>2590</v>
      </c>
      <c r="H33" s="166">
        <v>17.0</v>
      </c>
      <c r="I33" s="166" t="s">
        <v>2591</v>
      </c>
      <c r="J33" s="166" t="s">
        <v>2556</v>
      </c>
      <c r="K33" s="166" t="s">
        <v>2557</v>
      </c>
    </row>
    <row r="34" ht="15.75" customHeight="1">
      <c r="A34" s="89"/>
      <c r="H34" s="89"/>
    </row>
    <row r="35" ht="15.75" customHeight="1">
      <c r="A35" s="89"/>
      <c r="H35" s="89"/>
    </row>
    <row r="36" ht="15.75" customHeight="1">
      <c r="A36" s="89"/>
      <c r="H36" s="89"/>
    </row>
    <row r="37" ht="15.75" customHeight="1">
      <c r="A37" s="89"/>
      <c r="H37" s="89"/>
    </row>
    <row r="38" ht="15.75" customHeight="1">
      <c r="A38" s="89"/>
      <c r="H38" s="89"/>
    </row>
    <row r="39" ht="15.75" customHeight="1">
      <c r="A39" s="89"/>
      <c r="H39" s="89"/>
    </row>
    <row r="40" ht="15.75" customHeight="1">
      <c r="A40" s="89"/>
      <c r="H40" s="89"/>
    </row>
    <row r="41" ht="15.75" customHeight="1">
      <c r="A41" s="89"/>
      <c r="H41" s="89"/>
    </row>
    <row r="42" ht="15.75" customHeight="1">
      <c r="A42" s="89"/>
      <c r="H42" s="89"/>
    </row>
    <row r="43" ht="15.75" customHeight="1">
      <c r="A43" s="89"/>
      <c r="H43" s="89"/>
    </row>
    <row r="44" ht="15.75" customHeight="1">
      <c r="A44" s="89"/>
      <c r="H44" s="89"/>
    </row>
    <row r="45" ht="15.75" customHeight="1">
      <c r="A45" s="89"/>
      <c r="H45" s="89"/>
    </row>
    <row r="46" ht="15.75" customHeight="1">
      <c r="A46" s="89"/>
      <c r="H46" s="89"/>
    </row>
    <row r="47" ht="15.75" customHeight="1">
      <c r="A47" s="89"/>
      <c r="H47" s="89"/>
    </row>
    <row r="48" ht="15.75" customHeight="1">
      <c r="A48" s="89"/>
      <c r="H48" s="89"/>
    </row>
    <row r="49" ht="15.75" customHeight="1">
      <c r="A49" s="89"/>
      <c r="H49" s="89"/>
    </row>
    <row r="50" ht="15.75" customHeight="1">
      <c r="A50" s="89"/>
      <c r="H50" s="89"/>
    </row>
    <row r="51" ht="15.75" customHeight="1">
      <c r="A51" s="89"/>
      <c r="H51" s="89"/>
    </row>
    <row r="52" ht="15.75" customHeight="1">
      <c r="A52" s="89"/>
      <c r="H52" s="89"/>
    </row>
    <row r="53" ht="15.75" customHeight="1">
      <c r="A53" s="89"/>
      <c r="H53" s="89"/>
    </row>
    <row r="54" ht="15.75" customHeight="1">
      <c r="A54" s="89"/>
      <c r="H54" s="89"/>
    </row>
    <row r="55" ht="15.75" customHeight="1">
      <c r="A55" s="89"/>
      <c r="H55" s="89"/>
    </row>
    <row r="56" ht="15.75" customHeight="1">
      <c r="A56" s="89"/>
      <c r="H56" s="89"/>
    </row>
    <row r="57" ht="15.75" customHeight="1">
      <c r="A57" s="89"/>
      <c r="H57" s="89"/>
    </row>
    <row r="58" ht="15.75" customHeight="1">
      <c r="A58" s="89"/>
      <c r="H58" s="89"/>
    </row>
    <row r="59" ht="15.75" customHeight="1">
      <c r="A59" s="89"/>
      <c r="H59" s="89"/>
    </row>
    <row r="60" ht="15.75" customHeight="1">
      <c r="A60" s="89"/>
      <c r="H60" s="89"/>
    </row>
    <row r="61" ht="15.75" customHeight="1">
      <c r="A61" s="89"/>
      <c r="H61" s="89"/>
    </row>
    <row r="62" ht="15.75" customHeight="1">
      <c r="A62" s="89"/>
      <c r="H62" s="89"/>
    </row>
    <row r="63" ht="15.75" customHeight="1">
      <c r="A63" s="89"/>
      <c r="H63" s="89"/>
    </row>
    <row r="64" ht="15.75" customHeight="1">
      <c r="A64" s="89"/>
      <c r="H64" s="89"/>
    </row>
    <row r="65" ht="15.75" customHeight="1">
      <c r="A65" s="89"/>
      <c r="H65" s="89"/>
    </row>
    <row r="66" ht="15.75" customHeight="1">
      <c r="A66" s="89"/>
      <c r="H66" s="89"/>
    </row>
    <row r="67" ht="15.75" customHeight="1">
      <c r="A67" s="89"/>
      <c r="H67" s="89"/>
    </row>
    <row r="68" ht="15.75" customHeight="1">
      <c r="A68" s="89"/>
      <c r="H68" s="89"/>
    </row>
    <row r="69" ht="15.75" customHeight="1">
      <c r="A69" s="89"/>
      <c r="H69" s="89"/>
    </row>
    <row r="70" ht="15.75" customHeight="1">
      <c r="A70" s="89"/>
      <c r="H70" s="89"/>
    </row>
    <row r="71" ht="15.75" customHeight="1">
      <c r="A71" s="89"/>
      <c r="H71" s="89"/>
    </row>
    <row r="72" ht="15.75" customHeight="1">
      <c r="A72" s="89"/>
      <c r="H72" s="89"/>
    </row>
    <row r="73" ht="15.75" customHeight="1">
      <c r="A73" s="89"/>
      <c r="H73" s="89"/>
    </row>
    <row r="74" ht="15.75" customHeight="1">
      <c r="A74" s="89"/>
      <c r="H74" s="89"/>
    </row>
    <row r="75" ht="15.75" customHeight="1">
      <c r="A75" s="89"/>
      <c r="H75" s="89"/>
    </row>
    <row r="76" ht="15.75" customHeight="1">
      <c r="A76" s="89"/>
      <c r="H76" s="89"/>
    </row>
    <row r="77" ht="15.75" customHeight="1">
      <c r="A77" s="89"/>
      <c r="H77" s="89"/>
    </row>
    <row r="78" ht="15.75" customHeight="1">
      <c r="A78" s="89"/>
      <c r="H78" s="89"/>
    </row>
    <row r="79" ht="15.75" customHeight="1">
      <c r="A79" s="89"/>
      <c r="H79" s="89"/>
    </row>
    <row r="80" ht="15.75" customHeight="1">
      <c r="A80" s="89"/>
      <c r="H80" s="89"/>
    </row>
    <row r="81" ht="15.75" customHeight="1">
      <c r="A81" s="89"/>
      <c r="H81" s="89"/>
    </row>
    <row r="82" ht="15.75" customHeight="1">
      <c r="A82" s="89"/>
      <c r="H82" s="89"/>
    </row>
    <row r="83" ht="15.75" customHeight="1">
      <c r="A83" s="89"/>
      <c r="H83" s="89"/>
    </row>
    <row r="84" ht="15.75" customHeight="1">
      <c r="A84" s="89"/>
      <c r="H84" s="89"/>
    </row>
    <row r="85" ht="15.75" customHeight="1">
      <c r="A85" s="89"/>
      <c r="H85" s="89"/>
    </row>
    <row r="86" ht="15.75" customHeight="1">
      <c r="A86" s="89"/>
      <c r="H86" s="89"/>
    </row>
    <row r="87" ht="15.75" customHeight="1">
      <c r="A87" s="89"/>
      <c r="H87" s="89"/>
    </row>
    <row r="88" ht="15.75" customHeight="1">
      <c r="A88" s="89"/>
      <c r="H88" s="89"/>
    </row>
    <row r="89" ht="15.75" customHeight="1">
      <c r="A89" s="89"/>
      <c r="H89" s="89"/>
    </row>
    <row r="90" ht="15.75" customHeight="1">
      <c r="A90" s="89"/>
      <c r="H90" s="89"/>
    </row>
    <row r="91" ht="15.75" customHeight="1">
      <c r="A91" s="89"/>
      <c r="H91" s="89"/>
    </row>
    <row r="92" ht="15.75" customHeight="1">
      <c r="A92" s="89"/>
      <c r="H92" s="89"/>
    </row>
    <row r="93" ht="15.75" customHeight="1">
      <c r="A93" s="89"/>
      <c r="H93" s="89"/>
    </row>
    <row r="94" ht="15.75" customHeight="1">
      <c r="A94" s="89"/>
      <c r="H94" s="89"/>
    </row>
    <row r="95" ht="15.75" customHeight="1">
      <c r="A95" s="89"/>
      <c r="H95" s="89"/>
    </row>
    <row r="96" ht="15.75" customHeight="1">
      <c r="A96" s="89"/>
      <c r="H96" s="89"/>
    </row>
    <row r="97" ht="15.75" customHeight="1">
      <c r="A97" s="89"/>
      <c r="H97" s="89"/>
    </row>
    <row r="98" ht="15.75" customHeight="1">
      <c r="A98" s="89"/>
      <c r="H98" s="89"/>
    </row>
    <row r="99" ht="15.75" customHeight="1">
      <c r="A99" s="89"/>
      <c r="H99" s="89"/>
    </row>
    <row r="100" ht="15.75" customHeight="1">
      <c r="A100" s="89"/>
      <c r="H100" s="89"/>
    </row>
    <row r="101" ht="15.75" customHeight="1">
      <c r="A101" s="89"/>
      <c r="H101" s="89"/>
    </row>
    <row r="102" ht="15.75" customHeight="1">
      <c r="A102" s="89"/>
      <c r="H102" s="89"/>
    </row>
    <row r="103" ht="15.75" customHeight="1">
      <c r="A103" s="89"/>
      <c r="H103" s="89"/>
    </row>
    <row r="104" ht="15.75" customHeight="1">
      <c r="A104" s="89"/>
      <c r="H104" s="89"/>
    </row>
    <row r="105" ht="15.75" customHeight="1">
      <c r="A105" s="89"/>
      <c r="H105" s="89"/>
    </row>
    <row r="106" ht="15.75" customHeight="1">
      <c r="A106" s="89"/>
      <c r="H106" s="89"/>
    </row>
    <row r="107" ht="15.75" customHeight="1">
      <c r="A107" s="89"/>
      <c r="H107" s="89"/>
    </row>
    <row r="108" ht="15.75" customHeight="1">
      <c r="A108" s="89"/>
      <c r="H108" s="89"/>
    </row>
    <row r="109" ht="15.75" customHeight="1">
      <c r="A109" s="89"/>
      <c r="H109" s="89"/>
    </row>
    <row r="110" ht="15.75" customHeight="1">
      <c r="A110" s="89"/>
      <c r="H110" s="89"/>
    </row>
    <row r="111" ht="15.75" customHeight="1">
      <c r="A111" s="89"/>
      <c r="H111" s="89"/>
    </row>
    <row r="112" ht="15.75" customHeight="1">
      <c r="A112" s="89"/>
      <c r="H112" s="89"/>
    </row>
    <row r="113" ht="15.75" customHeight="1">
      <c r="A113" s="89"/>
      <c r="H113" s="89"/>
    </row>
    <row r="114" ht="15.75" customHeight="1">
      <c r="A114" s="89"/>
      <c r="H114" s="89"/>
    </row>
    <row r="115" ht="15.75" customHeight="1">
      <c r="A115" s="89"/>
      <c r="H115" s="89"/>
    </row>
    <row r="116" ht="15.75" customHeight="1">
      <c r="A116" s="89"/>
      <c r="H116" s="89"/>
    </row>
    <row r="117" ht="15.75" customHeight="1">
      <c r="A117" s="89"/>
      <c r="H117" s="89"/>
    </row>
    <row r="118" ht="15.75" customHeight="1">
      <c r="A118" s="89"/>
      <c r="H118" s="89"/>
    </row>
    <row r="119" ht="15.75" customHeight="1">
      <c r="A119" s="89"/>
      <c r="H119" s="89"/>
    </row>
    <row r="120" ht="15.75" customHeight="1">
      <c r="A120" s="89"/>
      <c r="H120" s="89"/>
    </row>
    <row r="121" ht="15.75" customHeight="1">
      <c r="A121" s="89"/>
      <c r="H121" s="89"/>
    </row>
    <row r="122" ht="15.75" customHeight="1">
      <c r="A122" s="89"/>
      <c r="H122" s="89"/>
    </row>
    <row r="123" ht="15.75" customHeight="1">
      <c r="A123" s="89"/>
      <c r="H123" s="89"/>
    </row>
    <row r="124" ht="15.75" customHeight="1">
      <c r="A124" s="89"/>
      <c r="H124" s="89"/>
    </row>
    <row r="125" ht="15.75" customHeight="1">
      <c r="A125" s="89"/>
      <c r="H125" s="89"/>
    </row>
    <row r="126" ht="15.75" customHeight="1">
      <c r="A126" s="89"/>
      <c r="H126" s="89"/>
    </row>
    <row r="127" ht="15.75" customHeight="1">
      <c r="A127" s="89"/>
      <c r="H127" s="89"/>
    </row>
    <row r="128" ht="15.75" customHeight="1">
      <c r="A128" s="89"/>
      <c r="H128" s="89"/>
    </row>
    <row r="129" ht="15.75" customHeight="1">
      <c r="A129" s="89"/>
      <c r="H129" s="89"/>
    </row>
    <row r="130" ht="15.75" customHeight="1">
      <c r="A130" s="89"/>
      <c r="H130" s="89"/>
    </row>
    <row r="131" ht="15.75" customHeight="1">
      <c r="A131" s="89"/>
      <c r="H131" s="89"/>
    </row>
    <row r="132" ht="15.75" customHeight="1">
      <c r="A132" s="89"/>
      <c r="H132" s="89"/>
    </row>
    <row r="133" ht="15.75" customHeight="1">
      <c r="A133" s="89"/>
      <c r="H133" s="89"/>
    </row>
    <row r="134" ht="15.75" customHeight="1">
      <c r="A134" s="89"/>
      <c r="H134" s="89"/>
    </row>
    <row r="135" ht="15.75" customHeight="1">
      <c r="A135" s="89"/>
      <c r="H135" s="89"/>
    </row>
    <row r="136" ht="15.75" customHeight="1">
      <c r="A136" s="89"/>
      <c r="H136" s="89"/>
    </row>
    <row r="137" ht="15.75" customHeight="1">
      <c r="A137" s="89"/>
      <c r="H137" s="89"/>
    </row>
    <row r="138" ht="15.75" customHeight="1">
      <c r="A138" s="89"/>
      <c r="H138" s="89"/>
    </row>
    <row r="139" ht="15.75" customHeight="1">
      <c r="A139" s="89"/>
      <c r="H139" s="89"/>
    </row>
    <row r="140" ht="15.75" customHeight="1">
      <c r="A140" s="89"/>
      <c r="H140" s="89"/>
    </row>
    <row r="141" ht="15.75" customHeight="1">
      <c r="A141" s="89"/>
      <c r="H141" s="89"/>
    </row>
    <row r="142" ht="15.75" customHeight="1">
      <c r="A142" s="89"/>
      <c r="H142" s="89"/>
    </row>
    <row r="143" ht="15.75" customHeight="1">
      <c r="A143" s="89"/>
      <c r="H143" s="89"/>
    </row>
    <row r="144" ht="15.75" customHeight="1">
      <c r="A144" s="89"/>
      <c r="H144" s="89"/>
    </row>
    <row r="145" ht="15.75" customHeight="1">
      <c r="A145" s="89"/>
      <c r="H145" s="89"/>
    </row>
    <row r="146" ht="15.75" customHeight="1">
      <c r="A146" s="89"/>
      <c r="H146" s="89"/>
    </row>
    <row r="147" ht="15.75" customHeight="1">
      <c r="A147" s="89"/>
      <c r="H147" s="89"/>
    </row>
    <row r="148" ht="15.75" customHeight="1">
      <c r="A148" s="89"/>
      <c r="H148" s="89"/>
    </row>
    <row r="149" ht="15.75" customHeight="1">
      <c r="A149" s="89"/>
      <c r="H149" s="89"/>
    </row>
    <row r="150" ht="15.75" customHeight="1">
      <c r="A150" s="89"/>
      <c r="H150" s="89"/>
    </row>
    <row r="151" ht="15.75" customHeight="1">
      <c r="A151" s="89"/>
      <c r="H151" s="89"/>
    </row>
    <row r="152" ht="15.75" customHeight="1">
      <c r="A152" s="89"/>
      <c r="H152" s="89"/>
    </row>
    <row r="153" ht="15.75" customHeight="1">
      <c r="A153" s="89"/>
      <c r="H153" s="89"/>
    </row>
    <row r="154" ht="15.75" customHeight="1">
      <c r="A154" s="89"/>
      <c r="H154" s="89"/>
    </row>
    <row r="155" ht="15.75" customHeight="1">
      <c r="A155" s="89"/>
      <c r="H155" s="89"/>
    </row>
    <row r="156" ht="15.75" customHeight="1">
      <c r="A156" s="89"/>
      <c r="H156" s="89"/>
    </row>
    <row r="157" ht="15.75" customHeight="1">
      <c r="A157" s="89"/>
      <c r="H157" s="89"/>
    </row>
    <row r="158" ht="15.75" customHeight="1">
      <c r="A158" s="89"/>
      <c r="H158" s="89"/>
    </row>
    <row r="159" ht="15.75" customHeight="1">
      <c r="A159" s="89"/>
      <c r="H159" s="89"/>
    </row>
    <row r="160" ht="15.75" customHeight="1">
      <c r="A160" s="89"/>
      <c r="H160" s="89"/>
    </row>
    <row r="161" ht="15.75" customHeight="1">
      <c r="A161" s="89"/>
      <c r="H161" s="89"/>
    </row>
    <row r="162" ht="15.75" customHeight="1">
      <c r="A162" s="89"/>
      <c r="H162" s="89"/>
    </row>
    <row r="163" ht="15.75" customHeight="1">
      <c r="A163" s="89"/>
      <c r="H163" s="89"/>
    </row>
    <row r="164" ht="15.75" customHeight="1">
      <c r="A164" s="89"/>
      <c r="H164" s="89"/>
    </row>
    <row r="165" ht="15.75" customHeight="1">
      <c r="A165" s="89"/>
      <c r="H165" s="89"/>
    </row>
    <row r="166" ht="15.75" customHeight="1">
      <c r="A166" s="89"/>
      <c r="H166" s="89"/>
    </row>
    <row r="167" ht="15.75" customHeight="1">
      <c r="A167" s="89"/>
      <c r="H167" s="89"/>
    </row>
    <row r="168" ht="15.75" customHeight="1">
      <c r="A168" s="89"/>
      <c r="H168" s="89"/>
    </row>
    <row r="169" ht="15.75" customHeight="1">
      <c r="A169" s="89"/>
      <c r="H169" s="89"/>
    </row>
    <row r="170" ht="15.75" customHeight="1">
      <c r="A170" s="89"/>
      <c r="H170" s="89"/>
    </row>
    <row r="171" ht="15.75" customHeight="1">
      <c r="A171" s="89"/>
      <c r="H171" s="89"/>
    </row>
    <row r="172" ht="15.75" customHeight="1">
      <c r="A172" s="89"/>
      <c r="H172" s="89"/>
    </row>
    <row r="173" ht="15.75" customHeight="1">
      <c r="A173" s="89"/>
      <c r="H173" s="89"/>
    </row>
    <row r="174" ht="15.75" customHeight="1">
      <c r="A174" s="89"/>
      <c r="H174" s="89"/>
    </row>
    <row r="175" ht="15.75" customHeight="1">
      <c r="A175" s="89"/>
      <c r="H175" s="89"/>
    </row>
    <row r="176" ht="15.75" customHeight="1">
      <c r="A176" s="89"/>
      <c r="H176" s="89"/>
    </row>
    <row r="177" ht="15.75" customHeight="1">
      <c r="A177" s="89"/>
      <c r="H177" s="89"/>
    </row>
    <row r="178" ht="15.75" customHeight="1">
      <c r="A178" s="89"/>
      <c r="H178" s="89"/>
    </row>
    <row r="179" ht="15.75" customHeight="1">
      <c r="A179" s="89"/>
      <c r="H179" s="89"/>
    </row>
    <row r="180" ht="15.75" customHeight="1">
      <c r="A180" s="89"/>
      <c r="H180" s="89"/>
    </row>
    <row r="181" ht="15.75" customHeight="1">
      <c r="A181" s="89"/>
      <c r="H181" s="89"/>
    </row>
    <row r="182" ht="15.75" customHeight="1">
      <c r="A182" s="89"/>
      <c r="H182" s="89"/>
    </row>
    <row r="183" ht="15.75" customHeight="1">
      <c r="A183" s="89"/>
      <c r="H183" s="89"/>
    </row>
    <row r="184" ht="15.75" customHeight="1">
      <c r="A184" s="89"/>
      <c r="H184" s="89"/>
    </row>
    <row r="185" ht="15.75" customHeight="1">
      <c r="A185" s="89"/>
      <c r="H185" s="89"/>
    </row>
    <row r="186" ht="15.75" customHeight="1">
      <c r="A186" s="89"/>
      <c r="H186" s="89"/>
    </row>
    <row r="187" ht="15.75" customHeight="1">
      <c r="A187" s="89"/>
      <c r="H187" s="89"/>
    </row>
    <row r="188" ht="15.75" customHeight="1">
      <c r="A188" s="89"/>
      <c r="H188" s="89"/>
    </row>
    <row r="189" ht="15.75" customHeight="1">
      <c r="A189" s="89"/>
      <c r="H189" s="89"/>
    </row>
    <row r="190" ht="15.75" customHeight="1">
      <c r="A190" s="89"/>
      <c r="H190" s="89"/>
    </row>
    <row r="191" ht="15.75" customHeight="1">
      <c r="A191" s="89"/>
      <c r="H191" s="89"/>
    </row>
    <row r="192" ht="15.75" customHeight="1">
      <c r="A192" s="89"/>
      <c r="H192" s="89"/>
    </row>
    <row r="193" ht="15.75" customHeight="1">
      <c r="A193" s="89"/>
      <c r="H193" s="89"/>
    </row>
    <row r="194" ht="15.75" customHeight="1">
      <c r="A194" s="89"/>
      <c r="H194" s="89"/>
    </row>
    <row r="195" ht="15.75" customHeight="1">
      <c r="A195" s="89"/>
      <c r="H195" s="89"/>
    </row>
    <row r="196" ht="15.75" customHeight="1">
      <c r="A196" s="89"/>
      <c r="H196" s="89"/>
    </row>
    <row r="197" ht="15.75" customHeight="1">
      <c r="A197" s="89"/>
      <c r="H197" s="89"/>
    </row>
    <row r="198" ht="15.75" customHeight="1">
      <c r="A198" s="89"/>
      <c r="H198" s="89"/>
    </row>
    <row r="199" ht="15.75" customHeight="1">
      <c r="A199" s="89"/>
      <c r="H199" s="89"/>
    </row>
    <row r="200" ht="15.75" customHeight="1">
      <c r="A200" s="89"/>
      <c r="H200" s="89"/>
    </row>
    <row r="201" ht="15.75" customHeight="1">
      <c r="A201" s="89"/>
      <c r="H201" s="89"/>
    </row>
    <row r="202" ht="15.75" customHeight="1">
      <c r="A202" s="89"/>
      <c r="H202" s="89"/>
    </row>
    <row r="203" ht="15.75" customHeight="1">
      <c r="A203" s="89"/>
      <c r="H203" s="89"/>
    </row>
    <row r="204" ht="15.75" customHeight="1">
      <c r="A204" s="89"/>
      <c r="H204" s="89"/>
    </row>
    <row r="205" ht="15.75" customHeight="1">
      <c r="A205" s="89"/>
      <c r="H205" s="89"/>
    </row>
    <row r="206" ht="15.75" customHeight="1">
      <c r="A206" s="89"/>
      <c r="H206" s="89"/>
    </row>
    <row r="207" ht="15.75" customHeight="1">
      <c r="A207" s="89"/>
      <c r="H207" s="89"/>
    </row>
    <row r="208" ht="15.75" customHeight="1">
      <c r="A208" s="89"/>
      <c r="H208" s="89"/>
    </row>
    <row r="209" ht="15.75" customHeight="1">
      <c r="A209" s="89"/>
      <c r="H209" s="89"/>
    </row>
    <row r="210" ht="15.75" customHeight="1">
      <c r="A210" s="89"/>
      <c r="H210" s="89"/>
    </row>
    <row r="211" ht="15.75" customHeight="1">
      <c r="A211" s="89"/>
      <c r="H211" s="89"/>
    </row>
    <row r="212" ht="15.75" customHeight="1">
      <c r="A212" s="89"/>
      <c r="H212" s="89"/>
    </row>
    <row r="213" ht="15.75" customHeight="1">
      <c r="A213" s="89"/>
      <c r="H213" s="89"/>
    </row>
    <row r="214" ht="15.75" customHeight="1">
      <c r="A214" s="89"/>
      <c r="H214" s="89"/>
    </row>
    <row r="215" ht="15.75" customHeight="1">
      <c r="A215" s="89"/>
      <c r="H215" s="89"/>
    </row>
    <row r="216" ht="15.75" customHeight="1">
      <c r="A216" s="89"/>
      <c r="H216" s="89"/>
    </row>
    <row r="217" ht="15.75" customHeight="1">
      <c r="A217" s="89"/>
      <c r="H217" s="89"/>
    </row>
    <row r="218" ht="15.75" customHeight="1">
      <c r="A218" s="89"/>
      <c r="H218" s="89"/>
    </row>
    <row r="219" ht="15.75" customHeight="1">
      <c r="A219" s="89"/>
      <c r="H219" s="89"/>
    </row>
    <row r="220" ht="15.75" customHeight="1">
      <c r="A220" s="89"/>
      <c r="H220" s="89"/>
    </row>
    <row r="221" ht="15.75" customHeight="1">
      <c r="A221" s="89"/>
      <c r="H221" s="89"/>
    </row>
    <row r="222" ht="15.75" customHeight="1">
      <c r="A222" s="89"/>
      <c r="H222" s="89"/>
    </row>
    <row r="223" ht="15.75" customHeight="1">
      <c r="A223" s="89"/>
      <c r="H223" s="89"/>
    </row>
    <row r="224" ht="15.75" customHeight="1">
      <c r="A224" s="89"/>
      <c r="H224" s="89"/>
    </row>
    <row r="225" ht="15.75" customHeight="1">
      <c r="A225" s="89"/>
      <c r="H225" s="89"/>
    </row>
    <row r="226" ht="15.75" customHeight="1">
      <c r="A226" s="89"/>
      <c r="H226" s="89"/>
    </row>
    <row r="227" ht="15.75" customHeight="1">
      <c r="A227" s="89"/>
      <c r="H227" s="89"/>
    </row>
    <row r="228" ht="15.75" customHeight="1">
      <c r="A228" s="89"/>
      <c r="H228" s="89"/>
    </row>
    <row r="229" ht="15.75" customHeight="1">
      <c r="A229" s="89"/>
      <c r="H229" s="89"/>
    </row>
    <row r="230" ht="15.75" customHeight="1">
      <c r="A230" s="89"/>
      <c r="H230" s="89"/>
    </row>
    <row r="231" ht="15.75" customHeight="1">
      <c r="A231" s="89"/>
      <c r="H231" s="89"/>
    </row>
    <row r="232" ht="15.75" customHeight="1">
      <c r="A232" s="89"/>
      <c r="H232" s="89"/>
    </row>
    <row r="233" ht="15.75" customHeight="1">
      <c r="A233" s="89"/>
      <c r="H233" s="89"/>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28">
    <filterColumn colId="12">
      <filters blank="1">
        <filter val="Formatlandı."/>
        <filter val="Dokunmatik sorunu var, Vestel bakacak. / Düzeldi."/>
        <filter val="Dokunmatiği çalışmıyor."/>
        <filter val="65&quot;"/>
        <filter val="Görsel geçişi sorunlu."/>
        <filter val="Formatlandı. / Kapatıldı."/>
        <filter val="Yeniden başlamış gibi. / Formatlandı."/>
        <filter val="Görsel geçişi sorunlu. / Formatlandı."/>
        <filter val="Görsel geçişi sorunlu. / Dokunmatiği çalışmıyor."/>
        <filter val="Formatlandı. / 14.05.2020'ye kadar kalktı"/>
      </filters>
    </filterColumn>
  </autoFilter>
  <hyperlinks>
    <hyperlink r:id="rId1" ref="N3"/>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63"/>
    <col customWidth="1" min="2" max="2" width="8.38"/>
    <col customWidth="1" min="3" max="3" width="12.63"/>
    <col customWidth="1" min="4" max="4" width="34.38"/>
    <col customWidth="1" min="5" max="5" width="20.25"/>
    <col customWidth="1" min="6" max="6" width="12.63"/>
  </cols>
  <sheetData>
    <row r="1" ht="15.75" customHeight="1">
      <c r="A1" s="168" t="s">
        <v>0</v>
      </c>
      <c r="B1" s="168" t="s">
        <v>2667</v>
      </c>
      <c r="C1" s="168" t="s">
        <v>4</v>
      </c>
      <c r="D1" s="149" t="s">
        <v>2668</v>
      </c>
      <c r="E1" s="149" t="s">
        <v>3</v>
      </c>
    </row>
    <row r="2" ht="15.75" customHeight="1">
      <c r="A2" s="28">
        <v>1.0</v>
      </c>
      <c r="B2" s="28" t="s">
        <v>2669</v>
      </c>
      <c r="C2" s="143">
        <v>1.0</v>
      </c>
      <c r="D2" s="89" t="s">
        <v>2670</v>
      </c>
      <c r="E2" s="169" t="s">
        <v>2671</v>
      </c>
    </row>
    <row r="3" ht="15.75" customHeight="1">
      <c r="A3" s="28">
        <v>2.0</v>
      </c>
      <c r="B3" s="89" t="s">
        <v>2672</v>
      </c>
      <c r="C3" s="89">
        <v>0.0</v>
      </c>
      <c r="D3" s="89" t="s">
        <v>2673</v>
      </c>
      <c r="E3" s="89" t="s">
        <v>2674</v>
      </c>
    </row>
    <row r="4" ht="15.75" customHeight="1">
      <c r="A4" s="28">
        <v>3.0</v>
      </c>
      <c r="B4" s="89" t="s">
        <v>2675</v>
      </c>
      <c r="C4" s="89">
        <v>0.0</v>
      </c>
      <c r="D4" s="89" t="s">
        <v>2676</v>
      </c>
      <c r="E4" s="89" t="s">
        <v>2674</v>
      </c>
    </row>
    <row r="5" ht="15.75" customHeight="1">
      <c r="A5" s="28">
        <v>4.0</v>
      </c>
      <c r="B5" s="89" t="s">
        <v>2677</v>
      </c>
      <c r="C5" s="89">
        <v>0.0</v>
      </c>
      <c r="D5" s="89" t="s">
        <v>2678</v>
      </c>
      <c r="E5" s="89" t="s">
        <v>2674</v>
      </c>
    </row>
    <row r="6" ht="15.75" customHeight="1">
      <c r="A6" s="28">
        <v>5.0</v>
      </c>
      <c r="B6" s="89" t="s">
        <v>2679</v>
      </c>
      <c r="C6" s="89">
        <v>0.0</v>
      </c>
      <c r="D6" s="89" t="s">
        <v>2680</v>
      </c>
      <c r="E6" s="89" t="s">
        <v>2681</v>
      </c>
    </row>
    <row r="7" ht="15.75" customHeight="1">
      <c r="A7" s="28">
        <v>6.0</v>
      </c>
      <c r="B7" s="89" t="s">
        <v>2682</v>
      </c>
      <c r="C7" s="89">
        <v>0.0</v>
      </c>
      <c r="D7" s="89" t="s">
        <v>2683</v>
      </c>
      <c r="E7" s="89" t="s">
        <v>2684</v>
      </c>
    </row>
    <row r="8" ht="15.75" customHeight="1">
      <c r="A8" s="28">
        <v>7.0</v>
      </c>
      <c r="B8" s="89" t="s">
        <v>2685</v>
      </c>
      <c r="C8" s="89">
        <v>0.0</v>
      </c>
      <c r="D8" s="89" t="s">
        <v>2686</v>
      </c>
      <c r="E8" s="89" t="s">
        <v>2687</v>
      </c>
    </row>
    <row r="9" ht="15.75" customHeight="1">
      <c r="A9" s="28">
        <v>8.0</v>
      </c>
      <c r="B9" s="89" t="s">
        <v>2688</v>
      </c>
      <c r="C9" s="89">
        <v>0.0</v>
      </c>
      <c r="D9" s="89" t="s">
        <v>2689</v>
      </c>
      <c r="E9" s="89" t="s">
        <v>2690</v>
      </c>
    </row>
    <row r="10" ht="15.75" customHeight="1">
      <c r="A10" s="28">
        <v>9.0</v>
      </c>
      <c r="B10" s="89" t="s">
        <v>2691</v>
      </c>
      <c r="C10" s="89">
        <v>0.0</v>
      </c>
      <c r="D10" s="89" t="s">
        <v>2692</v>
      </c>
      <c r="E10" s="89" t="s">
        <v>2693</v>
      </c>
    </row>
    <row r="11" ht="15.75" customHeight="1">
      <c r="A11" s="28">
        <v>10.0</v>
      </c>
      <c r="B11" s="89" t="s">
        <v>2694</v>
      </c>
      <c r="C11" s="89">
        <v>0.0</v>
      </c>
      <c r="D11" s="89" t="s">
        <v>2695</v>
      </c>
      <c r="E11" s="89" t="s">
        <v>2696</v>
      </c>
    </row>
    <row r="12" ht="15.75" customHeight="1">
      <c r="A12" s="28">
        <v>11.0</v>
      </c>
      <c r="B12" s="89" t="s">
        <v>2697</v>
      </c>
      <c r="C12" s="89">
        <v>0.0</v>
      </c>
      <c r="D12" s="89" t="s">
        <v>2698</v>
      </c>
      <c r="E12" s="89" t="s">
        <v>2699</v>
      </c>
    </row>
    <row r="13" ht="15.75" customHeight="1">
      <c r="A13" s="28">
        <v>12.0</v>
      </c>
      <c r="B13" s="89" t="s">
        <v>2700</v>
      </c>
      <c r="C13" s="89">
        <v>0.0</v>
      </c>
      <c r="D13" s="89" t="s">
        <v>2701</v>
      </c>
      <c r="E13" s="89" t="s">
        <v>2702</v>
      </c>
    </row>
    <row r="14" ht="15.75" customHeight="1">
      <c r="A14" s="28">
        <v>13.0</v>
      </c>
      <c r="B14" s="89" t="s">
        <v>2703</v>
      </c>
      <c r="C14" s="89">
        <v>-1.0</v>
      </c>
      <c r="D14" s="89" t="s">
        <v>2704</v>
      </c>
      <c r="E14" s="89" t="s">
        <v>2705</v>
      </c>
    </row>
    <row r="15" ht="15.75" customHeight="1">
      <c r="A15" s="28">
        <v>14.0</v>
      </c>
      <c r="B15" s="89" t="s">
        <v>2706</v>
      </c>
      <c r="C15" s="89">
        <v>-1.0</v>
      </c>
      <c r="D15" s="89" t="s">
        <v>2707</v>
      </c>
      <c r="E15" s="89" t="s">
        <v>2708</v>
      </c>
    </row>
    <row r="16" ht="15.75" customHeight="1">
      <c r="A16" s="28">
        <v>15.0</v>
      </c>
      <c r="B16" s="89" t="s">
        <v>2709</v>
      </c>
      <c r="C16" s="89">
        <v>-1.0</v>
      </c>
      <c r="D16" s="89" t="s">
        <v>2710</v>
      </c>
      <c r="E16" s="89" t="s">
        <v>2711</v>
      </c>
    </row>
    <row r="17" ht="15.75" customHeight="1">
      <c r="A17" s="28">
        <v>16.0</v>
      </c>
      <c r="B17" s="89" t="s">
        <v>2712</v>
      </c>
      <c r="C17" s="89">
        <v>-1.0</v>
      </c>
      <c r="D17" s="89" t="s">
        <v>2713</v>
      </c>
      <c r="E17" s="89" t="s">
        <v>2714</v>
      </c>
    </row>
    <row r="18" ht="15.75" customHeight="1">
      <c r="A18" s="28">
        <v>17.0</v>
      </c>
      <c r="B18" s="89" t="s">
        <v>2715</v>
      </c>
      <c r="C18" s="89">
        <v>-1.0</v>
      </c>
      <c r="D18" s="89" t="s">
        <v>2716</v>
      </c>
      <c r="E18" s="89" t="s">
        <v>2717</v>
      </c>
    </row>
    <row r="19" ht="15.75" customHeight="1">
      <c r="A19" s="28">
        <v>18.0</v>
      </c>
      <c r="B19" s="89" t="s">
        <v>2718</v>
      </c>
      <c r="C19" s="89">
        <v>-1.0</v>
      </c>
      <c r="D19" s="89" t="s">
        <v>2719</v>
      </c>
      <c r="E19" s="89" t="s">
        <v>2720</v>
      </c>
    </row>
    <row r="20" ht="15.75" customHeight="1">
      <c r="A20" s="28">
        <v>19.0</v>
      </c>
      <c r="B20" s="89" t="s">
        <v>2721</v>
      </c>
      <c r="C20" s="89">
        <v>-1.0</v>
      </c>
      <c r="D20" s="89" t="s">
        <v>2722</v>
      </c>
      <c r="E20" s="89" t="s">
        <v>2723</v>
      </c>
    </row>
    <row r="21" ht="15.75" customHeight="1">
      <c r="A21" s="28">
        <v>20.0</v>
      </c>
      <c r="B21" s="89" t="s">
        <v>2724</v>
      </c>
      <c r="C21" s="89">
        <v>-1.0</v>
      </c>
      <c r="D21" s="89" t="s">
        <v>2725</v>
      </c>
      <c r="E21" s="89" t="s">
        <v>2726</v>
      </c>
    </row>
    <row r="22" ht="15.75" customHeight="1">
      <c r="A22" s="28">
        <v>21.0</v>
      </c>
      <c r="B22" s="89" t="s">
        <v>2727</v>
      </c>
      <c r="C22" s="89">
        <v>-1.0</v>
      </c>
      <c r="D22" s="89" t="s">
        <v>2728</v>
      </c>
      <c r="E22" s="89" t="s">
        <v>2729</v>
      </c>
    </row>
    <row r="23" ht="15.75" customHeight="1">
      <c r="A23" s="28">
        <v>22.0</v>
      </c>
      <c r="B23" s="89" t="s">
        <v>2730</v>
      </c>
      <c r="C23" s="89">
        <v>-1.0</v>
      </c>
      <c r="D23" s="89" t="s">
        <v>2731</v>
      </c>
      <c r="E23" s="89" t="s">
        <v>2732</v>
      </c>
    </row>
    <row r="24" ht="15.75" customHeight="1">
      <c r="A24" s="28">
        <v>23.0</v>
      </c>
      <c r="B24" s="89" t="s">
        <v>2733</v>
      </c>
      <c r="C24" s="89">
        <v>-1.0</v>
      </c>
      <c r="D24" s="89" t="s">
        <v>2734</v>
      </c>
      <c r="E24" s="89" t="s">
        <v>2735</v>
      </c>
    </row>
    <row r="25" ht="15.75" customHeight="1">
      <c r="A25" s="28">
        <v>24.0</v>
      </c>
      <c r="B25" s="89" t="s">
        <v>2736</v>
      </c>
      <c r="C25" s="89">
        <v>-1.0</v>
      </c>
      <c r="D25" s="89" t="s">
        <v>2737</v>
      </c>
      <c r="E25" s="89" t="s">
        <v>2738</v>
      </c>
    </row>
    <row r="26" ht="15.75" customHeight="1">
      <c r="A26" s="28">
        <v>25.0</v>
      </c>
      <c r="B26" s="89" t="s">
        <v>2739</v>
      </c>
      <c r="C26" s="89">
        <v>-2.0</v>
      </c>
      <c r="D26" s="89" t="s">
        <v>2740</v>
      </c>
      <c r="E26" s="89" t="s">
        <v>2741</v>
      </c>
    </row>
    <row r="27" ht="15.75" customHeight="1">
      <c r="A27" s="28">
        <v>26.0</v>
      </c>
      <c r="B27" s="89" t="s">
        <v>2742</v>
      </c>
      <c r="C27" s="89">
        <v>-2.0</v>
      </c>
      <c r="D27" s="89" t="s">
        <v>2743</v>
      </c>
      <c r="E27" s="89" t="s">
        <v>2744</v>
      </c>
    </row>
    <row r="28" ht="15.75" customHeight="1">
      <c r="A28" s="28">
        <v>27.0</v>
      </c>
      <c r="B28" s="89" t="s">
        <v>2745</v>
      </c>
      <c r="C28" s="89">
        <v>-2.0</v>
      </c>
      <c r="D28" s="89" t="s">
        <v>2746</v>
      </c>
      <c r="E28" s="89" t="s">
        <v>2747</v>
      </c>
    </row>
    <row r="29" ht="15.75" customHeight="1">
      <c r="A29" s="28">
        <v>28.0</v>
      </c>
      <c r="B29" s="89" t="s">
        <v>2748</v>
      </c>
      <c r="C29" s="89">
        <v>-2.0</v>
      </c>
      <c r="D29" s="89" t="s">
        <v>2749</v>
      </c>
      <c r="E29" s="89" t="s">
        <v>2750</v>
      </c>
    </row>
    <row r="30" ht="15.75" customHeight="1">
      <c r="A30" s="28">
        <v>29.0</v>
      </c>
      <c r="B30" s="89" t="s">
        <v>2751</v>
      </c>
      <c r="C30" s="89">
        <v>-2.0</v>
      </c>
      <c r="D30" s="89" t="s">
        <v>2752</v>
      </c>
      <c r="E30" s="89" t="s">
        <v>2753</v>
      </c>
    </row>
    <row r="31" ht="15.75" customHeight="1">
      <c r="A31" s="28">
        <v>30.0</v>
      </c>
      <c r="B31" s="89" t="s">
        <v>2754</v>
      </c>
      <c r="C31" s="89">
        <v>-2.0</v>
      </c>
      <c r="D31" s="89" t="s">
        <v>2755</v>
      </c>
      <c r="E31" s="89" t="s">
        <v>2756</v>
      </c>
    </row>
    <row r="32" ht="15.75" customHeight="1">
      <c r="A32" s="28">
        <v>31.0</v>
      </c>
      <c r="B32" s="89" t="s">
        <v>2757</v>
      </c>
      <c r="C32" s="89">
        <v>-3.0</v>
      </c>
      <c r="D32" s="89" t="s">
        <v>2758</v>
      </c>
      <c r="E32" s="89" t="s">
        <v>2759</v>
      </c>
    </row>
    <row r="33" ht="15.75" customHeight="1">
      <c r="A33" s="28">
        <v>32.0</v>
      </c>
      <c r="B33" s="89" t="s">
        <v>2760</v>
      </c>
      <c r="C33" s="89">
        <v>-3.0</v>
      </c>
      <c r="D33" s="89" t="s">
        <v>2761</v>
      </c>
      <c r="E33" s="89" t="s">
        <v>2762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1" t="s">
        <v>2763</v>
      </c>
      <c r="B1" s="91" t="s">
        <v>2764</v>
      </c>
      <c r="C1" s="91" t="s">
        <v>2765</v>
      </c>
    </row>
    <row r="2">
      <c r="A2" s="91">
        <v>116.0</v>
      </c>
      <c r="B2" s="91" t="s">
        <v>2766</v>
      </c>
      <c r="C2" s="91" t="s">
        <v>474</v>
      </c>
    </row>
    <row r="3">
      <c r="A3" s="91">
        <v>65.0</v>
      </c>
      <c r="B3" s="91" t="s">
        <v>2767</v>
      </c>
      <c r="C3" s="91" t="s">
        <v>2116</v>
      </c>
    </row>
    <row r="4">
      <c r="A4" s="91">
        <v>54.0</v>
      </c>
      <c r="B4" s="91" t="s">
        <v>2768</v>
      </c>
      <c r="C4" s="91" t="s">
        <v>1603</v>
      </c>
    </row>
    <row r="5">
      <c r="A5" s="91">
        <v>42.0</v>
      </c>
      <c r="B5" s="91" t="s">
        <v>2769</v>
      </c>
      <c r="C5" s="91" t="s">
        <v>1668</v>
      </c>
    </row>
    <row r="6">
      <c r="A6" s="91">
        <v>42.0</v>
      </c>
      <c r="B6" s="91" t="s">
        <v>15</v>
      </c>
      <c r="C6" s="91" t="s">
        <v>1059</v>
      </c>
    </row>
    <row r="7">
      <c r="A7" s="91">
        <v>37.0</v>
      </c>
      <c r="B7" s="91" t="s">
        <v>15</v>
      </c>
      <c r="C7" s="91" t="s">
        <v>1603</v>
      </c>
    </row>
    <row r="8">
      <c r="A8" s="91">
        <v>35.0</v>
      </c>
      <c r="B8" s="91" t="s">
        <v>2770</v>
      </c>
      <c r="C8" s="91" t="s">
        <v>181</v>
      </c>
    </row>
    <row r="9">
      <c r="A9" s="91">
        <v>30.0</v>
      </c>
      <c r="B9" s="91" t="s">
        <v>15</v>
      </c>
      <c r="C9" s="91" t="s">
        <v>1548</v>
      </c>
    </row>
    <row r="10">
      <c r="A10" s="91">
        <v>30.0</v>
      </c>
      <c r="B10" s="91" t="s">
        <v>2771</v>
      </c>
      <c r="C10" s="91" t="s">
        <v>1603</v>
      </c>
    </row>
    <row r="11">
      <c r="A11" s="91">
        <v>28.0</v>
      </c>
      <c r="B11" s="91" t="s">
        <v>2772</v>
      </c>
      <c r="C11" s="91" t="s">
        <v>267</v>
      </c>
    </row>
    <row r="12">
      <c r="A12" s="91">
        <v>27.0</v>
      </c>
      <c r="B12" s="91" t="s">
        <v>15</v>
      </c>
      <c r="C12" s="91" t="s">
        <v>569</v>
      </c>
    </row>
    <row r="13">
      <c r="A13" s="91">
        <v>26.0</v>
      </c>
      <c r="B13" s="91" t="s">
        <v>15</v>
      </c>
      <c r="C13" s="91" t="s">
        <v>1031</v>
      </c>
    </row>
    <row r="14">
      <c r="A14" s="91">
        <v>24.0</v>
      </c>
      <c r="B14" s="91" t="s">
        <v>2773</v>
      </c>
      <c r="C14" s="91" t="s">
        <v>181</v>
      </c>
    </row>
    <row r="15">
      <c r="A15" s="91">
        <v>24.0</v>
      </c>
      <c r="B15" s="91" t="s">
        <v>15</v>
      </c>
      <c r="C15" s="91" t="s">
        <v>549</v>
      </c>
    </row>
    <row r="16">
      <c r="A16" s="91">
        <v>24.0</v>
      </c>
      <c r="B16" s="91" t="s">
        <v>2774</v>
      </c>
      <c r="C16" s="91" t="s">
        <v>267</v>
      </c>
    </row>
    <row r="17">
      <c r="A17" s="91">
        <v>23.0</v>
      </c>
      <c r="B17" s="91" t="s">
        <v>2775</v>
      </c>
      <c r="C17" s="91" t="s">
        <v>267</v>
      </c>
    </row>
    <row r="18">
      <c r="A18" s="91">
        <v>21.0</v>
      </c>
      <c r="B18" s="91" t="s">
        <v>2776</v>
      </c>
      <c r="C18" s="91" t="s">
        <v>94</v>
      </c>
    </row>
    <row r="19">
      <c r="A19" s="91">
        <v>21.0</v>
      </c>
      <c r="B19" s="91" t="s">
        <v>15</v>
      </c>
      <c r="C19" s="91" t="s">
        <v>579</v>
      </c>
    </row>
    <row r="20">
      <c r="A20" s="91">
        <v>20.0</v>
      </c>
      <c r="B20" s="91" t="s">
        <v>15</v>
      </c>
      <c r="C20" s="91" t="s">
        <v>1668</v>
      </c>
    </row>
    <row r="21">
      <c r="A21" s="91">
        <v>19.0</v>
      </c>
      <c r="B21" s="91" t="s">
        <v>15</v>
      </c>
      <c r="C21" s="91" t="s">
        <v>94</v>
      </c>
    </row>
    <row r="22">
      <c r="A22" s="91">
        <v>19.0</v>
      </c>
      <c r="B22" s="91" t="s">
        <v>2777</v>
      </c>
      <c r="C22" s="91" t="s">
        <v>1059</v>
      </c>
    </row>
    <row r="23">
      <c r="A23" s="91">
        <v>19.0</v>
      </c>
      <c r="B23" s="91" t="s">
        <v>2778</v>
      </c>
      <c r="C23" s="91" t="s">
        <v>1579</v>
      </c>
    </row>
    <row r="24">
      <c r="A24" s="91">
        <v>18.0</v>
      </c>
      <c r="B24" s="91" t="s">
        <v>2779</v>
      </c>
      <c r="C24" s="91" t="s">
        <v>474</v>
      </c>
    </row>
    <row r="25">
      <c r="A25" s="91">
        <v>18.0</v>
      </c>
      <c r="B25" s="91" t="s">
        <v>2780</v>
      </c>
      <c r="C25" s="91" t="s">
        <v>94</v>
      </c>
    </row>
    <row r="26">
      <c r="A26" s="91">
        <v>18.0</v>
      </c>
      <c r="B26" s="91" t="s">
        <v>2781</v>
      </c>
      <c r="C26" s="91" t="s">
        <v>474</v>
      </c>
    </row>
    <row r="27">
      <c r="A27" s="91">
        <v>17.0</v>
      </c>
      <c r="B27" s="91" t="s">
        <v>2782</v>
      </c>
      <c r="C27" s="91" t="s">
        <v>399</v>
      </c>
    </row>
    <row r="28">
      <c r="A28" s="91">
        <v>17.0</v>
      </c>
      <c r="B28" s="91" t="s">
        <v>2783</v>
      </c>
      <c r="C28" s="91" t="s">
        <v>1536</v>
      </c>
    </row>
    <row r="29">
      <c r="A29" s="91">
        <v>16.0</v>
      </c>
      <c r="B29" s="91" t="s">
        <v>15</v>
      </c>
      <c r="C29" s="91" t="s">
        <v>181</v>
      </c>
    </row>
    <row r="30">
      <c r="A30" s="91">
        <v>16.0</v>
      </c>
      <c r="B30" s="91" t="s">
        <v>2784</v>
      </c>
      <c r="C30" s="91" t="s">
        <v>315</v>
      </c>
    </row>
    <row r="31">
      <c r="A31" s="91">
        <v>16.0</v>
      </c>
      <c r="B31" s="91" t="s">
        <v>2785</v>
      </c>
      <c r="C31" s="91" t="s">
        <v>216</v>
      </c>
    </row>
    <row r="32">
      <c r="A32" s="91">
        <v>16.0</v>
      </c>
      <c r="B32" s="91" t="s">
        <v>2786</v>
      </c>
      <c r="C32" s="91" t="s">
        <v>474</v>
      </c>
    </row>
    <row r="33">
      <c r="A33" s="91">
        <v>15.0</v>
      </c>
      <c r="B33" s="91" t="s">
        <v>15</v>
      </c>
      <c r="C33" s="91" t="s">
        <v>485</v>
      </c>
    </row>
    <row r="34">
      <c r="A34" s="91">
        <v>15.0</v>
      </c>
      <c r="B34" s="91" t="s">
        <v>2787</v>
      </c>
      <c r="C34" s="91" t="s">
        <v>399</v>
      </c>
    </row>
    <row r="35">
      <c r="A35" s="91">
        <v>15.0</v>
      </c>
      <c r="B35" s="91" t="s">
        <v>2788</v>
      </c>
      <c r="C35" s="91" t="s">
        <v>682</v>
      </c>
    </row>
    <row r="36">
      <c r="A36" s="91">
        <v>15.0</v>
      </c>
      <c r="B36" s="91" t="s">
        <v>2789</v>
      </c>
      <c r="C36" s="91" t="s">
        <v>1579</v>
      </c>
    </row>
    <row r="37">
      <c r="A37" s="91">
        <v>15.0</v>
      </c>
      <c r="B37" s="91" t="s">
        <v>15</v>
      </c>
      <c r="C37" s="91" t="s">
        <v>2249</v>
      </c>
    </row>
    <row r="38">
      <c r="A38" s="91">
        <v>15.0</v>
      </c>
      <c r="B38" s="91" t="s">
        <v>2790</v>
      </c>
      <c r="C38" s="91" t="s">
        <v>1668</v>
      </c>
    </row>
    <row r="39">
      <c r="A39" s="91">
        <v>15.0</v>
      </c>
      <c r="B39" s="91" t="s">
        <v>2791</v>
      </c>
      <c r="C39" s="91" t="s">
        <v>1603</v>
      </c>
    </row>
    <row r="40">
      <c r="A40" s="91">
        <v>15.0</v>
      </c>
      <c r="B40" s="91" t="s">
        <v>2792</v>
      </c>
      <c r="C40" s="91" t="s">
        <v>1626</v>
      </c>
    </row>
    <row r="41">
      <c r="A41" s="91">
        <v>14.0</v>
      </c>
      <c r="B41" s="91" t="s">
        <v>15</v>
      </c>
      <c r="C41" s="91" t="s">
        <v>267</v>
      </c>
    </row>
    <row r="42">
      <c r="A42" s="91">
        <v>14.0</v>
      </c>
      <c r="B42" s="91" t="s">
        <v>2793</v>
      </c>
      <c r="C42" s="91" t="s">
        <v>485</v>
      </c>
    </row>
    <row r="43">
      <c r="A43" s="91">
        <v>13.0</v>
      </c>
      <c r="B43" s="91" t="s">
        <v>2794</v>
      </c>
      <c r="C43" s="91" t="s">
        <v>1554</v>
      </c>
    </row>
    <row r="44">
      <c r="A44" s="91">
        <v>13.0</v>
      </c>
      <c r="B44" s="91" t="s">
        <v>2795</v>
      </c>
      <c r="C44" s="91" t="s">
        <v>1548</v>
      </c>
    </row>
    <row r="45">
      <c r="A45" s="91">
        <v>13.0</v>
      </c>
      <c r="B45" s="91" t="s">
        <v>2796</v>
      </c>
      <c r="C45" s="91" t="s">
        <v>1579</v>
      </c>
    </row>
    <row r="46">
      <c r="A46" s="91">
        <v>13.0</v>
      </c>
      <c r="B46" s="91" t="s">
        <v>2797</v>
      </c>
      <c r="C46" s="91" t="s">
        <v>94</v>
      </c>
    </row>
    <row r="47">
      <c r="A47" s="91">
        <v>13.0</v>
      </c>
      <c r="B47" s="91" t="s">
        <v>2798</v>
      </c>
      <c r="C47" s="91" t="s">
        <v>2799</v>
      </c>
    </row>
    <row r="48">
      <c r="A48" s="91">
        <v>13.0</v>
      </c>
      <c r="B48" s="91" t="s">
        <v>2800</v>
      </c>
      <c r="C48" s="91" t="s">
        <v>1009</v>
      </c>
    </row>
    <row r="49">
      <c r="A49" s="91">
        <v>13.0</v>
      </c>
      <c r="B49" s="91" t="s">
        <v>15</v>
      </c>
      <c r="C49" s="91" t="s">
        <v>2801</v>
      </c>
    </row>
    <row r="50">
      <c r="A50" s="91">
        <v>13.0</v>
      </c>
      <c r="B50" s="91" t="s">
        <v>2802</v>
      </c>
      <c r="C50" s="91" t="s">
        <v>240</v>
      </c>
    </row>
    <row r="51">
      <c r="A51" s="91">
        <v>13.0</v>
      </c>
      <c r="B51" s="91" t="s">
        <v>2803</v>
      </c>
      <c r="C51" s="91" t="s">
        <v>1668</v>
      </c>
    </row>
    <row r="52">
      <c r="A52" s="91">
        <v>13.0</v>
      </c>
      <c r="B52" s="91" t="s">
        <v>15</v>
      </c>
      <c r="C52" s="91" t="s">
        <v>2804</v>
      </c>
    </row>
    <row r="53">
      <c r="A53" s="91">
        <v>12.0</v>
      </c>
      <c r="B53" s="91" t="s">
        <v>15</v>
      </c>
      <c r="C53" s="91" t="s">
        <v>474</v>
      </c>
    </row>
    <row r="54">
      <c r="A54" s="91">
        <v>12.0</v>
      </c>
      <c r="B54" s="91" t="s">
        <v>2805</v>
      </c>
      <c r="C54" s="91" t="s">
        <v>682</v>
      </c>
    </row>
    <row r="55">
      <c r="A55" s="91">
        <v>12.0</v>
      </c>
      <c r="B55" s="91" t="s">
        <v>2806</v>
      </c>
      <c r="C55" s="91" t="s">
        <v>2116</v>
      </c>
    </row>
    <row r="56">
      <c r="A56" s="91">
        <v>11.0</v>
      </c>
      <c r="B56" s="91" t="s">
        <v>2807</v>
      </c>
      <c r="C56" s="91" t="s">
        <v>1031</v>
      </c>
    </row>
    <row r="57">
      <c r="A57" s="91">
        <v>11.0</v>
      </c>
      <c r="B57" s="91" t="s">
        <v>2808</v>
      </c>
      <c r="C57" s="91" t="s">
        <v>1031</v>
      </c>
    </row>
    <row r="58">
      <c r="A58" s="91">
        <v>11.0</v>
      </c>
      <c r="B58" s="91" t="s">
        <v>2809</v>
      </c>
      <c r="C58" s="91" t="s">
        <v>1668</v>
      </c>
    </row>
    <row r="59">
      <c r="A59" s="91">
        <v>11.0</v>
      </c>
      <c r="B59" s="91" t="s">
        <v>2810</v>
      </c>
      <c r="C59" s="91" t="s">
        <v>181</v>
      </c>
    </row>
    <row r="60">
      <c r="A60" s="91">
        <v>11.0</v>
      </c>
      <c r="B60" s="91" t="s">
        <v>15</v>
      </c>
      <c r="C60" s="91" t="s">
        <v>630</v>
      </c>
    </row>
    <row r="61">
      <c r="A61" s="91">
        <v>11.0</v>
      </c>
      <c r="B61" s="91" t="s">
        <v>2811</v>
      </c>
      <c r="C61" s="91" t="s">
        <v>491</v>
      </c>
    </row>
    <row r="62">
      <c r="A62" s="91">
        <v>11.0</v>
      </c>
      <c r="B62" s="91" t="s">
        <v>15</v>
      </c>
      <c r="C62" s="91" t="s">
        <v>399</v>
      </c>
    </row>
    <row r="63">
      <c r="A63" s="91">
        <v>10.0</v>
      </c>
      <c r="B63" s="91" t="s">
        <v>15</v>
      </c>
      <c r="C63" s="91" t="s">
        <v>285</v>
      </c>
    </row>
    <row r="64">
      <c r="A64" s="91">
        <v>10.0</v>
      </c>
      <c r="B64" s="91" t="s">
        <v>2812</v>
      </c>
      <c r="C64" s="91" t="s">
        <v>399</v>
      </c>
    </row>
    <row r="65">
      <c r="A65" s="91">
        <v>10.0</v>
      </c>
      <c r="B65" s="91" t="s">
        <v>2813</v>
      </c>
      <c r="C65" s="91" t="s">
        <v>777</v>
      </c>
    </row>
    <row r="66">
      <c r="A66" s="91">
        <v>10.0</v>
      </c>
      <c r="B66" s="91" t="s">
        <v>2814</v>
      </c>
      <c r="C66" s="91" t="s">
        <v>181</v>
      </c>
    </row>
    <row r="67">
      <c r="A67" s="91">
        <v>10.0</v>
      </c>
      <c r="B67" s="91" t="s">
        <v>2815</v>
      </c>
      <c r="C67" s="91" t="s">
        <v>485</v>
      </c>
    </row>
    <row r="68">
      <c r="A68" s="91">
        <v>10.0</v>
      </c>
      <c r="B68" s="91" t="s">
        <v>15</v>
      </c>
      <c r="C68" s="91" t="s">
        <v>2816</v>
      </c>
    </row>
    <row r="69">
      <c r="A69" s="91">
        <v>10.0</v>
      </c>
      <c r="B69" s="91" t="s">
        <v>15</v>
      </c>
      <c r="C69" s="91" t="s">
        <v>1065</v>
      </c>
    </row>
    <row r="70">
      <c r="A70" s="91">
        <v>10.0</v>
      </c>
      <c r="B70" s="91" t="s">
        <v>2817</v>
      </c>
      <c r="C70" s="91" t="s">
        <v>549</v>
      </c>
    </row>
    <row r="71">
      <c r="A71" s="91">
        <v>10.0</v>
      </c>
      <c r="B71" s="91" t="s">
        <v>2818</v>
      </c>
      <c r="C71" s="91" t="s">
        <v>1573</v>
      </c>
    </row>
    <row r="72">
      <c r="A72" s="91">
        <v>10.0</v>
      </c>
      <c r="B72" s="91" t="s">
        <v>2819</v>
      </c>
      <c r="C72" s="91" t="s">
        <v>1536</v>
      </c>
    </row>
    <row r="73">
      <c r="A73" s="91">
        <v>9.0</v>
      </c>
      <c r="B73" s="91" t="s">
        <v>15</v>
      </c>
      <c r="C73" s="91" t="s">
        <v>699</v>
      </c>
    </row>
    <row r="74">
      <c r="A74" s="91">
        <v>9.0</v>
      </c>
      <c r="B74" s="91" t="s">
        <v>15</v>
      </c>
      <c r="C74" s="91" t="s">
        <v>2325</v>
      </c>
    </row>
    <row r="75">
      <c r="A75" s="91">
        <v>9.0</v>
      </c>
      <c r="B75" s="91" t="s">
        <v>2820</v>
      </c>
      <c r="C75" s="91" t="s">
        <v>205</v>
      </c>
    </row>
    <row r="76">
      <c r="A76" s="91">
        <v>9.0</v>
      </c>
      <c r="B76" s="91" t="s">
        <v>2821</v>
      </c>
      <c r="C76" s="91" t="s">
        <v>222</v>
      </c>
    </row>
    <row r="77">
      <c r="A77" s="91">
        <v>9.0</v>
      </c>
      <c r="B77" s="91" t="s">
        <v>2822</v>
      </c>
      <c r="C77" s="91" t="s">
        <v>326</v>
      </c>
    </row>
    <row r="78">
      <c r="A78" s="91">
        <v>9.0</v>
      </c>
      <c r="B78" s="91" t="s">
        <v>2823</v>
      </c>
      <c r="C78" s="91" t="s">
        <v>699</v>
      </c>
    </row>
    <row r="79">
      <c r="A79" s="91">
        <v>9.0</v>
      </c>
      <c r="B79" s="91" t="s">
        <v>2824</v>
      </c>
      <c r="C79" s="91" t="s">
        <v>1579</v>
      </c>
    </row>
    <row r="80">
      <c r="A80" s="91">
        <v>8.0</v>
      </c>
      <c r="B80" s="91" t="s">
        <v>15</v>
      </c>
      <c r="C80" s="91" t="s">
        <v>1076</v>
      </c>
    </row>
    <row r="81">
      <c r="A81" s="91">
        <v>8.0</v>
      </c>
      <c r="B81" s="91" t="s">
        <v>2825</v>
      </c>
      <c r="C81" s="91" t="s">
        <v>1536</v>
      </c>
    </row>
    <row r="82">
      <c r="A82" s="91">
        <v>8.0</v>
      </c>
      <c r="B82" s="91" t="s">
        <v>2826</v>
      </c>
      <c r="C82" s="91" t="s">
        <v>1542</v>
      </c>
    </row>
    <row r="83">
      <c r="A83" s="91">
        <v>8.0</v>
      </c>
      <c r="B83" s="91" t="s">
        <v>2827</v>
      </c>
      <c r="C83" s="91" t="s">
        <v>485</v>
      </c>
    </row>
    <row r="84">
      <c r="A84" s="91">
        <v>8.0</v>
      </c>
      <c r="B84" s="91" t="s">
        <v>2828</v>
      </c>
      <c r="C84" s="91" t="s">
        <v>1380</v>
      </c>
    </row>
    <row r="85">
      <c r="A85" s="91">
        <v>8.0</v>
      </c>
      <c r="B85" s="91" t="s">
        <v>2829</v>
      </c>
      <c r="C85" s="91" t="s">
        <v>658</v>
      </c>
    </row>
    <row r="86">
      <c r="A86" s="91">
        <v>8.0</v>
      </c>
      <c r="B86" s="91" t="s">
        <v>2830</v>
      </c>
      <c r="C86" s="91" t="s">
        <v>1082</v>
      </c>
    </row>
    <row r="87">
      <c r="A87" s="91">
        <v>8.0</v>
      </c>
      <c r="B87" s="91" t="s">
        <v>2831</v>
      </c>
      <c r="C87" s="91" t="s">
        <v>173</v>
      </c>
    </row>
    <row r="88">
      <c r="A88" s="91">
        <v>8.0</v>
      </c>
      <c r="B88" s="91" t="s">
        <v>2832</v>
      </c>
      <c r="C88" s="91" t="s">
        <v>1692</v>
      </c>
    </row>
    <row r="89">
      <c r="A89" s="91">
        <v>8.0</v>
      </c>
      <c r="B89" s="91" t="s">
        <v>2833</v>
      </c>
      <c r="C89" s="91" t="s">
        <v>2834</v>
      </c>
    </row>
    <row r="90">
      <c r="A90" s="91">
        <v>7.0</v>
      </c>
      <c r="B90" s="91" t="s">
        <v>15</v>
      </c>
      <c r="C90" s="91" t="s">
        <v>205</v>
      </c>
    </row>
    <row r="91">
      <c r="A91" s="91">
        <v>7.0</v>
      </c>
      <c r="B91" s="91" t="s">
        <v>15</v>
      </c>
      <c r="C91" s="91" t="s">
        <v>2116</v>
      </c>
    </row>
    <row r="92">
      <c r="A92" s="91">
        <v>7.0</v>
      </c>
      <c r="B92" s="91" t="s">
        <v>15</v>
      </c>
      <c r="C92" s="91" t="s">
        <v>1082</v>
      </c>
    </row>
    <row r="93">
      <c r="A93" s="91">
        <v>7.0</v>
      </c>
      <c r="B93" s="91" t="s">
        <v>15</v>
      </c>
      <c r="C93" s="91" t="s">
        <v>193</v>
      </c>
    </row>
    <row r="94">
      <c r="A94" s="91">
        <v>7.0</v>
      </c>
      <c r="B94" s="91" t="s">
        <v>15</v>
      </c>
      <c r="C94" s="91" t="s">
        <v>343</v>
      </c>
    </row>
    <row r="95">
      <c r="A95" s="91">
        <v>7.0</v>
      </c>
      <c r="B95" s="91" t="s">
        <v>15</v>
      </c>
      <c r="C95" s="91" t="s">
        <v>1009</v>
      </c>
    </row>
    <row r="96">
      <c r="A96" s="91">
        <v>7.0</v>
      </c>
      <c r="B96" s="91" t="s">
        <v>2835</v>
      </c>
      <c r="C96" s="91" t="s">
        <v>368</v>
      </c>
    </row>
    <row r="97">
      <c r="A97" s="91">
        <v>7.0</v>
      </c>
      <c r="B97" s="91" t="s">
        <v>2825</v>
      </c>
      <c r="C97" s="91" t="s">
        <v>309</v>
      </c>
    </row>
    <row r="98">
      <c r="A98" s="91">
        <v>7.0</v>
      </c>
      <c r="B98" s="91" t="s">
        <v>2836</v>
      </c>
      <c r="C98" s="91" t="s">
        <v>315</v>
      </c>
    </row>
    <row r="99">
      <c r="A99" s="91">
        <v>7.0</v>
      </c>
      <c r="B99" s="91" t="s">
        <v>2837</v>
      </c>
      <c r="C99" s="91" t="s">
        <v>326</v>
      </c>
    </row>
    <row r="100">
      <c r="A100" s="91">
        <v>7.0</v>
      </c>
      <c r="B100" s="91" t="s">
        <v>2838</v>
      </c>
      <c r="C100" s="91" t="s">
        <v>216</v>
      </c>
    </row>
    <row r="101">
      <c r="A101" s="91">
        <v>7.0</v>
      </c>
      <c r="B101" s="91" t="s">
        <v>2839</v>
      </c>
      <c r="C101" s="91" t="s">
        <v>1020</v>
      </c>
    </row>
    <row r="102">
      <c r="A102" s="91">
        <v>7.0</v>
      </c>
      <c r="B102" s="91" t="s">
        <v>2840</v>
      </c>
      <c r="C102" s="91" t="s">
        <v>250</v>
      </c>
    </row>
    <row r="103">
      <c r="A103" s="91">
        <v>7.0</v>
      </c>
      <c r="B103" s="91" t="s">
        <v>2841</v>
      </c>
      <c r="C103" s="91" t="s">
        <v>485</v>
      </c>
    </row>
    <row r="104">
      <c r="A104" s="91">
        <v>7.0</v>
      </c>
      <c r="B104" s="91" t="s">
        <v>15</v>
      </c>
      <c r="C104" s="91" t="s">
        <v>2132</v>
      </c>
    </row>
    <row r="105">
      <c r="A105" s="91">
        <v>7.0</v>
      </c>
      <c r="B105" s="91" t="s">
        <v>2842</v>
      </c>
      <c r="C105" s="91" t="s">
        <v>777</v>
      </c>
    </row>
    <row r="106">
      <c r="A106" s="91">
        <v>7.0</v>
      </c>
      <c r="B106" s="91" t="s">
        <v>15</v>
      </c>
      <c r="C106" s="91" t="s">
        <v>734</v>
      </c>
    </row>
    <row r="107">
      <c r="A107" s="91">
        <v>7.0</v>
      </c>
      <c r="B107" s="91" t="s">
        <v>2825</v>
      </c>
      <c r="C107" s="91" t="s">
        <v>2427</v>
      </c>
    </row>
    <row r="108">
      <c r="A108" s="91">
        <v>6.0</v>
      </c>
      <c r="B108" s="91" t="s">
        <v>15</v>
      </c>
      <c r="C108" s="91" t="s">
        <v>1662</v>
      </c>
    </row>
    <row r="109">
      <c r="A109" s="91">
        <v>6.0</v>
      </c>
      <c r="B109" s="91" t="s">
        <v>15</v>
      </c>
      <c r="C109" s="91" t="s">
        <v>2843</v>
      </c>
    </row>
    <row r="110">
      <c r="A110" s="91">
        <v>6.0</v>
      </c>
      <c r="B110" s="91" t="s">
        <v>15</v>
      </c>
      <c r="C110" s="91" t="s">
        <v>1579</v>
      </c>
    </row>
    <row r="111">
      <c r="A111" s="91">
        <v>6.0</v>
      </c>
      <c r="B111" s="91" t="s">
        <v>15</v>
      </c>
      <c r="C111" s="91" t="s">
        <v>2238</v>
      </c>
    </row>
    <row r="112">
      <c r="A112" s="91">
        <v>6.0</v>
      </c>
      <c r="B112" s="91" t="s">
        <v>2844</v>
      </c>
      <c r="C112" s="91" t="s">
        <v>658</v>
      </c>
    </row>
    <row r="113">
      <c r="A113" s="91">
        <v>6.0</v>
      </c>
      <c r="B113" s="91" t="s">
        <v>2845</v>
      </c>
      <c r="C113" s="91" t="s">
        <v>193</v>
      </c>
    </row>
    <row r="114">
      <c r="A114" s="91">
        <v>6.0</v>
      </c>
      <c r="B114" s="91" t="s">
        <v>2846</v>
      </c>
      <c r="C114" s="91" t="s">
        <v>193</v>
      </c>
    </row>
    <row r="115">
      <c r="A115" s="91">
        <v>6.0</v>
      </c>
      <c r="B115" s="91" t="s">
        <v>2847</v>
      </c>
      <c r="C115" s="91" t="s">
        <v>485</v>
      </c>
    </row>
    <row r="116">
      <c r="A116" s="91">
        <v>6.0</v>
      </c>
      <c r="B116" s="91" t="s">
        <v>2766</v>
      </c>
      <c r="C116" s="91" t="s">
        <v>871</v>
      </c>
    </row>
    <row r="117">
      <c r="A117" s="91">
        <v>6.0</v>
      </c>
      <c r="B117" s="91" t="s">
        <v>15</v>
      </c>
      <c r="C117" s="91" t="s">
        <v>255</v>
      </c>
    </row>
    <row r="118">
      <c r="A118" s="91">
        <v>6.0</v>
      </c>
      <c r="B118" s="91" t="s">
        <v>15</v>
      </c>
      <c r="C118" s="91" t="s">
        <v>777</v>
      </c>
    </row>
    <row r="119">
      <c r="A119" s="91">
        <v>6.0</v>
      </c>
      <c r="B119" s="91" t="s">
        <v>15</v>
      </c>
      <c r="C119" s="91" t="s">
        <v>2266</v>
      </c>
    </row>
    <row r="120">
      <c r="A120" s="91">
        <v>6.0</v>
      </c>
      <c r="B120" s="91" t="s">
        <v>15</v>
      </c>
      <c r="C120" s="91" t="s">
        <v>1296</v>
      </c>
    </row>
    <row r="121">
      <c r="A121" s="91">
        <v>6.0</v>
      </c>
      <c r="B121" s="91" t="s">
        <v>2805</v>
      </c>
      <c r="C121" s="91" t="s">
        <v>752</v>
      </c>
    </row>
    <row r="122">
      <c r="A122" s="91">
        <v>6.0</v>
      </c>
      <c r="B122" s="91" t="s">
        <v>2848</v>
      </c>
      <c r="C122" s="91" t="s">
        <v>2277</v>
      </c>
    </row>
    <row r="123">
      <c r="A123" s="91">
        <v>6.0</v>
      </c>
      <c r="B123" s="91" t="s">
        <v>2849</v>
      </c>
      <c r="C123" s="91" t="s">
        <v>2277</v>
      </c>
    </row>
    <row r="124">
      <c r="A124" s="91">
        <v>6.0</v>
      </c>
      <c r="B124" s="91" t="s">
        <v>2850</v>
      </c>
      <c r="C124" s="91" t="s">
        <v>1296</v>
      </c>
    </row>
    <row r="125">
      <c r="A125" s="91">
        <v>6.0</v>
      </c>
      <c r="B125" s="91" t="s">
        <v>2851</v>
      </c>
      <c r="C125" s="91" t="s">
        <v>273</v>
      </c>
    </row>
    <row r="126">
      <c r="A126" s="91">
        <v>6.0</v>
      </c>
      <c r="B126" s="91" t="s">
        <v>2852</v>
      </c>
      <c r="C126" s="91" t="s">
        <v>2834</v>
      </c>
    </row>
    <row r="127">
      <c r="A127" s="91">
        <v>6.0</v>
      </c>
      <c r="B127" s="91" t="s">
        <v>2853</v>
      </c>
      <c r="C127" s="91" t="s">
        <v>320</v>
      </c>
    </row>
    <row r="128">
      <c r="A128" s="91">
        <v>6.0</v>
      </c>
      <c r="B128" s="91" t="s">
        <v>2854</v>
      </c>
      <c r="C128" s="91" t="s">
        <v>1076</v>
      </c>
    </row>
    <row r="129">
      <c r="A129" s="91">
        <v>6.0</v>
      </c>
      <c r="B129" s="91" t="s">
        <v>2855</v>
      </c>
      <c r="C129" s="91" t="s">
        <v>1076</v>
      </c>
    </row>
    <row r="130">
      <c r="A130" s="91">
        <v>6.0</v>
      </c>
      <c r="B130" s="91" t="s">
        <v>2856</v>
      </c>
      <c r="C130" s="91" t="s">
        <v>1692</v>
      </c>
    </row>
    <row r="131">
      <c r="A131" s="91">
        <v>6.0</v>
      </c>
      <c r="B131" s="91" t="s">
        <v>2857</v>
      </c>
      <c r="C131" s="91" t="s">
        <v>1159</v>
      </c>
    </row>
    <row r="132">
      <c r="A132" s="91">
        <v>5.0</v>
      </c>
      <c r="B132" s="91" t="s">
        <v>15</v>
      </c>
      <c r="C132" s="91" t="s">
        <v>705</v>
      </c>
    </row>
    <row r="133">
      <c r="A133" s="91">
        <v>5.0</v>
      </c>
      <c r="B133" s="91" t="s">
        <v>15</v>
      </c>
      <c r="C133" s="91" t="s">
        <v>1147</v>
      </c>
    </row>
    <row r="134">
      <c r="A134" s="91">
        <v>5.0</v>
      </c>
      <c r="B134" s="91" t="s">
        <v>15</v>
      </c>
      <c r="C134" s="91" t="s">
        <v>1337</v>
      </c>
    </row>
    <row r="135">
      <c r="A135" s="91">
        <v>5.0</v>
      </c>
      <c r="B135" s="91" t="s">
        <v>15</v>
      </c>
      <c r="C135" s="91" t="s">
        <v>1352</v>
      </c>
    </row>
    <row r="136">
      <c r="A136" s="91">
        <v>5.0</v>
      </c>
      <c r="B136" s="91" t="s">
        <v>15</v>
      </c>
      <c r="C136" s="91" t="s">
        <v>1278</v>
      </c>
    </row>
    <row r="137">
      <c r="A137" s="91">
        <v>5.0</v>
      </c>
      <c r="B137" s="91" t="s">
        <v>15</v>
      </c>
      <c r="C137" s="91" t="s">
        <v>1696</v>
      </c>
    </row>
    <row r="138">
      <c r="A138" s="91">
        <v>5.0</v>
      </c>
      <c r="B138" s="91" t="s">
        <v>15</v>
      </c>
      <c r="C138" s="91" t="s">
        <v>746</v>
      </c>
    </row>
    <row r="139">
      <c r="A139" s="91">
        <v>5.0</v>
      </c>
      <c r="B139" s="91" t="s">
        <v>15</v>
      </c>
      <c r="C139" s="91" t="s">
        <v>1380</v>
      </c>
    </row>
    <row r="140">
      <c r="A140" s="91">
        <v>5.0</v>
      </c>
      <c r="B140" s="91" t="s">
        <v>15</v>
      </c>
      <c r="C140" s="91" t="s">
        <v>563</v>
      </c>
    </row>
    <row r="141">
      <c r="A141" s="91">
        <v>5.0</v>
      </c>
      <c r="B141" s="91" t="s">
        <v>15</v>
      </c>
      <c r="C141" s="91" t="s">
        <v>2858</v>
      </c>
    </row>
    <row r="142">
      <c r="A142" s="91">
        <v>5.0</v>
      </c>
      <c r="B142" s="91" t="s">
        <v>2859</v>
      </c>
      <c r="C142" s="91" t="s">
        <v>211</v>
      </c>
    </row>
    <row r="143">
      <c r="A143" s="91">
        <v>5.0</v>
      </c>
      <c r="B143" s="91" t="s">
        <v>2860</v>
      </c>
      <c r="C143" s="91" t="s">
        <v>1579</v>
      </c>
    </row>
    <row r="144">
      <c r="A144" s="91">
        <v>5.0</v>
      </c>
      <c r="B144" s="91" t="s">
        <v>2861</v>
      </c>
      <c r="C144" s="91" t="s">
        <v>418</v>
      </c>
    </row>
    <row r="145">
      <c r="A145" s="91">
        <v>5.0</v>
      </c>
      <c r="B145" s="91" t="s">
        <v>2862</v>
      </c>
      <c r="C145" s="91" t="s">
        <v>1603</v>
      </c>
    </row>
    <row r="146">
      <c r="A146" s="91">
        <v>5.0</v>
      </c>
      <c r="B146" s="91" t="s">
        <v>2863</v>
      </c>
      <c r="C146" s="91" t="s">
        <v>1337</v>
      </c>
    </row>
    <row r="147">
      <c r="A147" s="91">
        <v>5.0</v>
      </c>
      <c r="B147" s="91" t="s">
        <v>2864</v>
      </c>
      <c r="C147" s="91" t="s">
        <v>1337</v>
      </c>
    </row>
    <row r="148">
      <c r="A148" s="91">
        <v>5.0</v>
      </c>
      <c r="B148" s="91" t="s">
        <v>2865</v>
      </c>
      <c r="C148" s="91" t="s">
        <v>267</v>
      </c>
    </row>
    <row r="149">
      <c r="A149" s="91">
        <v>5.0</v>
      </c>
      <c r="B149" s="91" t="s">
        <v>2866</v>
      </c>
      <c r="C149" s="91" t="s">
        <v>267</v>
      </c>
    </row>
    <row r="150">
      <c r="A150" s="91">
        <v>5.0</v>
      </c>
      <c r="B150" s="91" t="s">
        <v>2867</v>
      </c>
      <c r="C150" s="91" t="s">
        <v>771</v>
      </c>
    </row>
    <row r="151">
      <c r="A151" s="91">
        <v>5.0</v>
      </c>
      <c r="B151" s="91" t="s">
        <v>2868</v>
      </c>
      <c r="C151" s="91" t="s">
        <v>1536</v>
      </c>
    </row>
    <row r="152">
      <c r="A152" s="91">
        <v>5.0</v>
      </c>
      <c r="B152" s="91" t="s">
        <v>2869</v>
      </c>
      <c r="C152" s="91" t="s">
        <v>2870</v>
      </c>
    </row>
    <row r="153">
      <c r="A153" s="91">
        <v>5.0</v>
      </c>
      <c r="B153" s="91" t="s">
        <v>2871</v>
      </c>
      <c r="C153" s="91" t="s">
        <v>664</v>
      </c>
    </row>
    <row r="154">
      <c r="A154" s="91">
        <v>5.0</v>
      </c>
      <c r="B154" s="91" t="s">
        <v>2872</v>
      </c>
      <c r="C154" s="91" t="s">
        <v>503</v>
      </c>
    </row>
    <row r="155">
      <c r="A155" s="91">
        <v>5.0</v>
      </c>
      <c r="B155" s="91" t="s">
        <v>2873</v>
      </c>
      <c r="C155" s="91" t="s">
        <v>2343</v>
      </c>
    </row>
    <row r="156">
      <c r="A156" s="91">
        <v>5.0</v>
      </c>
      <c r="B156" s="91" t="s">
        <v>2874</v>
      </c>
      <c r="C156" s="91" t="s">
        <v>399</v>
      </c>
    </row>
    <row r="157">
      <c r="A157" s="91">
        <v>5.0</v>
      </c>
      <c r="B157" s="91" t="s">
        <v>2875</v>
      </c>
      <c r="C157" s="91" t="s">
        <v>474</v>
      </c>
    </row>
    <row r="158">
      <c r="A158" s="91">
        <v>5.0</v>
      </c>
      <c r="B158" s="91" t="s">
        <v>15</v>
      </c>
      <c r="C158" s="91" t="s">
        <v>1573</v>
      </c>
    </row>
    <row r="159">
      <c r="A159" s="91">
        <v>5.0</v>
      </c>
      <c r="B159" s="91" t="s">
        <v>2876</v>
      </c>
      <c r="C159" s="91" t="s">
        <v>94</v>
      </c>
    </row>
    <row r="160">
      <c r="A160" s="91">
        <v>5.0</v>
      </c>
      <c r="B160" s="91" t="s">
        <v>2802</v>
      </c>
      <c r="C160" s="91" t="s">
        <v>2877</v>
      </c>
    </row>
    <row r="161">
      <c r="A161" s="91">
        <v>5.0</v>
      </c>
      <c r="B161" s="91" t="s">
        <v>2878</v>
      </c>
      <c r="C161" s="91" t="s">
        <v>2349</v>
      </c>
    </row>
    <row r="162">
      <c r="A162" s="91">
        <v>5.0</v>
      </c>
      <c r="B162" s="91" t="s">
        <v>2879</v>
      </c>
      <c r="C162" s="91" t="s">
        <v>1031</v>
      </c>
    </row>
    <row r="163">
      <c r="A163" s="91">
        <v>5.0</v>
      </c>
      <c r="B163" s="91" t="s">
        <v>2880</v>
      </c>
      <c r="C163" s="91" t="s">
        <v>267</v>
      </c>
    </row>
    <row r="164">
      <c r="A164" s="91">
        <v>5.0</v>
      </c>
      <c r="B164" s="91" t="s">
        <v>2881</v>
      </c>
      <c r="C164" s="91" t="s">
        <v>2044</v>
      </c>
    </row>
    <row r="165">
      <c r="A165" s="91">
        <v>5.0</v>
      </c>
      <c r="B165" s="91" t="s">
        <v>2882</v>
      </c>
      <c r="C165" s="91" t="s">
        <v>658</v>
      </c>
    </row>
    <row r="166">
      <c r="A166" s="91">
        <v>5.0</v>
      </c>
      <c r="B166" s="91" t="s">
        <v>2839</v>
      </c>
      <c r="C166" s="91" t="s">
        <v>993</v>
      </c>
    </row>
    <row r="167">
      <c r="A167" s="91">
        <v>5.0</v>
      </c>
      <c r="B167" s="91" t="s">
        <v>2883</v>
      </c>
      <c r="C167" s="91" t="s">
        <v>937</v>
      </c>
    </row>
    <row r="168">
      <c r="A168" s="91">
        <v>4.0</v>
      </c>
      <c r="B168" s="91" t="s">
        <v>15</v>
      </c>
      <c r="C168" s="91" t="s">
        <v>1106</v>
      </c>
    </row>
    <row r="169">
      <c r="A169" s="91">
        <v>4.0</v>
      </c>
      <c r="B169" s="91" t="s">
        <v>15</v>
      </c>
      <c r="C169" s="91" t="s">
        <v>618</v>
      </c>
    </row>
    <row r="170">
      <c r="A170" s="91">
        <v>4.0</v>
      </c>
      <c r="B170" s="91" t="s">
        <v>15</v>
      </c>
      <c r="C170" s="91" t="s">
        <v>1708</v>
      </c>
    </row>
    <row r="171">
      <c r="A171" s="91">
        <v>4.0</v>
      </c>
      <c r="B171" s="91" t="s">
        <v>15</v>
      </c>
      <c r="C171" s="91" t="s">
        <v>543</v>
      </c>
    </row>
    <row r="172">
      <c r="A172" s="91">
        <v>4.0</v>
      </c>
      <c r="B172" s="91" t="s">
        <v>15</v>
      </c>
      <c r="C172" s="91" t="s">
        <v>2083</v>
      </c>
    </row>
    <row r="173">
      <c r="A173" s="91">
        <v>4.0</v>
      </c>
      <c r="B173" s="91" t="s">
        <v>15</v>
      </c>
      <c r="C173" s="91" t="s">
        <v>173</v>
      </c>
    </row>
    <row r="174">
      <c r="A174" s="91">
        <v>4.0</v>
      </c>
      <c r="B174" s="91" t="s">
        <v>15</v>
      </c>
      <c r="C174" s="91" t="s">
        <v>1692</v>
      </c>
    </row>
    <row r="175">
      <c r="A175" s="91">
        <v>4.0</v>
      </c>
      <c r="B175" s="91" t="s">
        <v>15</v>
      </c>
      <c r="C175" s="91" t="s">
        <v>585</v>
      </c>
    </row>
    <row r="176">
      <c r="A176" s="91">
        <v>4.0</v>
      </c>
      <c r="B176" s="91" t="s">
        <v>2884</v>
      </c>
      <c r="C176" s="91" t="s">
        <v>205</v>
      </c>
    </row>
    <row r="177">
      <c r="A177" s="91">
        <v>4.0</v>
      </c>
      <c r="B177" s="91" t="s">
        <v>2885</v>
      </c>
      <c r="C177" s="91" t="s">
        <v>205</v>
      </c>
    </row>
    <row r="178">
      <c r="A178" s="91">
        <v>4.0</v>
      </c>
      <c r="B178" s="91" t="s">
        <v>2886</v>
      </c>
      <c r="C178" s="91" t="s">
        <v>205</v>
      </c>
    </row>
    <row r="179">
      <c r="A179" s="91">
        <v>4.0</v>
      </c>
      <c r="B179" s="91" t="s">
        <v>2887</v>
      </c>
      <c r="C179" s="91" t="s">
        <v>728</v>
      </c>
    </row>
    <row r="180">
      <c r="A180" s="91">
        <v>4.0</v>
      </c>
      <c r="B180" s="91" t="s">
        <v>2888</v>
      </c>
      <c r="C180" s="91" t="s">
        <v>1708</v>
      </c>
    </row>
    <row r="181">
      <c r="A181" s="91">
        <v>4.0</v>
      </c>
      <c r="B181" s="91" t="s">
        <v>2889</v>
      </c>
      <c r="C181" s="91" t="s">
        <v>1603</v>
      </c>
    </row>
    <row r="182">
      <c r="A182" s="91">
        <v>4.0</v>
      </c>
      <c r="B182" s="91" t="s">
        <v>2890</v>
      </c>
      <c r="C182" s="91" t="s">
        <v>368</v>
      </c>
    </row>
    <row r="183">
      <c r="A183" s="91">
        <v>4.0</v>
      </c>
      <c r="B183" s="91" t="s">
        <v>2891</v>
      </c>
      <c r="C183" s="91" t="s">
        <v>1278</v>
      </c>
    </row>
    <row r="184">
      <c r="A184" s="91">
        <v>4.0</v>
      </c>
      <c r="B184" s="91" t="s">
        <v>2892</v>
      </c>
      <c r="C184" s="91" t="s">
        <v>315</v>
      </c>
    </row>
    <row r="185">
      <c r="A185" s="91">
        <v>4.0</v>
      </c>
      <c r="B185" s="91" t="s">
        <v>2893</v>
      </c>
      <c r="C185" s="91" t="s">
        <v>326</v>
      </c>
    </row>
    <row r="186">
      <c r="A186" s="91">
        <v>4.0</v>
      </c>
      <c r="B186" s="91" t="s">
        <v>2894</v>
      </c>
      <c r="C186" s="91" t="s">
        <v>1296</v>
      </c>
    </row>
    <row r="187">
      <c r="A187" s="91">
        <v>4.0</v>
      </c>
      <c r="B187" s="91" t="s">
        <v>2895</v>
      </c>
      <c r="C187" s="91" t="s">
        <v>1554</v>
      </c>
    </row>
    <row r="188">
      <c r="A188" s="91">
        <v>4.0</v>
      </c>
      <c r="B188" s="91" t="s">
        <v>2896</v>
      </c>
      <c r="C188" s="91" t="s">
        <v>806</v>
      </c>
    </row>
    <row r="189">
      <c r="A189" s="91">
        <v>4.0</v>
      </c>
      <c r="B189" s="91" t="s">
        <v>2897</v>
      </c>
      <c r="C189" s="91" t="s">
        <v>64</v>
      </c>
    </row>
    <row r="190">
      <c r="A190" s="91">
        <v>4.0</v>
      </c>
      <c r="B190" s="91" t="s">
        <v>2898</v>
      </c>
      <c r="C190" s="91" t="s">
        <v>64</v>
      </c>
    </row>
    <row r="191">
      <c r="A191" s="91">
        <v>4.0</v>
      </c>
      <c r="B191" s="91" t="s">
        <v>2899</v>
      </c>
      <c r="C191" s="91" t="s">
        <v>193</v>
      </c>
    </row>
    <row r="192">
      <c r="A192" s="91">
        <v>4.0</v>
      </c>
      <c r="B192" s="91" t="s">
        <v>2900</v>
      </c>
      <c r="C192" s="91" t="s">
        <v>193</v>
      </c>
    </row>
    <row r="193">
      <c r="A193" s="91">
        <v>4.0</v>
      </c>
      <c r="B193" s="91" t="s">
        <v>2901</v>
      </c>
      <c r="C193" s="91" t="s">
        <v>173</v>
      </c>
    </row>
    <row r="194">
      <c r="A194" s="91">
        <v>4.0</v>
      </c>
      <c r="B194" s="91" t="s">
        <v>2902</v>
      </c>
      <c r="C194" s="91" t="s">
        <v>1076</v>
      </c>
    </row>
    <row r="195">
      <c r="A195" s="91">
        <v>4.0</v>
      </c>
      <c r="B195" s="91" t="s">
        <v>2798</v>
      </c>
      <c r="C195" s="91" t="s">
        <v>2903</v>
      </c>
    </row>
    <row r="196">
      <c r="A196" s="91">
        <v>4.0</v>
      </c>
      <c r="B196" s="91" t="s">
        <v>2904</v>
      </c>
      <c r="C196" s="91" t="s">
        <v>497</v>
      </c>
    </row>
    <row r="197">
      <c r="A197" s="91">
        <v>4.0</v>
      </c>
      <c r="B197" s="91" t="s">
        <v>2905</v>
      </c>
      <c r="C197" s="91" t="s">
        <v>497</v>
      </c>
    </row>
    <row r="198">
      <c r="A198" s="91">
        <v>4.0</v>
      </c>
      <c r="B198" s="91" t="s">
        <v>2906</v>
      </c>
      <c r="C198" s="91" t="s">
        <v>676</v>
      </c>
    </row>
    <row r="199">
      <c r="A199" s="91">
        <v>4.0</v>
      </c>
      <c r="B199" s="91" t="s">
        <v>2907</v>
      </c>
      <c r="C199" s="91" t="s">
        <v>279</v>
      </c>
    </row>
    <row r="200">
      <c r="A200" s="91">
        <v>4.0</v>
      </c>
      <c r="B200" s="91" t="s">
        <v>2908</v>
      </c>
      <c r="C200" s="91" t="s">
        <v>1542</v>
      </c>
    </row>
    <row r="201">
      <c r="A201" s="91">
        <v>4.0</v>
      </c>
      <c r="B201" s="91" t="s">
        <v>2909</v>
      </c>
      <c r="C201" s="91" t="s">
        <v>485</v>
      </c>
    </row>
    <row r="202">
      <c r="A202" s="91">
        <v>4.0</v>
      </c>
      <c r="B202" s="91" t="s">
        <v>2910</v>
      </c>
      <c r="C202" s="91" t="s">
        <v>267</v>
      </c>
    </row>
    <row r="203">
      <c r="A203" s="91">
        <v>4.0</v>
      </c>
      <c r="B203" s="91" t="s">
        <v>2883</v>
      </c>
      <c r="C203" s="91" t="s">
        <v>240</v>
      </c>
    </row>
    <row r="204">
      <c r="A204" s="91">
        <v>4.0</v>
      </c>
      <c r="B204" s="91" t="s">
        <v>2911</v>
      </c>
      <c r="C204" s="91" t="s">
        <v>1548</v>
      </c>
    </row>
    <row r="205">
      <c r="A205" s="91">
        <v>4.0</v>
      </c>
      <c r="B205" s="91" t="s">
        <v>15</v>
      </c>
      <c r="C205" s="91" t="s">
        <v>646</v>
      </c>
    </row>
    <row r="206">
      <c r="A206" s="91">
        <v>4.0</v>
      </c>
      <c r="B206" s="91" t="s">
        <v>15</v>
      </c>
      <c r="C206" s="91" t="s">
        <v>374</v>
      </c>
    </row>
    <row r="207">
      <c r="A207" s="91">
        <v>4.0</v>
      </c>
      <c r="B207" s="91" t="s">
        <v>2912</v>
      </c>
      <c r="C207" s="91" t="s">
        <v>2843</v>
      </c>
    </row>
    <row r="208">
      <c r="A208" s="91">
        <v>4.0</v>
      </c>
      <c r="B208" s="91" t="s">
        <v>2913</v>
      </c>
      <c r="C208" s="91" t="s">
        <v>2914</v>
      </c>
    </row>
    <row r="209">
      <c r="A209" s="91">
        <v>4.0</v>
      </c>
      <c r="B209" s="91" t="s">
        <v>2915</v>
      </c>
      <c r="C209" s="91" t="s">
        <v>2870</v>
      </c>
    </row>
    <row r="210">
      <c r="A210" s="91">
        <v>4.0</v>
      </c>
      <c r="B210" s="91" t="s">
        <v>2916</v>
      </c>
      <c r="C210" s="91" t="s">
        <v>2917</v>
      </c>
    </row>
    <row r="211">
      <c r="A211" s="91">
        <v>4.0</v>
      </c>
      <c r="B211" s="91" t="s">
        <v>2918</v>
      </c>
      <c r="C211" s="91" t="s">
        <v>2903</v>
      </c>
    </row>
    <row r="212">
      <c r="A212" s="91">
        <v>4.0</v>
      </c>
      <c r="B212" s="91" t="s">
        <v>2919</v>
      </c>
      <c r="C212" s="91" t="s">
        <v>2349</v>
      </c>
    </row>
    <row r="213">
      <c r="A213" s="91">
        <v>4.0</v>
      </c>
      <c r="B213" s="91" t="s">
        <v>2920</v>
      </c>
      <c r="C213" s="91" t="s">
        <v>250</v>
      </c>
    </row>
    <row r="214">
      <c r="A214" s="91">
        <v>4.0</v>
      </c>
      <c r="B214" s="91" t="s">
        <v>2883</v>
      </c>
      <c r="C214" s="91" t="s">
        <v>2877</v>
      </c>
    </row>
    <row r="215">
      <c r="A215" s="91">
        <v>3.0</v>
      </c>
      <c r="B215" s="91" t="s">
        <v>15</v>
      </c>
      <c r="C215" s="91" t="s">
        <v>1406</v>
      </c>
    </row>
    <row r="216">
      <c r="A216" s="91">
        <v>3.0</v>
      </c>
      <c r="B216" s="91" t="s">
        <v>15</v>
      </c>
      <c r="C216" s="91" t="s">
        <v>362</v>
      </c>
    </row>
    <row r="217">
      <c r="A217" s="91">
        <v>3.0</v>
      </c>
      <c r="B217" s="91" t="s">
        <v>15</v>
      </c>
      <c r="C217" s="91" t="s">
        <v>297</v>
      </c>
    </row>
    <row r="218">
      <c r="A218" s="91">
        <v>3.0</v>
      </c>
      <c r="B218" s="91" t="s">
        <v>15</v>
      </c>
      <c r="C218" s="91" t="s">
        <v>2921</v>
      </c>
    </row>
    <row r="219">
      <c r="A219" s="91">
        <v>3.0</v>
      </c>
      <c r="B219" s="91" t="s">
        <v>15</v>
      </c>
      <c r="C219" s="91" t="s">
        <v>771</v>
      </c>
    </row>
    <row r="220">
      <c r="A220" s="91">
        <v>3.0</v>
      </c>
      <c r="B220" s="91" t="s">
        <v>15</v>
      </c>
      <c r="C220" s="91" t="s">
        <v>1530</v>
      </c>
    </row>
    <row r="221">
      <c r="A221" s="91">
        <v>3.0</v>
      </c>
      <c r="B221" s="91" t="s">
        <v>15</v>
      </c>
      <c r="C221" s="91" t="s">
        <v>1554</v>
      </c>
    </row>
    <row r="222">
      <c r="A222" s="91">
        <v>3.0</v>
      </c>
      <c r="B222" s="91" t="s">
        <v>15</v>
      </c>
      <c r="C222" s="91" t="s">
        <v>1165</v>
      </c>
    </row>
    <row r="223">
      <c r="A223" s="91">
        <v>3.0</v>
      </c>
      <c r="B223" s="91" t="s">
        <v>15</v>
      </c>
      <c r="C223" s="91" t="s">
        <v>491</v>
      </c>
    </row>
    <row r="224">
      <c r="A224" s="91">
        <v>3.0</v>
      </c>
      <c r="B224" s="91" t="s">
        <v>15</v>
      </c>
      <c r="C224" s="91" t="s">
        <v>1678</v>
      </c>
    </row>
    <row r="225">
      <c r="A225" s="91">
        <v>3.0</v>
      </c>
      <c r="B225" s="91" t="s">
        <v>15</v>
      </c>
      <c r="C225" s="91" t="s">
        <v>1542</v>
      </c>
    </row>
    <row r="226">
      <c r="A226" s="91">
        <v>3.0</v>
      </c>
      <c r="B226" s="91" t="s">
        <v>15</v>
      </c>
      <c r="C226" s="91" t="s">
        <v>2922</v>
      </c>
    </row>
    <row r="227">
      <c r="A227" s="91">
        <v>3.0</v>
      </c>
      <c r="B227" s="91" t="s">
        <v>15</v>
      </c>
      <c r="C227" s="91" t="s">
        <v>2343</v>
      </c>
    </row>
    <row r="228">
      <c r="A228" s="91">
        <v>3.0</v>
      </c>
      <c r="B228" s="91" t="s">
        <v>15</v>
      </c>
      <c r="C228" s="91" t="s">
        <v>2914</v>
      </c>
    </row>
    <row r="229">
      <c r="A229" s="91">
        <v>3.0</v>
      </c>
      <c r="B229" s="91" t="s">
        <v>15</v>
      </c>
      <c r="C229" s="91" t="s">
        <v>228</v>
      </c>
    </row>
    <row r="230">
      <c r="A230" s="91">
        <v>3.0</v>
      </c>
      <c r="B230" s="91" t="s">
        <v>2923</v>
      </c>
      <c r="C230" s="91" t="s">
        <v>211</v>
      </c>
    </row>
    <row r="231">
      <c r="A231" s="91">
        <v>3.0</v>
      </c>
      <c r="B231" s="91" t="s">
        <v>2924</v>
      </c>
      <c r="C231" s="91" t="s">
        <v>211</v>
      </c>
    </row>
    <row r="232">
      <c r="A232" s="91">
        <v>3.0</v>
      </c>
      <c r="B232" s="91" t="s">
        <v>2925</v>
      </c>
      <c r="C232" s="91" t="s">
        <v>682</v>
      </c>
    </row>
    <row r="233">
      <c r="A233" s="91">
        <v>3.0</v>
      </c>
      <c r="B233" s="91" t="s">
        <v>2926</v>
      </c>
      <c r="C233" s="91" t="s">
        <v>1059</v>
      </c>
    </row>
    <row r="234">
      <c r="A234" s="91">
        <v>3.0</v>
      </c>
      <c r="B234" s="91" t="s">
        <v>2927</v>
      </c>
      <c r="C234" s="91" t="s">
        <v>1100</v>
      </c>
    </row>
    <row r="235">
      <c r="A235" s="91">
        <v>3.0</v>
      </c>
      <c r="B235" s="91" t="s">
        <v>2928</v>
      </c>
      <c r="C235" s="91" t="s">
        <v>1106</v>
      </c>
    </row>
    <row r="236">
      <c r="A236" s="91">
        <v>3.0</v>
      </c>
      <c r="B236" s="91" t="s">
        <v>2929</v>
      </c>
      <c r="C236" s="91" t="s">
        <v>1708</v>
      </c>
    </row>
    <row r="237">
      <c r="A237" s="91">
        <v>3.0</v>
      </c>
      <c r="B237" s="91" t="s">
        <v>2929</v>
      </c>
      <c r="C237" s="91" t="s">
        <v>1423</v>
      </c>
    </row>
    <row r="238">
      <c r="A238" s="91">
        <v>3.0</v>
      </c>
      <c r="B238" s="91" t="s">
        <v>2930</v>
      </c>
      <c r="C238" s="91" t="s">
        <v>1423</v>
      </c>
    </row>
    <row r="239">
      <c r="A239" s="91">
        <v>3.0</v>
      </c>
      <c r="B239" s="91" t="s">
        <v>2931</v>
      </c>
      <c r="C239" s="91" t="s">
        <v>1423</v>
      </c>
    </row>
    <row r="240">
      <c r="A240" s="91">
        <v>3.0</v>
      </c>
      <c r="B240" s="91" t="s">
        <v>2932</v>
      </c>
      <c r="C240" s="91" t="s">
        <v>2305</v>
      </c>
    </row>
    <row r="241">
      <c r="A241" s="91">
        <v>3.0</v>
      </c>
      <c r="B241" s="91" t="s">
        <v>2933</v>
      </c>
      <c r="C241" s="91" t="s">
        <v>356</v>
      </c>
    </row>
    <row r="242">
      <c r="A242" s="91">
        <v>3.0</v>
      </c>
      <c r="B242" s="91" t="s">
        <v>2934</v>
      </c>
      <c r="C242" s="91" t="s">
        <v>740</v>
      </c>
    </row>
    <row r="243">
      <c r="A243" s="91">
        <v>3.0</v>
      </c>
      <c r="B243" s="91" t="s">
        <v>2935</v>
      </c>
      <c r="C243" s="91" t="s">
        <v>1290</v>
      </c>
    </row>
    <row r="244">
      <c r="A244" s="91">
        <v>3.0</v>
      </c>
      <c r="B244" s="91" t="s">
        <v>2936</v>
      </c>
      <c r="C244" s="91" t="s">
        <v>418</v>
      </c>
    </row>
    <row r="245">
      <c r="A245" s="91">
        <v>3.0</v>
      </c>
      <c r="B245" s="91" t="s">
        <v>2937</v>
      </c>
      <c r="C245" s="91" t="s">
        <v>1603</v>
      </c>
    </row>
    <row r="246">
      <c r="A246" s="91">
        <v>3.0</v>
      </c>
      <c r="B246" s="91" t="s">
        <v>2938</v>
      </c>
      <c r="C246" s="91" t="s">
        <v>1603</v>
      </c>
    </row>
    <row r="247">
      <c r="A247" s="91">
        <v>3.0</v>
      </c>
      <c r="B247" s="91" t="s">
        <v>2939</v>
      </c>
      <c r="C247" s="91" t="s">
        <v>1337</v>
      </c>
    </row>
    <row r="248">
      <c r="A248" s="91">
        <v>3.0</v>
      </c>
      <c r="B248" s="91" t="s">
        <v>2940</v>
      </c>
      <c r="C248" s="91" t="s">
        <v>1337</v>
      </c>
    </row>
    <row r="249">
      <c r="A249" s="91">
        <v>3.0</v>
      </c>
      <c r="B249" s="91" t="s">
        <v>2941</v>
      </c>
      <c r="C249" s="91" t="s">
        <v>646</v>
      </c>
    </row>
    <row r="250">
      <c r="A250" s="91">
        <v>3.0</v>
      </c>
      <c r="B250" s="91" t="s">
        <v>2942</v>
      </c>
      <c r="C250" s="91" t="s">
        <v>1031</v>
      </c>
    </row>
    <row r="251">
      <c r="A251" s="91">
        <v>3.0</v>
      </c>
      <c r="B251" s="91" t="s">
        <v>2943</v>
      </c>
      <c r="C251" s="91" t="s">
        <v>1603</v>
      </c>
    </row>
    <row r="252">
      <c r="A252" s="91">
        <v>3.0</v>
      </c>
      <c r="B252" s="91" t="s">
        <v>2944</v>
      </c>
      <c r="C252" s="91" t="s">
        <v>181</v>
      </c>
    </row>
    <row r="253">
      <c r="A253" s="91">
        <v>3.0</v>
      </c>
      <c r="B253" s="91" t="s">
        <v>2945</v>
      </c>
      <c r="C253" s="91" t="s">
        <v>436</v>
      </c>
    </row>
    <row r="254">
      <c r="A254" s="91">
        <v>3.0</v>
      </c>
      <c r="B254" s="91" t="s">
        <v>2946</v>
      </c>
      <c r="C254" s="91" t="s">
        <v>1536</v>
      </c>
    </row>
    <row r="255">
      <c r="A255" s="91">
        <v>3.0</v>
      </c>
      <c r="B255" s="91" t="s">
        <v>2947</v>
      </c>
      <c r="C255" s="91" t="s">
        <v>1536</v>
      </c>
    </row>
    <row r="256">
      <c r="A256" s="91">
        <v>3.0</v>
      </c>
      <c r="B256" s="91" t="s">
        <v>2948</v>
      </c>
      <c r="C256" s="91" t="s">
        <v>326</v>
      </c>
    </row>
    <row r="257">
      <c r="A257" s="91">
        <v>3.0</v>
      </c>
      <c r="B257" s="91" t="s">
        <v>2949</v>
      </c>
      <c r="C257" s="91" t="s">
        <v>630</v>
      </c>
    </row>
    <row r="258">
      <c r="A258" s="91">
        <v>3.0</v>
      </c>
      <c r="B258" s="91" t="s">
        <v>2950</v>
      </c>
      <c r="C258" s="91" t="s">
        <v>1228</v>
      </c>
    </row>
    <row r="259">
      <c r="A259" s="91">
        <v>3.0</v>
      </c>
      <c r="B259" s="91" t="s">
        <v>2951</v>
      </c>
      <c r="C259" s="91" t="s">
        <v>1380</v>
      </c>
    </row>
    <row r="260">
      <c r="A260" s="91">
        <v>3.0</v>
      </c>
      <c r="B260" s="91" t="s">
        <v>2952</v>
      </c>
      <c r="C260" s="91" t="s">
        <v>2226</v>
      </c>
    </row>
    <row r="261">
      <c r="A261" s="91">
        <v>3.0</v>
      </c>
      <c r="B261" s="91" t="s">
        <v>2953</v>
      </c>
      <c r="C261" s="91" t="s">
        <v>2917</v>
      </c>
    </row>
    <row r="262">
      <c r="A262" s="91">
        <v>3.0</v>
      </c>
      <c r="B262" s="91" t="s">
        <v>2954</v>
      </c>
      <c r="C262" s="91" t="s">
        <v>2955</v>
      </c>
    </row>
    <row r="263">
      <c r="A263" s="91">
        <v>3.0</v>
      </c>
      <c r="B263" s="91" t="s">
        <v>2956</v>
      </c>
      <c r="C263" s="91" t="s">
        <v>1554</v>
      </c>
    </row>
    <row r="264">
      <c r="A264" s="91">
        <v>3.0</v>
      </c>
      <c r="B264" s="91" t="s">
        <v>2957</v>
      </c>
      <c r="C264" s="91" t="s">
        <v>261</v>
      </c>
    </row>
    <row r="265">
      <c r="A265" s="91">
        <v>3.0</v>
      </c>
      <c r="B265" s="91" t="s">
        <v>2958</v>
      </c>
      <c r="C265" s="91" t="s">
        <v>503</v>
      </c>
    </row>
    <row r="266">
      <c r="A266" s="91">
        <v>3.0</v>
      </c>
      <c r="B266" s="91" t="s">
        <v>2959</v>
      </c>
      <c r="C266" s="91" t="s">
        <v>181</v>
      </c>
    </row>
    <row r="267">
      <c r="A267" s="91">
        <v>3.0</v>
      </c>
      <c r="B267" s="91" t="s">
        <v>2960</v>
      </c>
      <c r="C267" s="91" t="s">
        <v>181</v>
      </c>
    </row>
    <row r="268">
      <c r="A268" s="91">
        <v>3.0</v>
      </c>
      <c r="B268" s="91" t="s">
        <v>2961</v>
      </c>
      <c r="C268" s="91" t="s">
        <v>2325</v>
      </c>
    </row>
    <row r="269">
      <c r="A269" s="91">
        <v>3.0</v>
      </c>
      <c r="B269" s="91" t="s">
        <v>2962</v>
      </c>
      <c r="C269" s="91" t="s">
        <v>2325</v>
      </c>
    </row>
    <row r="270">
      <c r="A270" s="91">
        <v>3.0</v>
      </c>
      <c r="B270" s="91" t="s">
        <v>2963</v>
      </c>
      <c r="C270" s="91" t="s">
        <v>812</v>
      </c>
    </row>
    <row r="271">
      <c r="A271" s="91">
        <v>3.0</v>
      </c>
      <c r="B271" s="91" t="s">
        <v>2964</v>
      </c>
      <c r="C271" s="91" t="s">
        <v>497</v>
      </c>
    </row>
    <row r="272">
      <c r="A272" s="91">
        <v>3.0</v>
      </c>
      <c r="B272" s="91" t="s">
        <v>2965</v>
      </c>
      <c r="C272" s="91" t="s">
        <v>1548</v>
      </c>
    </row>
    <row r="273">
      <c r="A273" s="91">
        <v>3.0</v>
      </c>
      <c r="B273" s="91" t="s">
        <v>2966</v>
      </c>
      <c r="C273" s="91" t="s">
        <v>491</v>
      </c>
    </row>
    <row r="274">
      <c r="A274" s="91">
        <v>3.0</v>
      </c>
      <c r="B274" s="91" t="s">
        <v>2967</v>
      </c>
      <c r="C274" s="91" t="s">
        <v>993</v>
      </c>
    </row>
    <row r="275">
      <c r="A275" s="91">
        <v>3.0</v>
      </c>
      <c r="B275" s="91" t="s">
        <v>2967</v>
      </c>
      <c r="C275" s="91" t="s">
        <v>2132</v>
      </c>
    </row>
    <row r="276">
      <c r="A276" s="91">
        <v>3.0</v>
      </c>
      <c r="B276" s="91" t="s">
        <v>2968</v>
      </c>
      <c r="C276" s="91" t="s">
        <v>1053</v>
      </c>
    </row>
    <row r="277">
      <c r="A277" s="91">
        <v>3.0</v>
      </c>
      <c r="B277" s="91" t="s">
        <v>2969</v>
      </c>
      <c r="C277" s="91" t="s">
        <v>1542</v>
      </c>
    </row>
    <row r="278">
      <c r="A278" s="91">
        <v>3.0</v>
      </c>
      <c r="B278" s="91" t="s">
        <v>2970</v>
      </c>
      <c r="C278" s="91" t="s">
        <v>250</v>
      </c>
    </row>
    <row r="279">
      <c r="A279" s="91">
        <v>3.0</v>
      </c>
      <c r="B279" s="91" t="s">
        <v>2971</v>
      </c>
      <c r="C279" s="91" t="s">
        <v>1009</v>
      </c>
    </row>
    <row r="280">
      <c r="A280" s="91">
        <v>3.0</v>
      </c>
      <c r="B280" s="91" t="s">
        <v>2972</v>
      </c>
      <c r="C280" s="91" t="s">
        <v>474</v>
      </c>
    </row>
    <row r="281">
      <c r="A281" s="91">
        <v>3.0</v>
      </c>
      <c r="B281" s="91" t="s">
        <v>2973</v>
      </c>
      <c r="C281" s="91" t="s">
        <v>399</v>
      </c>
    </row>
    <row r="282">
      <c r="A282" s="91">
        <v>3.0</v>
      </c>
      <c r="B282" s="91" t="s">
        <v>2974</v>
      </c>
      <c r="C282" s="91" t="s">
        <v>326</v>
      </c>
    </row>
    <row r="283">
      <c r="A283" s="91">
        <v>3.0</v>
      </c>
      <c r="B283" s="91" t="s">
        <v>2975</v>
      </c>
      <c r="C283" s="91" t="s">
        <v>1082</v>
      </c>
    </row>
    <row r="284">
      <c r="A284" s="91">
        <v>3.0</v>
      </c>
      <c r="B284" s="91" t="s">
        <v>2976</v>
      </c>
      <c r="C284" s="91" t="s">
        <v>181</v>
      </c>
    </row>
    <row r="285">
      <c r="A285" s="91">
        <v>3.0</v>
      </c>
      <c r="B285" s="91" t="s">
        <v>2977</v>
      </c>
      <c r="C285" s="91" t="s">
        <v>1076</v>
      </c>
    </row>
    <row r="286">
      <c r="A286" s="91">
        <v>3.0</v>
      </c>
      <c r="B286" s="91" t="s">
        <v>2978</v>
      </c>
      <c r="C286" s="91" t="s">
        <v>485</v>
      </c>
    </row>
    <row r="287">
      <c r="A287" s="91">
        <v>3.0</v>
      </c>
      <c r="B287" s="91" t="s">
        <v>2979</v>
      </c>
      <c r="C287" s="91" t="s">
        <v>485</v>
      </c>
    </row>
    <row r="288">
      <c r="A288" s="91">
        <v>3.0</v>
      </c>
      <c r="B288" s="91" t="s">
        <v>2980</v>
      </c>
      <c r="C288" s="91" t="s">
        <v>1009</v>
      </c>
    </row>
    <row r="289">
      <c r="A289" s="91">
        <v>3.0</v>
      </c>
      <c r="B289" s="91" t="s">
        <v>15</v>
      </c>
      <c r="C289" s="91" t="s">
        <v>898</v>
      </c>
    </row>
    <row r="290">
      <c r="A290" s="91">
        <v>3.0</v>
      </c>
      <c r="B290" s="91" t="s">
        <v>15</v>
      </c>
      <c r="C290" s="91" t="s">
        <v>2297</v>
      </c>
    </row>
    <row r="291">
      <c r="A291" s="91">
        <v>3.0</v>
      </c>
      <c r="B291" s="91" t="s">
        <v>15</v>
      </c>
      <c r="C291" s="91" t="s">
        <v>64</v>
      </c>
    </row>
    <row r="292">
      <c r="A292" s="91">
        <v>3.0</v>
      </c>
      <c r="B292" s="91" t="s">
        <v>15</v>
      </c>
      <c r="C292" s="91" t="s">
        <v>640</v>
      </c>
    </row>
    <row r="293">
      <c r="A293" s="91">
        <v>3.0</v>
      </c>
      <c r="B293" s="91" t="s">
        <v>2981</v>
      </c>
      <c r="C293" s="91" t="s">
        <v>297</v>
      </c>
    </row>
    <row r="294">
      <c r="A294" s="91">
        <v>3.0</v>
      </c>
      <c r="B294" s="91" t="s">
        <v>2982</v>
      </c>
      <c r="C294" s="91" t="s">
        <v>1106</v>
      </c>
    </row>
    <row r="295">
      <c r="A295" s="91">
        <v>3.0</v>
      </c>
      <c r="B295" s="91" t="s">
        <v>2983</v>
      </c>
      <c r="C295" s="91" t="s">
        <v>2057</v>
      </c>
    </row>
    <row r="296">
      <c r="A296" s="91">
        <v>3.0</v>
      </c>
      <c r="B296" s="91" t="s">
        <v>2984</v>
      </c>
      <c r="C296" s="91" t="s">
        <v>740</v>
      </c>
    </row>
    <row r="297">
      <c r="A297" s="91">
        <v>3.0</v>
      </c>
      <c r="B297" s="91" t="s">
        <v>2985</v>
      </c>
      <c r="C297" s="91" t="s">
        <v>2804</v>
      </c>
    </row>
    <row r="298">
      <c r="A298" s="91">
        <v>3.0</v>
      </c>
      <c r="B298" s="91" t="s">
        <v>2986</v>
      </c>
      <c r="C298" s="91" t="s">
        <v>2249</v>
      </c>
    </row>
    <row r="299">
      <c r="A299" s="91">
        <v>3.0</v>
      </c>
      <c r="B299" s="91" t="s">
        <v>2987</v>
      </c>
      <c r="C299" s="91" t="s">
        <v>1696</v>
      </c>
    </row>
    <row r="300">
      <c r="A300" s="91">
        <v>3.0</v>
      </c>
      <c r="B300" s="91" t="s">
        <v>2988</v>
      </c>
      <c r="C300" s="91" t="s">
        <v>2989</v>
      </c>
    </row>
    <row r="301">
      <c r="A301" s="91">
        <v>3.0</v>
      </c>
      <c r="B301" s="91" t="s">
        <v>2990</v>
      </c>
      <c r="C301" s="91" t="s">
        <v>2991</v>
      </c>
    </row>
    <row r="302">
      <c r="A302" s="91">
        <v>3.0</v>
      </c>
      <c r="B302" s="91" t="s">
        <v>2992</v>
      </c>
      <c r="C302" s="91" t="s">
        <v>173</v>
      </c>
    </row>
    <row r="303">
      <c r="A303" s="91">
        <v>3.0</v>
      </c>
      <c r="B303" s="91" t="s">
        <v>2993</v>
      </c>
      <c r="C303" s="91" t="s">
        <v>676</v>
      </c>
    </row>
    <row r="304">
      <c r="A304" s="91">
        <v>3.0</v>
      </c>
      <c r="B304" s="91" t="s">
        <v>2994</v>
      </c>
      <c r="C304" s="91" t="s">
        <v>297</v>
      </c>
    </row>
    <row r="305">
      <c r="A305" s="91">
        <v>3.0</v>
      </c>
      <c r="B305" s="91" t="s">
        <v>2995</v>
      </c>
      <c r="C305" s="91" t="s">
        <v>1579</v>
      </c>
    </row>
    <row r="306">
      <c r="A306" s="91">
        <v>3.0</v>
      </c>
      <c r="B306" s="91" t="s">
        <v>2996</v>
      </c>
      <c r="C306" s="91" t="s">
        <v>2427</v>
      </c>
    </row>
    <row r="307">
      <c r="A307" s="91">
        <v>3.0</v>
      </c>
      <c r="B307" s="91" t="s">
        <v>2997</v>
      </c>
      <c r="C307" s="91" t="s">
        <v>1536</v>
      </c>
    </row>
    <row r="308">
      <c r="A308" s="91">
        <v>3.0</v>
      </c>
      <c r="B308" s="91" t="s">
        <v>2998</v>
      </c>
      <c r="C308" s="91" t="s">
        <v>1364</v>
      </c>
    </row>
    <row r="309">
      <c r="A309" s="91">
        <v>3.0</v>
      </c>
      <c r="B309" s="91" t="s">
        <v>2971</v>
      </c>
      <c r="C309" s="91" t="s">
        <v>2277</v>
      </c>
    </row>
    <row r="310">
      <c r="A310" s="91">
        <v>3.0</v>
      </c>
      <c r="B310" s="91" t="s">
        <v>2999</v>
      </c>
      <c r="C310" s="91" t="s">
        <v>2044</v>
      </c>
    </row>
    <row r="311">
      <c r="A311" s="91">
        <v>3.0</v>
      </c>
      <c r="B311" s="91" t="s">
        <v>3000</v>
      </c>
      <c r="C311" s="91" t="s">
        <v>1573</v>
      </c>
    </row>
    <row r="312">
      <c r="A312" s="91">
        <v>3.0</v>
      </c>
      <c r="B312" s="91" t="s">
        <v>3001</v>
      </c>
      <c r="C312" s="91" t="s">
        <v>658</v>
      </c>
    </row>
    <row r="313">
      <c r="A313" s="91">
        <v>3.0</v>
      </c>
      <c r="B313" s="91" t="s">
        <v>3002</v>
      </c>
      <c r="C313" s="91" t="s">
        <v>658</v>
      </c>
    </row>
    <row r="314">
      <c r="A314" s="91">
        <v>3.0</v>
      </c>
      <c r="B314" s="91" t="s">
        <v>3003</v>
      </c>
      <c r="C314" s="91" t="s">
        <v>2349</v>
      </c>
    </row>
    <row r="315">
      <c r="A315" s="91">
        <v>2.0</v>
      </c>
      <c r="B315" s="91" t="s">
        <v>15</v>
      </c>
      <c r="C315" s="91" t="s">
        <v>1451</v>
      </c>
    </row>
    <row r="316">
      <c r="A316" s="91">
        <v>2.0</v>
      </c>
      <c r="B316" s="91" t="s">
        <v>15</v>
      </c>
      <c r="C316" s="91" t="s">
        <v>903</v>
      </c>
    </row>
    <row r="317">
      <c r="A317" s="91">
        <v>2.0</v>
      </c>
      <c r="B317" s="91" t="s">
        <v>15</v>
      </c>
      <c r="C317" s="91" t="s">
        <v>211</v>
      </c>
    </row>
    <row r="318">
      <c r="A318" s="91">
        <v>2.0</v>
      </c>
      <c r="B318" s="91" t="s">
        <v>15</v>
      </c>
      <c r="C318" s="91" t="s">
        <v>1088</v>
      </c>
    </row>
    <row r="319">
      <c r="A319" s="91">
        <v>2.0</v>
      </c>
      <c r="B319" s="91" t="s">
        <v>15</v>
      </c>
      <c r="C319" s="91" t="s">
        <v>682</v>
      </c>
    </row>
    <row r="320">
      <c r="A320" s="91">
        <v>2.0</v>
      </c>
      <c r="B320" s="91" t="s">
        <v>15</v>
      </c>
      <c r="C320" s="91" t="s">
        <v>2160</v>
      </c>
    </row>
    <row r="321">
      <c r="A321" s="91">
        <v>2.0</v>
      </c>
      <c r="B321" s="91" t="s">
        <v>15</v>
      </c>
      <c r="C321" s="91" t="s">
        <v>418</v>
      </c>
    </row>
    <row r="322">
      <c r="A322" s="91">
        <v>2.0</v>
      </c>
      <c r="B322" s="91" t="s">
        <v>15</v>
      </c>
      <c r="C322" s="91" t="s">
        <v>386</v>
      </c>
    </row>
    <row r="323">
      <c r="A323" s="91">
        <v>2.0</v>
      </c>
      <c r="B323" s="91" t="s">
        <v>15</v>
      </c>
      <c r="C323" s="91" t="s">
        <v>1308</v>
      </c>
    </row>
    <row r="324">
      <c r="A324" s="91">
        <v>2.0</v>
      </c>
      <c r="B324" s="91" t="s">
        <v>15</v>
      </c>
      <c r="C324" s="91" t="s">
        <v>2439</v>
      </c>
    </row>
    <row r="325">
      <c r="A325" s="91">
        <v>2.0</v>
      </c>
      <c r="B325" s="91" t="s">
        <v>15</v>
      </c>
      <c r="C325" s="91" t="s">
        <v>555</v>
      </c>
    </row>
    <row r="326">
      <c r="A326" s="91">
        <v>2.0</v>
      </c>
      <c r="B326" s="91" t="s">
        <v>15</v>
      </c>
      <c r="C326" s="91" t="s">
        <v>1634</v>
      </c>
    </row>
    <row r="327">
      <c r="A327" s="91">
        <v>2.0</v>
      </c>
      <c r="B327" s="91" t="s">
        <v>15</v>
      </c>
      <c r="C327" s="91" t="s">
        <v>1597</v>
      </c>
    </row>
    <row r="328">
      <c r="A328" s="91">
        <v>2.0</v>
      </c>
      <c r="B328" s="91" t="s">
        <v>15</v>
      </c>
      <c r="C328" s="91" t="s">
        <v>818</v>
      </c>
    </row>
    <row r="329">
      <c r="A329" s="91">
        <v>2.0</v>
      </c>
      <c r="B329" s="91" t="s">
        <v>15</v>
      </c>
      <c r="C329" s="91" t="s">
        <v>1355</v>
      </c>
    </row>
    <row r="330">
      <c r="A330" s="91">
        <v>2.0</v>
      </c>
      <c r="B330" s="91" t="s">
        <v>15</v>
      </c>
      <c r="C330" s="91" t="s">
        <v>315</v>
      </c>
    </row>
    <row r="331">
      <c r="A331" s="91">
        <v>2.0</v>
      </c>
      <c r="B331" s="91" t="s">
        <v>15</v>
      </c>
      <c r="C331" s="91" t="s">
        <v>838</v>
      </c>
    </row>
    <row r="332">
      <c r="A332" s="91">
        <v>2.0</v>
      </c>
      <c r="B332" s="91" t="s">
        <v>15</v>
      </c>
      <c r="C332" s="91" t="s">
        <v>1331</v>
      </c>
    </row>
    <row r="333">
      <c r="A333" s="91">
        <v>2.0</v>
      </c>
      <c r="B333" s="91" t="s">
        <v>15</v>
      </c>
      <c r="C333" s="91" t="s">
        <v>1141</v>
      </c>
    </row>
    <row r="334">
      <c r="A334" s="91">
        <v>2.0</v>
      </c>
      <c r="B334" s="91" t="s">
        <v>15</v>
      </c>
      <c r="C334" s="91" t="s">
        <v>2271</v>
      </c>
    </row>
    <row r="335">
      <c r="A335" s="91">
        <v>2.0</v>
      </c>
      <c r="B335" s="91" t="s">
        <v>15</v>
      </c>
      <c r="C335" s="91" t="s">
        <v>2834</v>
      </c>
    </row>
    <row r="336">
      <c r="A336" s="91">
        <v>2.0</v>
      </c>
      <c r="B336" s="91" t="s">
        <v>15</v>
      </c>
      <c r="C336" s="91" t="s">
        <v>597</v>
      </c>
    </row>
    <row r="337">
      <c r="A337" s="91">
        <v>2.0</v>
      </c>
      <c r="B337" s="91" t="s">
        <v>15</v>
      </c>
      <c r="C337" s="91" t="s">
        <v>503</v>
      </c>
    </row>
    <row r="338">
      <c r="A338" s="91">
        <v>2.0</v>
      </c>
      <c r="B338" s="91" t="s">
        <v>15</v>
      </c>
      <c r="C338" s="91" t="s">
        <v>591</v>
      </c>
    </row>
    <row r="339">
      <c r="A339" s="91">
        <v>2.0</v>
      </c>
      <c r="B339" s="91" t="s">
        <v>15</v>
      </c>
      <c r="C339" s="91" t="s">
        <v>806</v>
      </c>
    </row>
    <row r="340">
      <c r="A340" s="91">
        <v>2.0</v>
      </c>
      <c r="B340" s="91" t="s">
        <v>15</v>
      </c>
      <c r="C340" s="91" t="s">
        <v>2139</v>
      </c>
    </row>
    <row r="341">
      <c r="A341" s="91">
        <v>2.0</v>
      </c>
      <c r="B341" s="91" t="s">
        <v>15</v>
      </c>
      <c r="C341" s="91" t="s">
        <v>624</v>
      </c>
    </row>
    <row r="342">
      <c r="A342" s="91">
        <v>2.0</v>
      </c>
      <c r="B342" s="91" t="s">
        <v>15</v>
      </c>
      <c r="C342" s="91" t="s">
        <v>1611</v>
      </c>
    </row>
    <row r="343">
      <c r="A343" s="91">
        <v>2.0</v>
      </c>
      <c r="B343" s="91" t="s">
        <v>15</v>
      </c>
      <c r="C343" s="91" t="s">
        <v>2321</v>
      </c>
    </row>
    <row r="344">
      <c r="A344" s="91">
        <v>2.0</v>
      </c>
      <c r="B344" s="91" t="s">
        <v>15</v>
      </c>
      <c r="C344" s="91" t="s">
        <v>1682</v>
      </c>
    </row>
    <row r="345">
      <c r="A345" s="91">
        <v>2.0</v>
      </c>
      <c r="B345" s="91" t="s">
        <v>15</v>
      </c>
      <c r="C345" s="91" t="s">
        <v>800</v>
      </c>
    </row>
    <row r="346">
      <c r="A346" s="91">
        <v>2.0</v>
      </c>
      <c r="B346" s="91" t="s">
        <v>15</v>
      </c>
      <c r="C346" s="91" t="s">
        <v>2334</v>
      </c>
    </row>
    <row r="347">
      <c r="A347" s="91">
        <v>2.0</v>
      </c>
      <c r="B347" s="91" t="s">
        <v>15</v>
      </c>
      <c r="C347" s="91" t="s">
        <v>823</v>
      </c>
    </row>
    <row r="348">
      <c r="A348" s="91">
        <v>2.0</v>
      </c>
      <c r="B348" s="91" t="s">
        <v>3004</v>
      </c>
      <c r="C348" s="91" t="s">
        <v>255</v>
      </c>
    </row>
    <row r="349">
      <c r="A349" s="91">
        <v>2.0</v>
      </c>
      <c r="B349" s="91" t="s">
        <v>3005</v>
      </c>
      <c r="C349" s="91" t="s">
        <v>1042</v>
      </c>
    </row>
    <row r="350">
      <c r="A350" s="91">
        <v>2.0</v>
      </c>
      <c r="B350" s="91" t="s">
        <v>3006</v>
      </c>
      <c r="C350" s="91" t="s">
        <v>399</v>
      </c>
    </row>
    <row r="351">
      <c r="A351" s="91">
        <v>2.0</v>
      </c>
      <c r="B351" s="91" t="s">
        <v>3007</v>
      </c>
      <c r="C351" s="91" t="s">
        <v>399</v>
      </c>
    </row>
    <row r="352">
      <c r="A352" s="91">
        <v>2.0</v>
      </c>
      <c r="B352" s="91" t="s">
        <v>3008</v>
      </c>
      <c r="C352" s="91" t="s">
        <v>399</v>
      </c>
    </row>
    <row r="353">
      <c r="A353" s="91">
        <v>2.0</v>
      </c>
      <c r="B353" s="91" t="s">
        <v>3009</v>
      </c>
      <c r="C353" s="91" t="s">
        <v>705</v>
      </c>
    </row>
    <row r="354">
      <c r="A354" s="91">
        <v>2.0</v>
      </c>
      <c r="B354" s="91" t="s">
        <v>3010</v>
      </c>
      <c r="C354" s="91" t="s">
        <v>705</v>
      </c>
    </row>
    <row r="355">
      <c r="A355" s="91">
        <v>2.0</v>
      </c>
      <c r="B355" s="91" t="s">
        <v>2912</v>
      </c>
      <c r="C355" s="91" t="s">
        <v>2801</v>
      </c>
    </row>
    <row r="356">
      <c r="A356" s="91">
        <v>2.0</v>
      </c>
      <c r="B356" s="91" t="s">
        <v>2912</v>
      </c>
      <c r="C356" s="91" t="s">
        <v>2804</v>
      </c>
    </row>
    <row r="357">
      <c r="A357" s="91">
        <v>2.0</v>
      </c>
      <c r="B357" s="91" t="s">
        <v>3011</v>
      </c>
      <c r="C357" s="91" t="s">
        <v>682</v>
      </c>
    </row>
    <row r="358">
      <c r="A358" s="91">
        <v>2.0</v>
      </c>
      <c r="B358" s="91" t="s">
        <v>3012</v>
      </c>
      <c r="C358" s="91" t="s">
        <v>1059</v>
      </c>
    </row>
    <row r="359">
      <c r="A359" s="91">
        <v>2.0</v>
      </c>
      <c r="B359" s="91" t="s">
        <v>3013</v>
      </c>
      <c r="C359" s="91" t="s">
        <v>2116</v>
      </c>
    </row>
    <row r="360">
      <c r="A360" s="91">
        <v>2.0</v>
      </c>
      <c r="B360" s="91" t="s">
        <v>3014</v>
      </c>
      <c r="C360" s="91" t="s">
        <v>652</v>
      </c>
    </row>
    <row r="361">
      <c r="A361" s="91">
        <v>2.0</v>
      </c>
      <c r="B361" s="91" t="s">
        <v>3015</v>
      </c>
      <c r="C361" s="91" t="s">
        <v>1626</v>
      </c>
    </row>
    <row r="362">
      <c r="A362" s="91">
        <v>2.0</v>
      </c>
      <c r="B362" s="91" t="s">
        <v>3016</v>
      </c>
      <c r="C362" s="91" t="s">
        <v>549</v>
      </c>
    </row>
    <row r="363">
      <c r="A363" s="91">
        <v>2.0</v>
      </c>
      <c r="B363" s="91" t="s">
        <v>3017</v>
      </c>
      <c r="C363" s="91" t="s">
        <v>521</v>
      </c>
    </row>
    <row r="364">
      <c r="A364" s="91">
        <v>2.0</v>
      </c>
      <c r="B364" s="91" t="s">
        <v>3018</v>
      </c>
      <c r="C364" s="91" t="s">
        <v>297</v>
      </c>
    </row>
    <row r="365">
      <c r="A365" s="91">
        <v>2.0</v>
      </c>
      <c r="B365" s="91" t="s">
        <v>3019</v>
      </c>
      <c r="C365" s="91" t="s">
        <v>1708</v>
      </c>
    </row>
    <row r="366">
      <c r="A366" s="91">
        <v>2.0</v>
      </c>
      <c r="B366" s="91" t="s">
        <v>3020</v>
      </c>
      <c r="C366" s="91" t="s">
        <v>356</v>
      </c>
    </row>
    <row r="367">
      <c r="A367" s="91">
        <v>2.0</v>
      </c>
      <c r="B367" s="91" t="s">
        <v>3021</v>
      </c>
      <c r="C367" s="91" t="s">
        <v>356</v>
      </c>
    </row>
    <row r="368">
      <c r="A368" s="91">
        <v>2.0</v>
      </c>
      <c r="B368" s="91" t="s">
        <v>3022</v>
      </c>
      <c r="C368" s="91" t="s">
        <v>1015</v>
      </c>
    </row>
    <row r="369">
      <c r="A369" s="91">
        <v>2.0</v>
      </c>
      <c r="B369" s="91" t="s">
        <v>3023</v>
      </c>
      <c r="C369" s="91" t="s">
        <v>699</v>
      </c>
    </row>
    <row r="370">
      <c r="A370" s="91">
        <v>2.0</v>
      </c>
      <c r="B370" s="91" t="s">
        <v>3024</v>
      </c>
      <c r="C370" s="91" t="s">
        <v>699</v>
      </c>
    </row>
    <row r="371">
      <c r="A371" s="91">
        <v>2.0</v>
      </c>
      <c r="B371" s="91" t="s">
        <v>3025</v>
      </c>
      <c r="C371" s="91" t="s">
        <v>699</v>
      </c>
    </row>
    <row r="372">
      <c r="A372" s="91">
        <v>2.0</v>
      </c>
      <c r="B372" s="91" t="s">
        <v>3026</v>
      </c>
      <c r="C372" s="91" t="s">
        <v>2914</v>
      </c>
    </row>
    <row r="373">
      <c r="A373" s="91">
        <v>2.0</v>
      </c>
      <c r="B373" s="91" t="s">
        <v>3027</v>
      </c>
      <c r="C373" s="91" t="s">
        <v>543</v>
      </c>
    </row>
    <row r="374">
      <c r="A374" s="91">
        <v>2.0</v>
      </c>
      <c r="B374" s="91" t="s">
        <v>3028</v>
      </c>
      <c r="C374" s="91" t="s">
        <v>418</v>
      </c>
    </row>
    <row r="375">
      <c r="A375" s="91">
        <v>2.0</v>
      </c>
      <c r="B375" s="91" t="s">
        <v>3029</v>
      </c>
      <c r="C375" s="91" t="s">
        <v>1603</v>
      </c>
    </row>
    <row r="376">
      <c r="A376" s="91">
        <v>2.0</v>
      </c>
      <c r="B376" s="91" t="s">
        <v>3030</v>
      </c>
      <c r="C376" s="91" t="s">
        <v>3031</v>
      </c>
    </row>
    <row r="377">
      <c r="A377" s="91">
        <v>2.0</v>
      </c>
      <c r="B377" s="91" t="s">
        <v>3030</v>
      </c>
      <c r="C377" s="91" t="s">
        <v>3032</v>
      </c>
    </row>
    <row r="378">
      <c r="A378" s="91">
        <v>2.0</v>
      </c>
      <c r="B378" s="91" t="s">
        <v>3033</v>
      </c>
      <c r="C378" s="91" t="s">
        <v>1573</v>
      </c>
    </row>
    <row r="379">
      <c r="A379" s="91">
        <v>2.0</v>
      </c>
      <c r="B379" s="91" t="s">
        <v>3034</v>
      </c>
      <c r="C379" s="91" t="s">
        <v>1573</v>
      </c>
    </row>
    <row r="380">
      <c r="A380" s="91">
        <v>2.0</v>
      </c>
      <c r="B380" s="91" t="s">
        <v>2913</v>
      </c>
      <c r="C380" s="91" t="s">
        <v>3035</v>
      </c>
    </row>
    <row r="381">
      <c r="A381" s="91">
        <v>2.0</v>
      </c>
      <c r="B381" s="91" t="s">
        <v>3036</v>
      </c>
      <c r="C381" s="91" t="s">
        <v>1284</v>
      </c>
    </row>
    <row r="382">
      <c r="A382" s="91">
        <v>2.0</v>
      </c>
      <c r="B382" s="91" t="s">
        <v>3037</v>
      </c>
      <c r="C382" s="91" t="s">
        <v>1308</v>
      </c>
    </row>
    <row r="383">
      <c r="A383" s="91">
        <v>2.0</v>
      </c>
      <c r="B383" s="91" t="s">
        <v>3038</v>
      </c>
      <c r="C383" s="91" t="s">
        <v>2804</v>
      </c>
    </row>
    <row r="384">
      <c r="A384" s="91">
        <v>2.0</v>
      </c>
      <c r="B384" s="91" t="s">
        <v>3039</v>
      </c>
      <c r="C384" s="91" t="s">
        <v>955</v>
      </c>
    </row>
    <row r="385">
      <c r="A385" s="91">
        <v>2.0</v>
      </c>
      <c r="B385" s="91" t="s">
        <v>3040</v>
      </c>
      <c r="C385" s="91" t="s">
        <v>955</v>
      </c>
    </row>
    <row r="386">
      <c r="A386" s="91">
        <v>2.0</v>
      </c>
      <c r="B386" s="91" t="s">
        <v>3041</v>
      </c>
      <c r="C386" s="91" t="s">
        <v>1003</v>
      </c>
    </row>
    <row r="387">
      <c r="A387" s="91">
        <v>2.0</v>
      </c>
      <c r="B387" s="91" t="s">
        <v>3042</v>
      </c>
      <c r="C387" s="91" t="s">
        <v>1003</v>
      </c>
    </row>
    <row r="388">
      <c r="A388" s="91">
        <v>2.0</v>
      </c>
      <c r="B388" s="91" t="s">
        <v>3043</v>
      </c>
      <c r="C388" s="91" t="s">
        <v>386</v>
      </c>
    </row>
    <row r="389">
      <c r="A389" s="91">
        <v>2.0</v>
      </c>
      <c r="B389" s="91" t="s">
        <v>3044</v>
      </c>
      <c r="C389" s="91" t="s">
        <v>1065</v>
      </c>
    </row>
    <row r="390">
      <c r="A390" s="91">
        <v>2.0</v>
      </c>
      <c r="B390" s="91" t="s">
        <v>3045</v>
      </c>
      <c r="C390" s="91" t="s">
        <v>1065</v>
      </c>
    </row>
    <row r="391">
      <c r="A391" s="91">
        <v>2.0</v>
      </c>
      <c r="B391" s="91" t="s">
        <v>3046</v>
      </c>
      <c r="C391" s="91" t="s">
        <v>267</v>
      </c>
    </row>
    <row r="392">
      <c r="A392" s="91">
        <v>2.0</v>
      </c>
      <c r="B392" s="91" t="s">
        <v>3047</v>
      </c>
      <c r="C392" s="91" t="s">
        <v>267</v>
      </c>
    </row>
    <row r="393">
      <c r="A393" s="91">
        <v>2.0</v>
      </c>
      <c r="B393" s="91" t="s">
        <v>3048</v>
      </c>
      <c r="C393" s="91" t="s">
        <v>1364</v>
      </c>
    </row>
    <row r="394">
      <c r="A394" s="91">
        <v>2.0</v>
      </c>
      <c r="B394" s="91" t="s">
        <v>3049</v>
      </c>
      <c r="C394" s="91" t="s">
        <v>1603</v>
      </c>
    </row>
    <row r="395">
      <c r="A395" s="91">
        <v>2.0</v>
      </c>
      <c r="B395" s="91" t="s">
        <v>3050</v>
      </c>
      <c r="C395" s="91" t="s">
        <v>1673</v>
      </c>
    </row>
    <row r="396">
      <c r="A396" s="91">
        <v>2.0</v>
      </c>
      <c r="B396" s="91" t="s">
        <v>2944</v>
      </c>
      <c r="C396" s="91" t="s">
        <v>549</v>
      </c>
    </row>
    <row r="397">
      <c r="A397" s="91">
        <v>2.0</v>
      </c>
      <c r="B397" s="91" t="s">
        <v>3051</v>
      </c>
      <c r="C397" s="91" t="s">
        <v>794</v>
      </c>
    </row>
    <row r="398">
      <c r="A398" s="91">
        <v>2.0</v>
      </c>
      <c r="B398" s="91" t="s">
        <v>3052</v>
      </c>
      <c r="C398" s="91" t="s">
        <v>1579</v>
      </c>
    </row>
    <row r="399">
      <c r="A399" s="91">
        <v>2.0</v>
      </c>
      <c r="B399" s="91" t="s">
        <v>3053</v>
      </c>
      <c r="C399" s="91" t="s">
        <v>771</v>
      </c>
    </row>
    <row r="400">
      <c r="A400" s="91">
        <v>2.0</v>
      </c>
      <c r="B400" s="91" t="s">
        <v>3054</v>
      </c>
      <c r="C400" s="91" t="s">
        <v>368</v>
      </c>
    </row>
    <row r="401">
      <c r="A401" s="91">
        <v>2.0</v>
      </c>
      <c r="B401" s="91" t="s">
        <v>3055</v>
      </c>
      <c r="C401" s="91" t="s">
        <v>1530</v>
      </c>
    </row>
    <row r="402">
      <c r="A402" s="91">
        <v>2.0</v>
      </c>
      <c r="B402" s="91" t="s">
        <v>3056</v>
      </c>
      <c r="C402" s="91" t="s">
        <v>527</v>
      </c>
    </row>
    <row r="403">
      <c r="A403" s="91">
        <v>2.0</v>
      </c>
      <c r="B403" s="91" t="s">
        <v>3057</v>
      </c>
      <c r="C403" s="91" t="s">
        <v>1278</v>
      </c>
    </row>
    <row r="404">
      <c r="A404" s="91">
        <v>2.0</v>
      </c>
      <c r="B404" s="91" t="s">
        <v>3058</v>
      </c>
      <c r="C404" s="91" t="s">
        <v>1536</v>
      </c>
    </row>
    <row r="405">
      <c r="A405" s="91">
        <v>2.0</v>
      </c>
      <c r="B405" s="91" t="s">
        <v>3059</v>
      </c>
      <c r="C405" s="91" t="s">
        <v>1536</v>
      </c>
    </row>
    <row r="406">
      <c r="A406" s="91">
        <v>2.0</v>
      </c>
      <c r="B406" s="91" t="s">
        <v>3060</v>
      </c>
      <c r="C406" s="91" t="s">
        <v>3061</v>
      </c>
    </row>
    <row r="407">
      <c r="A407" s="91">
        <v>2.0</v>
      </c>
      <c r="B407" s="91" t="s">
        <v>2876</v>
      </c>
      <c r="C407" s="91" t="s">
        <v>2277</v>
      </c>
    </row>
    <row r="408">
      <c r="A408" s="91">
        <v>2.0</v>
      </c>
      <c r="B408" s="91" t="s">
        <v>3062</v>
      </c>
      <c r="C408" s="91" t="s">
        <v>1228</v>
      </c>
    </row>
    <row r="409">
      <c r="A409" s="91">
        <v>2.0</v>
      </c>
      <c r="B409" s="91" t="s">
        <v>3063</v>
      </c>
      <c r="C409" s="91" t="s">
        <v>2870</v>
      </c>
    </row>
    <row r="410">
      <c r="A410" s="91">
        <v>2.0</v>
      </c>
      <c r="B410" s="91" t="s">
        <v>3064</v>
      </c>
      <c r="C410" s="91" t="s">
        <v>3065</v>
      </c>
    </row>
    <row r="411">
      <c r="A411" s="91">
        <v>2.0</v>
      </c>
      <c r="B411" s="91" t="s">
        <v>3066</v>
      </c>
      <c r="C411" s="91" t="s">
        <v>1560</v>
      </c>
    </row>
    <row r="412">
      <c r="A412" s="91">
        <v>2.0</v>
      </c>
      <c r="B412" s="91" t="s">
        <v>3067</v>
      </c>
      <c r="C412" s="91" t="s">
        <v>1141</v>
      </c>
    </row>
    <row r="413">
      <c r="A413" s="91">
        <v>2.0</v>
      </c>
      <c r="B413" s="91" t="s">
        <v>3068</v>
      </c>
      <c r="C413" s="91" t="s">
        <v>240</v>
      </c>
    </row>
    <row r="414">
      <c r="A414" s="91">
        <v>2.0</v>
      </c>
      <c r="B414" s="91" t="s">
        <v>2802</v>
      </c>
      <c r="C414" s="91" t="s">
        <v>937</v>
      </c>
    </row>
    <row r="415">
      <c r="A415" s="91">
        <v>2.0</v>
      </c>
      <c r="B415" s="91" t="s">
        <v>3069</v>
      </c>
      <c r="C415" s="91" t="s">
        <v>2260</v>
      </c>
    </row>
    <row r="416">
      <c r="A416" s="91">
        <v>2.0</v>
      </c>
      <c r="B416" s="91" t="s">
        <v>3070</v>
      </c>
      <c r="C416" s="91" t="s">
        <v>386</v>
      </c>
    </row>
    <row r="417">
      <c r="A417" s="91">
        <v>2.0</v>
      </c>
      <c r="B417" s="91" t="s">
        <v>2953</v>
      </c>
      <c r="C417" s="91" t="s">
        <v>3071</v>
      </c>
    </row>
    <row r="418">
      <c r="A418" s="91">
        <v>2.0</v>
      </c>
      <c r="B418" s="91" t="s">
        <v>2916</v>
      </c>
      <c r="C418" s="91" t="s">
        <v>2955</v>
      </c>
    </row>
    <row r="419">
      <c r="A419" s="91">
        <v>2.0</v>
      </c>
      <c r="B419" s="91" t="s">
        <v>2916</v>
      </c>
      <c r="C419" s="91" t="s">
        <v>2271</v>
      </c>
    </row>
    <row r="420">
      <c r="A420" s="91">
        <v>2.0</v>
      </c>
      <c r="B420" s="91" t="s">
        <v>3072</v>
      </c>
      <c r="C420" s="91" t="s">
        <v>1400</v>
      </c>
    </row>
    <row r="421">
      <c r="A421" s="91">
        <v>2.0</v>
      </c>
      <c r="B421" s="91" t="s">
        <v>2954</v>
      </c>
      <c r="C421" s="91" t="s">
        <v>1400</v>
      </c>
    </row>
    <row r="422">
      <c r="A422" s="91">
        <v>2.0</v>
      </c>
      <c r="B422" s="91" t="s">
        <v>3073</v>
      </c>
      <c r="C422" s="91" t="s">
        <v>1554</v>
      </c>
    </row>
    <row r="423">
      <c r="A423" s="91">
        <v>2.0</v>
      </c>
      <c r="B423" s="91" t="s">
        <v>3074</v>
      </c>
      <c r="C423" s="91" t="s">
        <v>1554</v>
      </c>
    </row>
    <row r="424">
      <c r="A424" s="91">
        <v>2.0</v>
      </c>
      <c r="B424" s="91" t="s">
        <v>3075</v>
      </c>
      <c r="C424" s="91" t="s">
        <v>261</v>
      </c>
    </row>
    <row r="425">
      <c r="A425" s="91">
        <v>2.0</v>
      </c>
      <c r="B425" s="91" t="s">
        <v>3076</v>
      </c>
      <c r="C425" s="91" t="s">
        <v>119</v>
      </c>
    </row>
    <row r="426">
      <c r="A426" s="91">
        <v>2.0</v>
      </c>
      <c r="B426" s="91" t="s">
        <v>3077</v>
      </c>
      <c r="C426" s="91" t="s">
        <v>3061</v>
      </c>
    </row>
    <row r="427">
      <c r="A427" s="91">
        <v>2.0</v>
      </c>
      <c r="B427" s="91" t="s">
        <v>3078</v>
      </c>
      <c r="C427" s="91" t="s">
        <v>3061</v>
      </c>
    </row>
    <row r="428">
      <c r="A428" s="91">
        <v>2.0</v>
      </c>
      <c r="B428" s="91" t="s">
        <v>3079</v>
      </c>
      <c r="C428" s="91" t="s">
        <v>2989</v>
      </c>
    </row>
    <row r="429">
      <c r="A429" s="91">
        <v>2.0</v>
      </c>
      <c r="B429" s="91" t="s">
        <v>2988</v>
      </c>
      <c r="C429" s="91" t="s">
        <v>3080</v>
      </c>
    </row>
    <row r="430">
      <c r="A430" s="91">
        <v>2.0</v>
      </c>
      <c r="B430" s="91" t="s">
        <v>3081</v>
      </c>
      <c r="C430" s="91" t="s">
        <v>806</v>
      </c>
    </row>
    <row r="431">
      <c r="A431" s="91">
        <v>2.0</v>
      </c>
      <c r="B431" s="91" t="s">
        <v>3082</v>
      </c>
      <c r="C431" s="91" t="s">
        <v>1047</v>
      </c>
    </row>
    <row r="432">
      <c r="A432" s="91">
        <v>2.0</v>
      </c>
      <c r="B432" s="91" t="s">
        <v>3083</v>
      </c>
      <c r="C432" s="91" t="s">
        <v>337</v>
      </c>
    </row>
    <row r="433">
      <c r="A433" s="91">
        <v>2.0</v>
      </c>
      <c r="B433" s="91" t="s">
        <v>3084</v>
      </c>
      <c r="C433" s="91" t="s">
        <v>2065</v>
      </c>
    </row>
    <row r="434">
      <c r="A434" s="91">
        <v>2.0</v>
      </c>
      <c r="B434" s="91" t="s">
        <v>3085</v>
      </c>
      <c r="C434" s="91" t="s">
        <v>1082</v>
      </c>
    </row>
    <row r="435">
      <c r="A435" s="91">
        <v>2.0</v>
      </c>
      <c r="B435" s="91" t="s">
        <v>3086</v>
      </c>
      <c r="C435" s="91" t="s">
        <v>533</v>
      </c>
    </row>
    <row r="436">
      <c r="A436" s="91">
        <v>2.0</v>
      </c>
      <c r="B436" s="91" t="s">
        <v>3087</v>
      </c>
      <c r="C436" s="91" t="s">
        <v>343</v>
      </c>
    </row>
    <row r="437">
      <c r="A437" s="91">
        <v>2.0</v>
      </c>
      <c r="B437" s="91" t="s">
        <v>3088</v>
      </c>
      <c r="C437" s="91" t="s">
        <v>181</v>
      </c>
    </row>
    <row r="438">
      <c r="A438" s="91">
        <v>2.0</v>
      </c>
      <c r="B438" s="91" t="s">
        <v>3089</v>
      </c>
      <c r="C438" s="91" t="s">
        <v>1076</v>
      </c>
    </row>
    <row r="439">
      <c r="A439" s="91">
        <v>2.0</v>
      </c>
      <c r="B439" s="91" t="s">
        <v>3090</v>
      </c>
      <c r="C439" s="91" t="s">
        <v>2799</v>
      </c>
    </row>
    <row r="440">
      <c r="A440" s="91">
        <v>2.0</v>
      </c>
      <c r="B440" s="91" t="s">
        <v>3091</v>
      </c>
      <c r="C440" s="91" t="s">
        <v>1165</v>
      </c>
    </row>
    <row r="441">
      <c r="A441" s="91">
        <v>2.0</v>
      </c>
      <c r="B441" s="91" t="s">
        <v>3092</v>
      </c>
      <c r="C441" s="91" t="s">
        <v>497</v>
      </c>
    </row>
    <row r="442">
      <c r="A442" s="91">
        <v>2.0</v>
      </c>
      <c r="B442" s="91" t="s">
        <v>3093</v>
      </c>
      <c r="C442" s="91" t="s">
        <v>1026</v>
      </c>
    </row>
    <row r="443">
      <c r="A443" s="91">
        <v>2.0</v>
      </c>
      <c r="B443" s="91" t="s">
        <v>3094</v>
      </c>
      <c r="C443" s="91" t="s">
        <v>2991</v>
      </c>
    </row>
    <row r="444">
      <c r="A444" s="91">
        <v>2.0</v>
      </c>
      <c r="B444" s="91" t="s">
        <v>2906</v>
      </c>
      <c r="C444" s="91" t="s">
        <v>2321</v>
      </c>
    </row>
    <row r="445">
      <c r="A445" s="91">
        <v>2.0</v>
      </c>
      <c r="B445" s="91" t="s">
        <v>3095</v>
      </c>
      <c r="C445" s="91" t="s">
        <v>410</v>
      </c>
    </row>
    <row r="446">
      <c r="A446" s="91">
        <v>2.0</v>
      </c>
      <c r="B446" s="91" t="s">
        <v>3096</v>
      </c>
      <c r="C446" s="91" t="s">
        <v>1548</v>
      </c>
    </row>
    <row r="447">
      <c r="A447" s="91">
        <v>2.0</v>
      </c>
      <c r="B447" s="91" t="s">
        <v>3097</v>
      </c>
      <c r="C447" s="91" t="s">
        <v>491</v>
      </c>
    </row>
    <row r="448">
      <c r="A448" s="91">
        <v>2.0</v>
      </c>
      <c r="B448" s="91" t="s">
        <v>3098</v>
      </c>
      <c r="C448" s="91" t="s">
        <v>279</v>
      </c>
    </row>
    <row r="449">
      <c r="A449" s="91">
        <v>2.0</v>
      </c>
      <c r="B449" s="91" t="s">
        <v>3099</v>
      </c>
      <c r="C449" s="91" t="s">
        <v>1020</v>
      </c>
    </row>
    <row r="450">
      <c r="A450" s="91">
        <v>2.0</v>
      </c>
      <c r="B450" s="91" t="s">
        <v>3099</v>
      </c>
      <c r="C450" s="91" t="s">
        <v>1682</v>
      </c>
    </row>
    <row r="451">
      <c r="A451" s="91">
        <v>2.0</v>
      </c>
      <c r="B451" s="91" t="s">
        <v>2967</v>
      </c>
      <c r="C451" s="91" t="s">
        <v>1020</v>
      </c>
    </row>
    <row r="452">
      <c r="A452" s="91">
        <v>2.0</v>
      </c>
      <c r="B452" s="91" t="s">
        <v>2839</v>
      </c>
      <c r="C452" s="91" t="s">
        <v>2132</v>
      </c>
    </row>
    <row r="453">
      <c r="A453" s="91">
        <v>2.0</v>
      </c>
      <c r="B453" s="91" t="s">
        <v>3100</v>
      </c>
      <c r="C453" s="91" t="s">
        <v>2132</v>
      </c>
    </row>
    <row r="454">
      <c r="A454" s="91">
        <v>2.0</v>
      </c>
      <c r="B454" s="91" t="s">
        <v>3101</v>
      </c>
      <c r="C454" s="91" t="s">
        <v>1053</v>
      </c>
    </row>
    <row r="455">
      <c r="A455" s="91">
        <v>2.0</v>
      </c>
      <c r="B455" s="91" t="s">
        <v>3102</v>
      </c>
      <c r="C455" s="91" t="s">
        <v>734</v>
      </c>
    </row>
    <row r="456">
      <c r="A456" s="91">
        <v>2.0</v>
      </c>
      <c r="B456" s="91" t="s">
        <v>3103</v>
      </c>
      <c r="C456" s="91" t="s">
        <v>1542</v>
      </c>
    </row>
    <row r="457">
      <c r="A457" s="91">
        <v>2.0</v>
      </c>
      <c r="B457" s="91" t="s">
        <v>3104</v>
      </c>
      <c r="C457" s="91" t="s">
        <v>2266</v>
      </c>
    </row>
    <row r="458">
      <c r="A458" s="91">
        <v>2.0</v>
      </c>
      <c r="B458" s="91" t="s">
        <v>3105</v>
      </c>
      <c r="C458" s="91" t="s">
        <v>250</v>
      </c>
    </row>
    <row r="459">
      <c r="A459" s="91">
        <v>2.0</v>
      </c>
      <c r="B459" s="91" t="s">
        <v>3106</v>
      </c>
      <c r="C459" s="91" t="s">
        <v>1009</v>
      </c>
    </row>
    <row r="460">
      <c r="A460" s="91">
        <v>2.0</v>
      </c>
      <c r="B460" s="91" t="s">
        <v>3107</v>
      </c>
      <c r="C460" s="91" t="s">
        <v>303</v>
      </c>
    </row>
    <row r="461">
      <c r="A461" s="91">
        <v>2.0</v>
      </c>
      <c r="B461" s="91" t="s">
        <v>3108</v>
      </c>
      <c r="C461" s="91" t="s">
        <v>303</v>
      </c>
    </row>
    <row r="462">
      <c r="A462" s="91">
        <v>2.0</v>
      </c>
      <c r="B462" s="91" t="s">
        <v>3109</v>
      </c>
      <c r="C462" s="91" t="s">
        <v>2343</v>
      </c>
    </row>
    <row r="463">
      <c r="A463" s="91">
        <v>2.0</v>
      </c>
      <c r="B463" s="91" t="s">
        <v>3110</v>
      </c>
      <c r="C463" s="91" t="s">
        <v>1059</v>
      </c>
    </row>
    <row r="464">
      <c r="A464" s="91">
        <v>2.0</v>
      </c>
      <c r="B464" s="91" t="s">
        <v>3111</v>
      </c>
      <c r="C464" s="91" t="s">
        <v>1603</v>
      </c>
    </row>
    <row r="465">
      <c r="A465" s="91">
        <v>2.0</v>
      </c>
      <c r="B465" s="91" t="s">
        <v>3112</v>
      </c>
      <c r="C465" s="91" t="s">
        <v>1031</v>
      </c>
    </row>
    <row r="466">
      <c r="A466" s="91">
        <v>2.0</v>
      </c>
      <c r="B466" s="91" t="s">
        <v>3113</v>
      </c>
      <c r="C466" s="91" t="s">
        <v>1603</v>
      </c>
    </row>
    <row r="467">
      <c r="A467" s="91">
        <v>2.0</v>
      </c>
      <c r="B467" s="91" t="s">
        <v>3114</v>
      </c>
      <c r="C467" s="91" t="s">
        <v>368</v>
      </c>
    </row>
    <row r="468">
      <c r="A468" s="91">
        <v>2.0</v>
      </c>
      <c r="B468" s="91" t="s">
        <v>3115</v>
      </c>
      <c r="C468" s="91" t="s">
        <v>368</v>
      </c>
    </row>
    <row r="469">
      <c r="A469" s="91">
        <v>2.0</v>
      </c>
      <c r="B469" s="91" t="s">
        <v>3116</v>
      </c>
      <c r="C469" s="91" t="s">
        <v>1536</v>
      </c>
    </row>
    <row r="470">
      <c r="A470" s="91">
        <v>2.0</v>
      </c>
      <c r="B470" s="91" t="s">
        <v>3117</v>
      </c>
      <c r="C470" s="91" t="s">
        <v>326</v>
      </c>
    </row>
    <row r="471">
      <c r="A471" s="91">
        <v>2.0</v>
      </c>
      <c r="B471" s="91" t="s">
        <v>3118</v>
      </c>
      <c r="C471" s="91" t="s">
        <v>216</v>
      </c>
    </row>
    <row r="472">
      <c r="A472" s="91">
        <v>2.0</v>
      </c>
      <c r="B472" s="91" t="s">
        <v>3119</v>
      </c>
      <c r="C472" s="91" t="s">
        <v>1400</v>
      </c>
    </row>
    <row r="473">
      <c r="A473" s="91">
        <v>2.0</v>
      </c>
      <c r="B473" s="91" t="s">
        <v>3120</v>
      </c>
      <c r="C473" s="91" t="s">
        <v>320</v>
      </c>
    </row>
    <row r="474">
      <c r="A474" s="91">
        <v>2.0</v>
      </c>
      <c r="B474" s="91" t="s">
        <v>3121</v>
      </c>
      <c r="C474" s="91" t="s">
        <v>3122</v>
      </c>
    </row>
    <row r="475">
      <c r="A475" s="91">
        <v>2.0</v>
      </c>
      <c r="B475" s="91" t="s">
        <v>3123</v>
      </c>
      <c r="C475" s="91" t="s">
        <v>343</v>
      </c>
    </row>
    <row r="476">
      <c r="A476" s="91">
        <v>2.0</v>
      </c>
      <c r="B476" s="91" t="s">
        <v>3124</v>
      </c>
      <c r="C476" s="91" t="s">
        <v>181</v>
      </c>
    </row>
    <row r="477">
      <c r="A477" s="91">
        <v>2.0</v>
      </c>
      <c r="B477" s="91" t="s">
        <v>3125</v>
      </c>
      <c r="C477" s="91" t="s">
        <v>2799</v>
      </c>
    </row>
    <row r="478">
      <c r="A478" s="91">
        <v>2.0</v>
      </c>
      <c r="B478" s="91" t="s">
        <v>3126</v>
      </c>
      <c r="C478" s="91" t="s">
        <v>1165</v>
      </c>
    </row>
    <row r="479">
      <c r="A479" s="91">
        <v>2.0</v>
      </c>
      <c r="B479" s="91" t="s">
        <v>3127</v>
      </c>
      <c r="C479" s="91" t="s">
        <v>676</v>
      </c>
    </row>
    <row r="480">
      <c r="A480" s="91">
        <v>2.0</v>
      </c>
      <c r="B480" s="91" t="s">
        <v>3128</v>
      </c>
      <c r="C480" s="91" t="s">
        <v>1020</v>
      </c>
    </row>
    <row r="481">
      <c r="A481" s="91">
        <v>2.0</v>
      </c>
      <c r="B481" s="91" t="s">
        <v>3129</v>
      </c>
      <c r="C481" s="91" t="s">
        <v>250</v>
      </c>
    </row>
    <row r="482">
      <c r="A482" s="91">
        <v>2.0</v>
      </c>
      <c r="B482" s="91" t="s">
        <v>3130</v>
      </c>
      <c r="C482" s="91" t="s">
        <v>485</v>
      </c>
    </row>
    <row r="483">
      <c r="A483" s="91">
        <v>2.0</v>
      </c>
      <c r="B483" s="91" t="s">
        <v>3131</v>
      </c>
      <c r="C483" s="91" t="s">
        <v>474</v>
      </c>
    </row>
    <row r="484">
      <c r="A484" s="91">
        <v>2.0</v>
      </c>
      <c r="B484" s="91" t="s">
        <v>3132</v>
      </c>
      <c r="C484" s="91" t="s">
        <v>1668</v>
      </c>
    </row>
    <row r="485">
      <c r="A485" s="91">
        <v>2.0</v>
      </c>
      <c r="B485" s="91" t="s">
        <v>3133</v>
      </c>
      <c r="C485" s="91" t="s">
        <v>3134</v>
      </c>
    </row>
    <row r="486">
      <c r="A486" s="91">
        <v>2.0</v>
      </c>
      <c r="B486" s="91" t="s">
        <v>3135</v>
      </c>
      <c r="C486" s="91" t="s">
        <v>228</v>
      </c>
    </row>
    <row r="487">
      <c r="A487" s="91">
        <v>2.0</v>
      </c>
      <c r="B487" s="91" t="s">
        <v>3136</v>
      </c>
      <c r="C487" s="91" t="s">
        <v>228</v>
      </c>
    </row>
    <row r="488">
      <c r="A488" s="91">
        <v>2.0</v>
      </c>
      <c r="B488" s="91" t="s">
        <v>15</v>
      </c>
      <c r="C488" s="91" t="s">
        <v>1349</v>
      </c>
    </row>
    <row r="489">
      <c r="A489" s="91">
        <v>2.0</v>
      </c>
      <c r="B489" s="91" t="s">
        <v>15</v>
      </c>
      <c r="C489" s="91" t="s">
        <v>291</v>
      </c>
    </row>
    <row r="490">
      <c r="A490" s="91">
        <v>2.0</v>
      </c>
      <c r="B490" s="91" t="s">
        <v>15</v>
      </c>
      <c r="C490" s="91" t="s">
        <v>1015</v>
      </c>
    </row>
    <row r="491">
      <c r="A491" s="91">
        <v>2.0</v>
      </c>
      <c r="B491" s="91" t="s">
        <v>15</v>
      </c>
      <c r="C491" s="91" t="s">
        <v>1047</v>
      </c>
    </row>
    <row r="492">
      <c r="A492" s="91">
        <v>2.0</v>
      </c>
      <c r="B492" s="91" t="s">
        <v>3137</v>
      </c>
      <c r="C492" s="91" t="s">
        <v>3138</v>
      </c>
    </row>
    <row r="493">
      <c r="A493" s="91">
        <v>2.0</v>
      </c>
      <c r="B493" s="91" t="s">
        <v>3139</v>
      </c>
      <c r="C493" s="91" t="s">
        <v>143</v>
      </c>
    </row>
    <row r="494">
      <c r="A494" s="91">
        <v>2.0</v>
      </c>
      <c r="B494" s="91" t="s">
        <v>3021</v>
      </c>
      <c r="C494" s="91" t="s">
        <v>2305</v>
      </c>
    </row>
    <row r="495">
      <c r="A495" s="91">
        <v>2.0</v>
      </c>
      <c r="B495" s="91" t="s">
        <v>3140</v>
      </c>
      <c r="C495" s="91" t="s">
        <v>1118</v>
      </c>
    </row>
    <row r="496">
      <c r="A496" s="91">
        <v>2.0</v>
      </c>
      <c r="B496" s="91" t="s">
        <v>3141</v>
      </c>
      <c r="C496" s="91" t="s">
        <v>927</v>
      </c>
    </row>
    <row r="497">
      <c r="A497" s="91">
        <v>2.0</v>
      </c>
      <c r="B497" s="91" t="s">
        <v>3142</v>
      </c>
      <c r="C497" s="91" t="s">
        <v>1626</v>
      </c>
    </row>
    <row r="498">
      <c r="A498" s="91">
        <v>2.0</v>
      </c>
      <c r="B498" s="91" t="s">
        <v>3143</v>
      </c>
      <c r="C498" s="91" t="s">
        <v>1536</v>
      </c>
    </row>
    <row r="499">
      <c r="A499" s="91">
        <v>2.0</v>
      </c>
      <c r="B499" s="91" t="s">
        <v>3144</v>
      </c>
      <c r="C499" s="91" t="s">
        <v>3145</v>
      </c>
    </row>
    <row r="500">
      <c r="A500" s="91">
        <v>2.0</v>
      </c>
      <c r="B500" s="91" t="s">
        <v>3146</v>
      </c>
      <c r="C500" s="91" t="s">
        <v>1159</v>
      </c>
    </row>
    <row r="501">
      <c r="A501" s="91">
        <v>2.0</v>
      </c>
      <c r="B501" s="91" t="s">
        <v>3147</v>
      </c>
      <c r="C501" s="91" t="s">
        <v>664</v>
      </c>
    </row>
    <row r="502">
      <c r="A502" s="91">
        <v>2.0</v>
      </c>
      <c r="B502" s="91" t="s">
        <v>3148</v>
      </c>
      <c r="C502" s="91" t="s">
        <v>240</v>
      </c>
    </row>
    <row r="503">
      <c r="A503" s="91">
        <v>2.0</v>
      </c>
      <c r="B503" s="91" t="s">
        <v>2904</v>
      </c>
      <c r="C503" s="91" t="s">
        <v>1548</v>
      </c>
    </row>
    <row r="504">
      <c r="A504" s="91">
        <v>2.0</v>
      </c>
      <c r="B504" s="91" t="s">
        <v>3149</v>
      </c>
      <c r="C504" s="91" t="s">
        <v>491</v>
      </c>
    </row>
    <row r="505">
      <c r="A505" s="91">
        <v>2.0</v>
      </c>
      <c r="B505" s="91" t="s">
        <v>3101</v>
      </c>
      <c r="C505" s="91" t="s">
        <v>1183</v>
      </c>
    </row>
    <row r="506">
      <c r="A506" s="91">
        <v>2.0</v>
      </c>
      <c r="B506" s="91" t="s">
        <v>3150</v>
      </c>
      <c r="C506" s="91" t="s">
        <v>255</v>
      </c>
    </row>
    <row r="507">
      <c r="A507" s="91">
        <v>2.0</v>
      </c>
      <c r="B507" s="91" t="s">
        <v>3151</v>
      </c>
      <c r="C507" s="91" t="s">
        <v>205</v>
      </c>
    </row>
    <row r="508">
      <c r="A508" s="91">
        <v>2.0</v>
      </c>
      <c r="B508" s="91" t="s">
        <v>3152</v>
      </c>
      <c r="C508" s="91" t="s">
        <v>1579</v>
      </c>
    </row>
    <row r="509">
      <c r="A509" s="91">
        <v>2.0</v>
      </c>
      <c r="B509" s="91" t="s">
        <v>3153</v>
      </c>
      <c r="C509" s="91" t="s">
        <v>157</v>
      </c>
    </row>
    <row r="510">
      <c r="A510" s="91">
        <v>2.0</v>
      </c>
      <c r="B510" s="91" t="s">
        <v>3154</v>
      </c>
      <c r="C510" s="91" t="s">
        <v>1278</v>
      </c>
    </row>
    <row r="511">
      <c r="A511" s="91">
        <v>2.0</v>
      </c>
      <c r="B511" s="91" t="s">
        <v>3155</v>
      </c>
      <c r="C511" s="91" t="s">
        <v>315</v>
      </c>
    </row>
    <row r="512">
      <c r="A512" s="91">
        <v>2.0</v>
      </c>
      <c r="B512" s="91" t="s">
        <v>3156</v>
      </c>
      <c r="C512" s="91" t="s">
        <v>2917</v>
      </c>
    </row>
    <row r="513">
      <c r="A513" s="91">
        <v>2.0</v>
      </c>
      <c r="B513" s="91" t="s">
        <v>3157</v>
      </c>
      <c r="C513" s="91" t="s">
        <v>2070</v>
      </c>
    </row>
    <row r="514">
      <c r="A514" s="91">
        <v>2.0</v>
      </c>
      <c r="B514" s="91" t="s">
        <v>3158</v>
      </c>
      <c r="C514" s="91" t="s">
        <v>1352</v>
      </c>
    </row>
    <row r="515">
      <c r="A515" s="91">
        <v>1.0</v>
      </c>
      <c r="B515" s="91" t="s">
        <v>3159</v>
      </c>
      <c r="C515" s="91" t="s">
        <v>2816</v>
      </c>
    </row>
    <row r="516">
      <c r="A516" s="91">
        <v>1.0</v>
      </c>
      <c r="B516" s="91" t="s">
        <v>15</v>
      </c>
      <c r="C516" s="91" t="s">
        <v>2816</v>
      </c>
    </row>
    <row r="517">
      <c r="A517" s="91">
        <v>1.0</v>
      </c>
      <c r="B517" s="91" t="s">
        <v>15</v>
      </c>
      <c r="C517" s="91" t="s">
        <v>2194</v>
      </c>
    </row>
    <row r="518">
      <c r="A518" s="91">
        <v>1.0</v>
      </c>
      <c r="B518" s="91" t="s">
        <v>15</v>
      </c>
      <c r="C518" s="91" t="s">
        <v>3160</v>
      </c>
    </row>
    <row r="519">
      <c r="A519" s="91">
        <v>1.0</v>
      </c>
      <c r="B519" s="91" t="s">
        <v>15</v>
      </c>
      <c r="C519" s="91" t="s">
        <v>3161</v>
      </c>
    </row>
    <row r="520">
      <c r="A520" s="91">
        <v>1.0</v>
      </c>
      <c r="B520" s="91" t="s">
        <v>15</v>
      </c>
      <c r="C520" s="91" t="s">
        <v>430</v>
      </c>
    </row>
    <row r="521">
      <c r="A521" s="91">
        <v>1.0</v>
      </c>
      <c r="B521" s="91" t="s">
        <v>15</v>
      </c>
      <c r="C521" s="91" t="s">
        <v>865</v>
      </c>
    </row>
    <row r="522">
      <c r="A522" s="91">
        <v>1.0</v>
      </c>
      <c r="B522" s="91" t="s">
        <v>15</v>
      </c>
      <c r="C522" s="91" t="s">
        <v>1239</v>
      </c>
    </row>
    <row r="523">
      <c r="A523" s="91">
        <v>1.0</v>
      </c>
      <c r="B523" s="91" t="s">
        <v>15</v>
      </c>
      <c r="C523" s="91" t="s">
        <v>1585</v>
      </c>
    </row>
    <row r="524">
      <c r="A524" s="91">
        <v>1.0</v>
      </c>
      <c r="B524" s="91" t="s">
        <v>15</v>
      </c>
      <c r="C524" s="91" t="s">
        <v>479</v>
      </c>
    </row>
    <row r="525">
      <c r="A525" s="91">
        <v>1.0</v>
      </c>
      <c r="B525" s="91" t="s">
        <v>15</v>
      </c>
      <c r="C525" s="91" t="s">
        <v>1325</v>
      </c>
    </row>
    <row r="526">
      <c r="A526" s="91">
        <v>1.0</v>
      </c>
      <c r="B526" s="91" t="s">
        <v>15</v>
      </c>
      <c r="C526" s="91" t="s">
        <v>2301</v>
      </c>
    </row>
    <row r="527">
      <c r="A527" s="91">
        <v>1.0</v>
      </c>
      <c r="B527" s="91" t="s">
        <v>15</v>
      </c>
      <c r="C527" s="91" t="s">
        <v>783</v>
      </c>
    </row>
    <row r="528">
      <c r="A528" s="91">
        <v>1.0</v>
      </c>
      <c r="B528" s="91" t="s">
        <v>15</v>
      </c>
      <c r="C528" s="91" t="s">
        <v>3162</v>
      </c>
    </row>
    <row r="529">
      <c r="A529" s="91">
        <v>1.0</v>
      </c>
      <c r="B529" s="91" t="s">
        <v>15</v>
      </c>
      <c r="C529" s="91" t="s">
        <v>234</v>
      </c>
    </row>
    <row r="530">
      <c r="A530" s="91">
        <v>1.0</v>
      </c>
      <c r="B530" s="91" t="s">
        <v>15</v>
      </c>
      <c r="C530" s="91" t="s">
        <v>694</v>
      </c>
    </row>
    <row r="531">
      <c r="A531" s="91">
        <v>1.0</v>
      </c>
      <c r="B531" s="91" t="s">
        <v>15</v>
      </c>
      <c r="C531" s="91" t="s">
        <v>405</v>
      </c>
    </row>
    <row r="532">
      <c r="A532" s="91">
        <v>1.0</v>
      </c>
      <c r="B532" s="91" t="s">
        <v>15</v>
      </c>
      <c r="C532" s="91" t="s">
        <v>356</v>
      </c>
    </row>
    <row r="533">
      <c r="A533" s="91">
        <v>1.0</v>
      </c>
      <c r="B533" s="91" t="s">
        <v>15</v>
      </c>
      <c r="C533" s="91" t="s">
        <v>157</v>
      </c>
    </row>
    <row r="534">
      <c r="A534" s="91">
        <v>1.0</v>
      </c>
      <c r="B534" s="91" t="s">
        <v>15</v>
      </c>
      <c r="C534" s="91" t="s">
        <v>2057</v>
      </c>
    </row>
    <row r="535">
      <c r="A535" s="91">
        <v>1.0</v>
      </c>
      <c r="B535" s="91" t="s">
        <v>15</v>
      </c>
      <c r="C535" s="91" t="s">
        <v>1290</v>
      </c>
    </row>
    <row r="536">
      <c r="A536" s="91">
        <v>1.0</v>
      </c>
      <c r="B536" s="91" t="s">
        <v>15</v>
      </c>
      <c r="C536" s="91" t="s">
        <v>1640</v>
      </c>
    </row>
    <row r="537">
      <c r="A537" s="91">
        <v>1.0</v>
      </c>
      <c r="B537" s="91" t="s">
        <v>15</v>
      </c>
      <c r="C537" s="91" t="s">
        <v>1498</v>
      </c>
    </row>
    <row r="538">
      <c r="A538" s="91">
        <v>1.0</v>
      </c>
      <c r="B538" s="91" t="s">
        <v>15</v>
      </c>
      <c r="C538" s="91" t="s">
        <v>52</v>
      </c>
    </row>
    <row r="539">
      <c r="A539" s="91">
        <v>1.0</v>
      </c>
      <c r="B539" s="91" t="s">
        <v>15</v>
      </c>
      <c r="C539" s="91" t="s">
        <v>38</v>
      </c>
    </row>
    <row r="540">
      <c r="A540" s="91">
        <v>1.0</v>
      </c>
      <c r="B540" s="91" t="s">
        <v>15</v>
      </c>
      <c r="C540" s="91" t="s">
        <v>3035</v>
      </c>
    </row>
    <row r="541">
      <c r="A541" s="91">
        <v>1.0</v>
      </c>
      <c r="B541" s="91" t="s">
        <v>15</v>
      </c>
      <c r="C541" s="91" t="s">
        <v>515</v>
      </c>
    </row>
    <row r="542">
      <c r="A542" s="91">
        <v>1.0</v>
      </c>
      <c r="B542" s="91" t="s">
        <v>15</v>
      </c>
      <c r="C542" s="91" t="s">
        <v>1218</v>
      </c>
    </row>
    <row r="543">
      <c r="A543" s="91">
        <v>1.0</v>
      </c>
      <c r="B543" s="91" t="s">
        <v>15</v>
      </c>
      <c r="C543" s="91" t="s">
        <v>3163</v>
      </c>
    </row>
    <row r="544">
      <c r="A544" s="91">
        <v>1.0</v>
      </c>
      <c r="B544" s="91" t="s">
        <v>15</v>
      </c>
      <c r="C544" s="91" t="s">
        <v>1626</v>
      </c>
    </row>
    <row r="545">
      <c r="A545" s="91">
        <v>1.0</v>
      </c>
      <c r="B545" s="91" t="s">
        <v>15</v>
      </c>
      <c r="C545" s="91" t="s">
        <v>765</v>
      </c>
    </row>
    <row r="546">
      <c r="A546" s="91">
        <v>1.0</v>
      </c>
      <c r="B546" s="91" t="s">
        <v>15</v>
      </c>
      <c r="C546" s="91" t="s">
        <v>1207</v>
      </c>
    </row>
    <row r="547">
      <c r="A547" s="91">
        <v>1.0</v>
      </c>
      <c r="B547" s="91" t="s">
        <v>15</v>
      </c>
      <c r="C547" s="91" t="s">
        <v>2412</v>
      </c>
    </row>
    <row r="548">
      <c r="A548" s="91">
        <v>1.0</v>
      </c>
      <c r="B548" s="91" t="s">
        <v>15</v>
      </c>
      <c r="C548" s="91" t="s">
        <v>1171</v>
      </c>
    </row>
    <row r="549">
      <c r="A549" s="91">
        <v>1.0</v>
      </c>
      <c r="B549" s="91" t="s">
        <v>15</v>
      </c>
      <c r="C549" s="91" t="s">
        <v>3164</v>
      </c>
    </row>
    <row r="550">
      <c r="A550" s="91">
        <v>1.0</v>
      </c>
      <c r="B550" s="91" t="s">
        <v>15</v>
      </c>
      <c r="C550" s="91" t="s">
        <v>350</v>
      </c>
    </row>
    <row r="551">
      <c r="A551" s="91">
        <v>1.0</v>
      </c>
      <c r="B551" s="91" t="s">
        <v>15</v>
      </c>
      <c r="C551" s="91" t="s">
        <v>1256</v>
      </c>
    </row>
    <row r="552">
      <c r="A552" s="91">
        <v>1.0</v>
      </c>
      <c r="B552" s="91" t="s">
        <v>15</v>
      </c>
      <c r="C552" s="91" t="s">
        <v>1223</v>
      </c>
    </row>
    <row r="553">
      <c r="A553" s="91">
        <v>1.0</v>
      </c>
      <c r="B553" s="91" t="s">
        <v>15</v>
      </c>
      <c r="C553" s="91" t="s">
        <v>368</v>
      </c>
    </row>
    <row r="554">
      <c r="A554" s="91">
        <v>1.0</v>
      </c>
      <c r="B554" s="91" t="s">
        <v>15</v>
      </c>
      <c r="C554" s="91" t="s">
        <v>2051</v>
      </c>
    </row>
    <row r="555">
      <c r="A555" s="91">
        <v>1.0</v>
      </c>
      <c r="B555" s="91" t="s">
        <v>15</v>
      </c>
      <c r="C555" s="91" t="s">
        <v>326</v>
      </c>
    </row>
    <row r="556">
      <c r="A556" s="91">
        <v>1.0</v>
      </c>
      <c r="B556" s="91" t="s">
        <v>15</v>
      </c>
      <c r="C556" s="91" t="s">
        <v>216</v>
      </c>
    </row>
    <row r="557">
      <c r="A557" s="91">
        <v>1.0</v>
      </c>
      <c r="B557" s="91" t="s">
        <v>15</v>
      </c>
      <c r="C557" s="91" t="s">
        <v>2277</v>
      </c>
    </row>
    <row r="558">
      <c r="A558" s="91">
        <v>1.0</v>
      </c>
      <c r="B558" s="91" t="s">
        <v>15</v>
      </c>
      <c r="C558" s="91" t="s">
        <v>1560</v>
      </c>
    </row>
    <row r="559">
      <c r="A559" s="91">
        <v>1.0</v>
      </c>
      <c r="B559" s="91" t="s">
        <v>15</v>
      </c>
      <c r="C559" s="91" t="s">
        <v>1504</v>
      </c>
    </row>
    <row r="560">
      <c r="A560" s="91">
        <v>1.0</v>
      </c>
      <c r="B560" s="91" t="s">
        <v>15</v>
      </c>
      <c r="C560" s="91" t="s">
        <v>2260</v>
      </c>
    </row>
    <row r="561">
      <c r="A561" s="91">
        <v>1.0</v>
      </c>
      <c r="B561" s="91" t="s">
        <v>15</v>
      </c>
      <c r="C561" s="91" t="s">
        <v>759</v>
      </c>
    </row>
    <row r="562">
      <c r="A562" s="91">
        <v>1.0</v>
      </c>
      <c r="B562" s="91" t="s">
        <v>15</v>
      </c>
      <c r="C562" s="91" t="s">
        <v>664</v>
      </c>
    </row>
    <row r="563">
      <c r="A563" s="91">
        <v>1.0</v>
      </c>
      <c r="B563" s="91" t="s">
        <v>15</v>
      </c>
      <c r="C563" s="91" t="s">
        <v>2226</v>
      </c>
    </row>
    <row r="564">
      <c r="A564" s="91">
        <v>1.0</v>
      </c>
      <c r="B564" s="91" t="s">
        <v>15</v>
      </c>
      <c r="C564" s="91" t="s">
        <v>240</v>
      </c>
    </row>
    <row r="565">
      <c r="A565" s="91">
        <v>1.0</v>
      </c>
      <c r="B565" s="91" t="s">
        <v>15</v>
      </c>
      <c r="C565" s="91" t="s">
        <v>658</v>
      </c>
    </row>
    <row r="566">
      <c r="A566" s="91">
        <v>1.0</v>
      </c>
      <c r="B566" s="91" t="s">
        <v>15</v>
      </c>
      <c r="C566" s="91" t="s">
        <v>1215</v>
      </c>
    </row>
    <row r="567">
      <c r="A567" s="91">
        <v>1.0</v>
      </c>
      <c r="B567" s="91" t="s">
        <v>15</v>
      </c>
      <c r="C567" s="91" t="s">
        <v>1400</v>
      </c>
    </row>
    <row r="568">
      <c r="A568" s="91">
        <v>1.0</v>
      </c>
      <c r="B568" s="91" t="s">
        <v>15</v>
      </c>
      <c r="C568" s="91" t="s">
        <v>261</v>
      </c>
    </row>
    <row r="569">
      <c r="A569" s="91">
        <v>1.0</v>
      </c>
      <c r="B569" s="91" t="s">
        <v>15</v>
      </c>
      <c r="C569" s="91" t="s">
        <v>711</v>
      </c>
    </row>
    <row r="570">
      <c r="A570" s="91">
        <v>1.0</v>
      </c>
      <c r="B570" s="91" t="s">
        <v>15</v>
      </c>
      <c r="C570" s="91" t="s">
        <v>1112</v>
      </c>
    </row>
    <row r="571">
      <c r="A571" s="91">
        <v>1.0</v>
      </c>
      <c r="B571" s="91" t="s">
        <v>15</v>
      </c>
      <c r="C571" s="91" t="s">
        <v>337</v>
      </c>
    </row>
    <row r="572">
      <c r="A572" s="91">
        <v>1.0</v>
      </c>
      <c r="B572" s="91" t="s">
        <v>15</v>
      </c>
      <c r="C572" s="91" t="s">
        <v>1364</v>
      </c>
    </row>
    <row r="573">
      <c r="A573" s="91">
        <v>1.0</v>
      </c>
      <c r="B573" s="91" t="s">
        <v>15</v>
      </c>
      <c r="C573" s="91" t="s">
        <v>934</v>
      </c>
    </row>
    <row r="574">
      <c r="A574" s="91">
        <v>1.0</v>
      </c>
      <c r="B574" s="91" t="s">
        <v>15</v>
      </c>
      <c r="C574" s="91" t="s">
        <v>2065</v>
      </c>
    </row>
    <row r="575">
      <c r="A575" s="91">
        <v>1.0</v>
      </c>
      <c r="B575" s="91" t="s">
        <v>15</v>
      </c>
      <c r="C575" s="91" t="s">
        <v>1266</v>
      </c>
    </row>
    <row r="576">
      <c r="A576" s="91">
        <v>1.0</v>
      </c>
      <c r="B576" s="91" t="s">
        <v>15</v>
      </c>
      <c r="C576" s="91" t="s">
        <v>812</v>
      </c>
    </row>
    <row r="577">
      <c r="A577" s="91">
        <v>1.0</v>
      </c>
      <c r="B577" s="91" t="s">
        <v>15</v>
      </c>
      <c r="C577" s="91" t="s">
        <v>2215</v>
      </c>
    </row>
    <row r="578">
      <c r="A578" s="91">
        <v>1.0</v>
      </c>
      <c r="B578" s="91" t="s">
        <v>15</v>
      </c>
      <c r="C578" s="91" t="s">
        <v>2349</v>
      </c>
    </row>
    <row r="579">
      <c r="A579" s="91">
        <v>1.0</v>
      </c>
      <c r="B579" s="91" t="s">
        <v>15</v>
      </c>
      <c r="C579" s="91" t="s">
        <v>413</v>
      </c>
    </row>
    <row r="580">
      <c r="A580" s="91">
        <v>1.0</v>
      </c>
      <c r="B580" s="91" t="s">
        <v>15</v>
      </c>
      <c r="C580" s="91" t="s">
        <v>320</v>
      </c>
    </row>
    <row r="581">
      <c r="A581" s="91">
        <v>1.0</v>
      </c>
      <c r="B581" s="91" t="s">
        <v>15</v>
      </c>
      <c r="C581" s="91" t="s">
        <v>199</v>
      </c>
    </row>
    <row r="582">
      <c r="A582" s="91">
        <v>1.0</v>
      </c>
      <c r="B582" s="91" t="s">
        <v>15</v>
      </c>
      <c r="C582" s="91" t="s">
        <v>87</v>
      </c>
    </row>
    <row r="583">
      <c r="A583" s="91">
        <v>1.0</v>
      </c>
      <c r="B583" s="91" t="s">
        <v>15</v>
      </c>
      <c r="C583" s="91" t="s">
        <v>1020</v>
      </c>
    </row>
    <row r="584">
      <c r="A584" s="91">
        <v>1.0</v>
      </c>
      <c r="B584" s="91" t="s">
        <v>15</v>
      </c>
      <c r="C584" s="91" t="s">
        <v>1687</v>
      </c>
    </row>
    <row r="585">
      <c r="A585" s="91">
        <v>1.0</v>
      </c>
      <c r="B585" s="91" t="s">
        <v>15</v>
      </c>
      <c r="C585" s="91" t="s">
        <v>835</v>
      </c>
    </row>
    <row r="586">
      <c r="A586" s="91">
        <v>1.0</v>
      </c>
      <c r="B586" s="91" t="s">
        <v>15</v>
      </c>
      <c r="C586" s="91" t="s">
        <v>250</v>
      </c>
    </row>
    <row r="587">
      <c r="A587" s="91">
        <v>1.0</v>
      </c>
      <c r="B587" s="91" t="s">
        <v>15</v>
      </c>
      <c r="C587" s="91" t="s">
        <v>303</v>
      </c>
    </row>
    <row r="588">
      <c r="A588" s="91">
        <v>1.0</v>
      </c>
      <c r="B588" s="91" t="s">
        <v>15</v>
      </c>
      <c r="C588" s="91" t="s">
        <v>877</v>
      </c>
    </row>
    <row r="589">
      <c r="A589" s="91">
        <v>1.0</v>
      </c>
      <c r="B589" s="91" t="s">
        <v>15</v>
      </c>
      <c r="C589" s="91" t="s">
        <v>3165</v>
      </c>
    </row>
    <row r="590">
      <c r="A590" s="91">
        <v>1.0</v>
      </c>
      <c r="B590" s="91" t="s">
        <v>15</v>
      </c>
      <c r="C590" s="91" t="s">
        <v>3166</v>
      </c>
    </row>
    <row r="591">
      <c r="A591" s="91">
        <v>1.0</v>
      </c>
      <c r="B591" s="91" t="s">
        <v>15</v>
      </c>
      <c r="C591" s="91" t="s">
        <v>3167</v>
      </c>
    </row>
    <row r="592">
      <c r="A592" s="91">
        <v>1.0</v>
      </c>
      <c r="B592" s="91" t="s">
        <v>15</v>
      </c>
      <c r="C592" s="91" t="s">
        <v>1456</v>
      </c>
    </row>
    <row r="593">
      <c r="A593" s="91">
        <v>1.0</v>
      </c>
      <c r="B593" s="91" t="s">
        <v>3168</v>
      </c>
      <c r="C593" s="91" t="s">
        <v>1662</v>
      </c>
    </row>
    <row r="594">
      <c r="A594" s="91">
        <v>1.0</v>
      </c>
      <c r="B594" s="91" t="s">
        <v>3169</v>
      </c>
      <c r="C594" s="91" t="s">
        <v>255</v>
      </c>
    </row>
    <row r="595">
      <c r="A595" s="91">
        <v>1.0</v>
      </c>
      <c r="B595" s="91" t="s">
        <v>3170</v>
      </c>
      <c r="C595" s="91" t="s">
        <v>255</v>
      </c>
    </row>
    <row r="596">
      <c r="A596" s="91">
        <v>1.0</v>
      </c>
      <c r="B596" s="91" t="s">
        <v>3171</v>
      </c>
      <c r="C596" s="91" t="s">
        <v>255</v>
      </c>
    </row>
    <row r="597">
      <c r="A597" s="91">
        <v>1.0</v>
      </c>
      <c r="B597" s="91" t="s">
        <v>3172</v>
      </c>
      <c r="C597" s="91" t="s">
        <v>2057</v>
      </c>
    </row>
    <row r="598">
      <c r="A598" s="91">
        <v>1.0</v>
      </c>
      <c r="B598" s="91" t="s">
        <v>3173</v>
      </c>
      <c r="C598" s="91" t="s">
        <v>205</v>
      </c>
    </row>
    <row r="599">
      <c r="A599" s="91">
        <v>1.0</v>
      </c>
      <c r="B599" s="91" t="s">
        <v>3174</v>
      </c>
      <c r="C599" s="91" t="s">
        <v>3138</v>
      </c>
    </row>
    <row r="600">
      <c r="A600" s="91">
        <v>1.0</v>
      </c>
      <c r="B600" s="91" t="s">
        <v>3175</v>
      </c>
      <c r="C600" s="91" t="s">
        <v>285</v>
      </c>
    </row>
    <row r="601">
      <c r="A601" s="91">
        <v>1.0</v>
      </c>
      <c r="B601" s="91" t="s">
        <v>3176</v>
      </c>
      <c r="C601" s="91" t="s">
        <v>285</v>
      </c>
    </row>
    <row r="602">
      <c r="A602" s="91">
        <v>1.0</v>
      </c>
      <c r="B602" s="91" t="s">
        <v>3177</v>
      </c>
      <c r="C602" s="91" t="s">
        <v>705</v>
      </c>
    </row>
    <row r="603">
      <c r="A603" s="91">
        <v>1.0</v>
      </c>
      <c r="B603" s="91" t="s">
        <v>3178</v>
      </c>
      <c r="C603" s="91" t="s">
        <v>430</v>
      </c>
    </row>
    <row r="604">
      <c r="A604" s="91">
        <v>1.0</v>
      </c>
      <c r="B604" s="91" t="s">
        <v>3179</v>
      </c>
      <c r="C604" s="91" t="s">
        <v>430</v>
      </c>
    </row>
    <row r="605">
      <c r="A605" s="91">
        <v>1.0</v>
      </c>
      <c r="B605" s="91" t="s">
        <v>3180</v>
      </c>
      <c r="C605" s="91" t="s">
        <v>1106</v>
      </c>
    </row>
    <row r="606">
      <c r="A606" s="91">
        <v>1.0</v>
      </c>
      <c r="B606" s="91" t="s">
        <v>3181</v>
      </c>
      <c r="C606" s="91" t="s">
        <v>399</v>
      </c>
    </row>
    <row r="607">
      <c r="A607" s="91">
        <v>1.0</v>
      </c>
      <c r="B607" s="91" t="s">
        <v>3182</v>
      </c>
      <c r="C607" s="91" t="s">
        <v>1493</v>
      </c>
    </row>
    <row r="608">
      <c r="A608" s="91">
        <v>1.0</v>
      </c>
      <c r="B608" s="91" t="s">
        <v>3183</v>
      </c>
      <c r="C608" s="91" t="s">
        <v>579</v>
      </c>
    </row>
    <row r="609">
      <c r="A609" s="91">
        <v>1.0</v>
      </c>
      <c r="B609" s="91" t="s">
        <v>3184</v>
      </c>
      <c r="C609" s="91" t="s">
        <v>1406</v>
      </c>
    </row>
    <row r="610">
      <c r="A610" s="91">
        <v>1.0</v>
      </c>
      <c r="B610" s="91" t="s">
        <v>3185</v>
      </c>
      <c r="C610" s="91" t="s">
        <v>234</v>
      </c>
    </row>
    <row r="611">
      <c r="A611" s="91">
        <v>1.0</v>
      </c>
      <c r="B611" s="91" t="s">
        <v>3186</v>
      </c>
      <c r="C611" s="91" t="s">
        <v>2799</v>
      </c>
    </row>
    <row r="612">
      <c r="A612" s="91">
        <v>1.0</v>
      </c>
      <c r="B612" s="91" t="s">
        <v>3187</v>
      </c>
      <c r="C612" s="91" t="s">
        <v>211</v>
      </c>
    </row>
    <row r="613">
      <c r="A613" s="91">
        <v>1.0</v>
      </c>
      <c r="B613" s="91" t="s">
        <v>3188</v>
      </c>
      <c r="C613" s="91" t="s">
        <v>211</v>
      </c>
    </row>
    <row r="614">
      <c r="A614" s="91">
        <v>1.0</v>
      </c>
      <c r="B614" s="91" t="s">
        <v>3189</v>
      </c>
      <c r="C614" s="91" t="s">
        <v>211</v>
      </c>
    </row>
    <row r="615">
      <c r="A615" s="91">
        <v>1.0</v>
      </c>
      <c r="B615" s="91" t="s">
        <v>3190</v>
      </c>
      <c r="C615" s="91" t="s">
        <v>705</v>
      </c>
    </row>
    <row r="616">
      <c r="A616" s="91">
        <v>1.0</v>
      </c>
      <c r="B616" s="91" t="s">
        <v>3191</v>
      </c>
      <c r="C616" s="91" t="s">
        <v>705</v>
      </c>
    </row>
    <row r="617">
      <c r="A617" s="91">
        <v>1.0</v>
      </c>
      <c r="B617" s="91" t="s">
        <v>2912</v>
      </c>
      <c r="C617" s="91" t="s">
        <v>3192</v>
      </c>
    </row>
    <row r="618">
      <c r="A618" s="91">
        <v>1.0</v>
      </c>
      <c r="B618" s="91" t="s">
        <v>2912</v>
      </c>
      <c r="C618" s="91" t="s">
        <v>2922</v>
      </c>
    </row>
    <row r="619">
      <c r="A619" s="91">
        <v>1.0</v>
      </c>
      <c r="B619" s="91" t="s">
        <v>3193</v>
      </c>
      <c r="C619" s="91" t="s">
        <v>1542</v>
      </c>
    </row>
    <row r="620">
      <c r="A620" s="91">
        <v>1.0</v>
      </c>
      <c r="B620" s="91" t="s">
        <v>3194</v>
      </c>
      <c r="C620" s="91" t="s">
        <v>343</v>
      </c>
    </row>
    <row r="621">
      <c r="A621" s="91">
        <v>1.0</v>
      </c>
      <c r="B621" s="91" t="s">
        <v>3195</v>
      </c>
      <c r="C621" s="91" t="s">
        <v>2325</v>
      </c>
    </row>
    <row r="622">
      <c r="A622" s="91">
        <v>1.0</v>
      </c>
      <c r="B622" s="91" t="s">
        <v>3196</v>
      </c>
      <c r="C622" s="91" t="s">
        <v>1403</v>
      </c>
    </row>
    <row r="623">
      <c r="A623" s="91">
        <v>1.0</v>
      </c>
      <c r="B623" s="91" t="s">
        <v>3197</v>
      </c>
      <c r="C623" s="91" t="s">
        <v>1403</v>
      </c>
    </row>
    <row r="624">
      <c r="A624" s="91">
        <v>1.0</v>
      </c>
      <c r="B624" s="91" t="s">
        <v>3198</v>
      </c>
      <c r="C624" s="91" t="s">
        <v>399</v>
      </c>
    </row>
    <row r="625">
      <c r="A625" s="91">
        <v>1.0</v>
      </c>
      <c r="B625" s="91" t="s">
        <v>3199</v>
      </c>
      <c r="C625" s="91" t="s">
        <v>374</v>
      </c>
    </row>
    <row r="626">
      <c r="A626" s="91">
        <v>1.0</v>
      </c>
      <c r="B626" s="91" t="s">
        <v>3200</v>
      </c>
      <c r="C626" s="91" t="s">
        <v>479</v>
      </c>
    </row>
    <row r="627">
      <c r="A627" s="91">
        <v>1.0</v>
      </c>
      <c r="B627" s="91" t="s">
        <v>3201</v>
      </c>
      <c r="C627" s="91" t="s">
        <v>479</v>
      </c>
    </row>
    <row r="628">
      <c r="A628" s="91">
        <v>1.0</v>
      </c>
      <c r="B628" s="91" t="s">
        <v>3202</v>
      </c>
      <c r="C628" s="91" t="s">
        <v>1325</v>
      </c>
    </row>
    <row r="629">
      <c r="A629" s="91">
        <v>1.0</v>
      </c>
      <c r="B629" s="91" t="s">
        <v>3203</v>
      </c>
      <c r="C629" s="91" t="s">
        <v>1088</v>
      </c>
    </row>
    <row r="630">
      <c r="A630" s="91">
        <v>1.0</v>
      </c>
      <c r="B630" s="91" t="s">
        <v>3204</v>
      </c>
      <c r="C630" s="91" t="s">
        <v>1088</v>
      </c>
    </row>
    <row r="631">
      <c r="A631" s="91">
        <v>1.0</v>
      </c>
      <c r="B631" s="91" t="s">
        <v>3205</v>
      </c>
      <c r="C631" s="91" t="s">
        <v>3161</v>
      </c>
    </row>
    <row r="632">
      <c r="A632" s="91">
        <v>1.0</v>
      </c>
      <c r="B632" s="91" t="s">
        <v>3206</v>
      </c>
      <c r="C632" s="91" t="s">
        <v>716</v>
      </c>
    </row>
    <row r="633">
      <c r="A633" s="91">
        <v>1.0</v>
      </c>
      <c r="B633" s="91" t="s">
        <v>3207</v>
      </c>
      <c r="C633" s="91" t="s">
        <v>2215</v>
      </c>
    </row>
    <row r="634">
      <c r="A634" s="91">
        <v>1.0</v>
      </c>
      <c r="B634" s="91" t="s">
        <v>3208</v>
      </c>
      <c r="C634" s="91" t="s">
        <v>234</v>
      </c>
    </row>
    <row r="635">
      <c r="A635" s="91">
        <v>1.0</v>
      </c>
      <c r="B635" s="91" t="s">
        <v>3209</v>
      </c>
      <c r="C635" s="91" t="s">
        <v>374</v>
      </c>
    </row>
    <row r="636">
      <c r="A636" s="91">
        <v>1.0</v>
      </c>
      <c r="B636" s="91" t="s">
        <v>3210</v>
      </c>
      <c r="C636" s="91" t="s">
        <v>1245</v>
      </c>
    </row>
    <row r="637">
      <c r="A637" s="91">
        <v>1.0</v>
      </c>
      <c r="B637" s="91" t="s">
        <v>2788</v>
      </c>
      <c r="C637" s="91" t="s">
        <v>752</v>
      </c>
    </row>
    <row r="638">
      <c r="A638" s="91">
        <v>1.0</v>
      </c>
      <c r="B638" s="91" t="s">
        <v>3211</v>
      </c>
      <c r="C638" s="91" t="s">
        <v>955</v>
      </c>
    </row>
    <row r="639">
      <c r="A639" s="91">
        <v>1.0</v>
      </c>
      <c r="B639" s="91" t="s">
        <v>3212</v>
      </c>
      <c r="C639" s="91" t="s">
        <v>752</v>
      </c>
    </row>
    <row r="640">
      <c r="A640" s="91">
        <v>1.0</v>
      </c>
      <c r="B640" s="91" t="s">
        <v>3213</v>
      </c>
      <c r="C640" s="91" t="s">
        <v>682</v>
      </c>
    </row>
    <row r="641">
      <c r="A641" s="91">
        <v>1.0</v>
      </c>
      <c r="B641" s="91" t="s">
        <v>3214</v>
      </c>
      <c r="C641" s="91" t="s">
        <v>682</v>
      </c>
    </row>
    <row r="642">
      <c r="A642" s="91">
        <v>1.0</v>
      </c>
      <c r="B642" s="91" t="s">
        <v>3215</v>
      </c>
      <c r="C642" s="91" t="s">
        <v>362</v>
      </c>
    </row>
    <row r="643">
      <c r="A643" s="91">
        <v>1.0</v>
      </c>
      <c r="B643" s="91" t="s">
        <v>3216</v>
      </c>
      <c r="C643" s="91" t="s">
        <v>250</v>
      </c>
    </row>
    <row r="644">
      <c r="A644" s="91">
        <v>1.0</v>
      </c>
      <c r="B644" s="91" t="s">
        <v>3217</v>
      </c>
      <c r="C644" s="91" t="s">
        <v>94</v>
      </c>
    </row>
    <row r="645">
      <c r="A645" s="91">
        <v>1.0</v>
      </c>
      <c r="B645" s="91" t="s">
        <v>3218</v>
      </c>
      <c r="C645" s="91" t="s">
        <v>955</v>
      </c>
    </row>
    <row r="646">
      <c r="A646" s="91">
        <v>1.0</v>
      </c>
      <c r="B646" s="91" t="s">
        <v>3013</v>
      </c>
      <c r="C646" s="91" t="s">
        <v>3219</v>
      </c>
    </row>
    <row r="647">
      <c r="A647" s="91">
        <v>1.0</v>
      </c>
      <c r="B647" s="91" t="s">
        <v>3013</v>
      </c>
      <c r="C647" s="91" t="s">
        <v>2044</v>
      </c>
    </row>
    <row r="648">
      <c r="A648" s="91">
        <v>1.0</v>
      </c>
      <c r="B648" s="91" t="s">
        <v>3220</v>
      </c>
      <c r="C648" s="91" t="s">
        <v>2044</v>
      </c>
    </row>
    <row r="649">
      <c r="A649" s="91">
        <v>1.0</v>
      </c>
      <c r="B649" s="91" t="s">
        <v>2806</v>
      </c>
      <c r="C649" s="91" t="s">
        <v>392</v>
      </c>
    </row>
    <row r="650">
      <c r="A650" s="91">
        <v>1.0</v>
      </c>
      <c r="B650" s="91" t="s">
        <v>3221</v>
      </c>
      <c r="C650" s="91" t="s">
        <v>2116</v>
      </c>
    </row>
    <row r="651">
      <c r="A651" s="91">
        <v>1.0</v>
      </c>
      <c r="B651" s="91" t="s">
        <v>2767</v>
      </c>
      <c r="C651" s="91" t="s">
        <v>1059</v>
      </c>
    </row>
    <row r="652">
      <c r="A652" s="91">
        <v>1.0</v>
      </c>
      <c r="B652" s="91" t="s">
        <v>2767</v>
      </c>
      <c r="C652" s="91" t="s">
        <v>549</v>
      </c>
    </row>
    <row r="653">
      <c r="A653" s="91">
        <v>1.0</v>
      </c>
      <c r="B653" s="91" t="s">
        <v>2767</v>
      </c>
      <c r="C653" s="91" t="s">
        <v>392</v>
      </c>
    </row>
    <row r="654">
      <c r="A654" s="91">
        <v>1.0</v>
      </c>
      <c r="B654" s="91" t="s">
        <v>3222</v>
      </c>
      <c r="C654" s="91" t="s">
        <v>234</v>
      </c>
    </row>
    <row r="655">
      <c r="A655" s="91">
        <v>1.0</v>
      </c>
      <c r="B655" s="91" t="s">
        <v>3223</v>
      </c>
      <c r="C655" s="91" t="s">
        <v>1418</v>
      </c>
    </row>
    <row r="656">
      <c r="A656" s="91">
        <v>1.0</v>
      </c>
      <c r="B656" s="91" t="s">
        <v>3224</v>
      </c>
      <c r="C656" s="91" t="s">
        <v>1626</v>
      </c>
    </row>
    <row r="657">
      <c r="A657" s="91">
        <v>1.0</v>
      </c>
      <c r="B657" s="91" t="s">
        <v>3225</v>
      </c>
      <c r="C657" s="91" t="s">
        <v>1626</v>
      </c>
    </row>
    <row r="658">
      <c r="A658" s="91">
        <v>1.0</v>
      </c>
      <c r="B658" s="91" t="s">
        <v>3226</v>
      </c>
      <c r="C658" s="91" t="s">
        <v>1626</v>
      </c>
    </row>
    <row r="659">
      <c r="A659" s="91">
        <v>1.0</v>
      </c>
      <c r="B659" s="91" t="s">
        <v>3227</v>
      </c>
      <c r="C659" s="91" t="s">
        <v>234</v>
      </c>
    </row>
    <row r="660">
      <c r="A660" s="91">
        <v>1.0</v>
      </c>
      <c r="B660" s="91" t="s">
        <v>3228</v>
      </c>
      <c r="C660" s="91" t="s">
        <v>234</v>
      </c>
    </row>
    <row r="661">
      <c r="A661" s="91">
        <v>1.0</v>
      </c>
      <c r="B661" s="91" t="s">
        <v>3229</v>
      </c>
      <c r="C661" s="91" t="s">
        <v>694</v>
      </c>
    </row>
    <row r="662">
      <c r="A662" s="91">
        <v>1.0</v>
      </c>
      <c r="B662" s="91" t="s">
        <v>3230</v>
      </c>
      <c r="C662" s="91" t="s">
        <v>1272</v>
      </c>
    </row>
    <row r="663">
      <c r="A663" s="91">
        <v>1.0</v>
      </c>
      <c r="B663" s="91" t="s">
        <v>3231</v>
      </c>
      <c r="C663" s="91" t="s">
        <v>1100</v>
      </c>
    </row>
    <row r="664">
      <c r="A664" s="91">
        <v>1.0</v>
      </c>
      <c r="B664" s="91" t="s">
        <v>3232</v>
      </c>
      <c r="C664" s="91" t="s">
        <v>2297</v>
      </c>
    </row>
    <row r="665">
      <c r="A665" s="91">
        <v>1.0</v>
      </c>
      <c r="B665" s="91" t="s">
        <v>3233</v>
      </c>
      <c r="C665" s="91" t="s">
        <v>569</v>
      </c>
    </row>
    <row r="666">
      <c r="A666" s="91">
        <v>1.0</v>
      </c>
      <c r="B666" s="91" t="s">
        <v>3234</v>
      </c>
      <c r="C666" s="91" t="s">
        <v>682</v>
      </c>
    </row>
    <row r="667">
      <c r="A667" s="91">
        <v>1.0</v>
      </c>
      <c r="B667" s="91" t="s">
        <v>3235</v>
      </c>
      <c r="C667" s="91" t="s">
        <v>682</v>
      </c>
    </row>
    <row r="668">
      <c r="A668" s="91">
        <v>1.0</v>
      </c>
      <c r="B668" s="91" t="s">
        <v>3236</v>
      </c>
      <c r="C668" s="91" t="s">
        <v>1059</v>
      </c>
    </row>
    <row r="669">
      <c r="A669" s="91">
        <v>1.0</v>
      </c>
      <c r="B669" s="91" t="s">
        <v>3237</v>
      </c>
      <c r="C669" s="91" t="s">
        <v>1413</v>
      </c>
    </row>
    <row r="670">
      <c r="A670" s="91">
        <v>1.0</v>
      </c>
      <c r="B670" s="91" t="s">
        <v>3238</v>
      </c>
      <c r="C670" s="91" t="s">
        <v>777</v>
      </c>
    </row>
    <row r="671">
      <c r="A671" s="91">
        <v>1.0</v>
      </c>
      <c r="B671" s="91" t="s">
        <v>3239</v>
      </c>
      <c r="C671" s="91" t="s">
        <v>549</v>
      </c>
    </row>
    <row r="672">
      <c r="A672" s="91">
        <v>1.0</v>
      </c>
      <c r="B672" s="91" t="s">
        <v>3239</v>
      </c>
      <c r="C672" s="91" t="s">
        <v>2439</v>
      </c>
    </row>
    <row r="673">
      <c r="A673" s="91">
        <v>1.0</v>
      </c>
      <c r="B673" s="91" t="s">
        <v>3240</v>
      </c>
      <c r="C673" s="91" t="s">
        <v>2266</v>
      </c>
    </row>
    <row r="674">
      <c r="A674" s="91">
        <v>1.0</v>
      </c>
      <c r="B674" s="91" t="s">
        <v>3241</v>
      </c>
      <c r="C674" s="91" t="s">
        <v>728</v>
      </c>
    </row>
    <row r="675">
      <c r="A675" s="91">
        <v>1.0</v>
      </c>
      <c r="B675" s="91" t="s">
        <v>3242</v>
      </c>
      <c r="C675" s="91" t="s">
        <v>728</v>
      </c>
    </row>
    <row r="676">
      <c r="A676" s="91">
        <v>1.0</v>
      </c>
      <c r="B676" s="91" t="s">
        <v>3243</v>
      </c>
      <c r="C676" s="91" t="s">
        <v>3061</v>
      </c>
    </row>
    <row r="677">
      <c r="A677" s="91">
        <v>1.0</v>
      </c>
      <c r="B677" s="91" t="s">
        <v>3244</v>
      </c>
      <c r="C677" s="91" t="s">
        <v>297</v>
      </c>
    </row>
    <row r="678">
      <c r="A678" s="91">
        <v>1.0</v>
      </c>
      <c r="B678" s="91" t="s">
        <v>3245</v>
      </c>
      <c r="C678" s="91" t="s">
        <v>1106</v>
      </c>
    </row>
    <row r="679">
      <c r="A679" s="91">
        <v>1.0</v>
      </c>
      <c r="B679" s="91" t="s">
        <v>3246</v>
      </c>
      <c r="C679" s="91" t="s">
        <v>1106</v>
      </c>
    </row>
    <row r="680">
      <c r="A680" s="91">
        <v>1.0</v>
      </c>
      <c r="B680" s="91" t="s">
        <v>3247</v>
      </c>
      <c r="C680" s="91" t="s">
        <v>374</v>
      </c>
    </row>
    <row r="681">
      <c r="A681" s="91">
        <v>1.0</v>
      </c>
      <c r="B681" s="91" t="s">
        <v>3248</v>
      </c>
      <c r="C681" s="91" t="s">
        <v>515</v>
      </c>
    </row>
    <row r="682">
      <c r="A682" s="91">
        <v>1.0</v>
      </c>
      <c r="B682" s="91" t="s">
        <v>3249</v>
      </c>
      <c r="C682" s="91" t="s">
        <v>3250</v>
      </c>
    </row>
    <row r="683">
      <c r="A683" s="91">
        <v>1.0</v>
      </c>
      <c r="B683" s="91" t="s">
        <v>3251</v>
      </c>
      <c r="C683" s="91" t="s">
        <v>1015</v>
      </c>
    </row>
    <row r="684">
      <c r="A684" s="91">
        <v>1.0</v>
      </c>
      <c r="B684" s="91" t="s">
        <v>3252</v>
      </c>
      <c r="C684" s="91" t="s">
        <v>1708</v>
      </c>
    </row>
    <row r="685">
      <c r="A685" s="91">
        <v>1.0</v>
      </c>
      <c r="B685" s="91" t="s">
        <v>3253</v>
      </c>
      <c r="C685" s="91" t="s">
        <v>1423</v>
      </c>
    </row>
    <row r="686">
      <c r="A686" s="91">
        <v>1.0</v>
      </c>
      <c r="B686" s="91" t="s">
        <v>3254</v>
      </c>
      <c r="C686" s="91" t="s">
        <v>1423</v>
      </c>
    </row>
    <row r="687">
      <c r="A687" s="91">
        <v>1.0</v>
      </c>
      <c r="B687" s="91" t="s">
        <v>3255</v>
      </c>
      <c r="C687" s="91" t="s">
        <v>1059</v>
      </c>
    </row>
    <row r="688">
      <c r="A688" s="91">
        <v>1.0</v>
      </c>
      <c r="B688" s="91" t="s">
        <v>3256</v>
      </c>
      <c r="C688" s="91" t="s">
        <v>1423</v>
      </c>
    </row>
    <row r="689">
      <c r="A689" s="91">
        <v>1.0</v>
      </c>
      <c r="B689" s="91" t="s">
        <v>3257</v>
      </c>
      <c r="C689" s="91" t="s">
        <v>143</v>
      </c>
    </row>
    <row r="690">
      <c r="A690" s="91">
        <v>1.0</v>
      </c>
      <c r="B690" s="91" t="s">
        <v>3020</v>
      </c>
      <c r="C690" s="91" t="s">
        <v>777</v>
      </c>
    </row>
    <row r="691">
      <c r="A691" s="91">
        <v>1.0</v>
      </c>
      <c r="B691" s="91" t="s">
        <v>3258</v>
      </c>
      <c r="C691" s="91" t="s">
        <v>356</v>
      </c>
    </row>
    <row r="692">
      <c r="A692" s="91">
        <v>1.0</v>
      </c>
      <c r="B692" s="91" t="s">
        <v>3259</v>
      </c>
      <c r="C692" s="91" t="s">
        <v>356</v>
      </c>
    </row>
    <row r="693">
      <c r="A693" s="91">
        <v>1.0</v>
      </c>
      <c r="B693" s="91" t="s">
        <v>3260</v>
      </c>
      <c r="C693" s="91" t="s">
        <v>1015</v>
      </c>
    </row>
    <row r="694">
      <c r="A694" s="91">
        <v>1.0</v>
      </c>
      <c r="B694" s="91" t="s">
        <v>3261</v>
      </c>
      <c r="C694" s="91" t="s">
        <v>1015</v>
      </c>
    </row>
    <row r="695">
      <c r="A695" s="91">
        <v>1.0</v>
      </c>
      <c r="B695" s="91" t="s">
        <v>3262</v>
      </c>
      <c r="C695" s="91" t="s">
        <v>1015</v>
      </c>
    </row>
    <row r="696">
      <c r="A696" s="91">
        <v>1.0</v>
      </c>
      <c r="B696" s="91" t="s">
        <v>3263</v>
      </c>
      <c r="C696" s="91" t="s">
        <v>699</v>
      </c>
    </row>
    <row r="697">
      <c r="A697" s="91">
        <v>1.0</v>
      </c>
      <c r="B697" s="91" t="s">
        <v>3264</v>
      </c>
      <c r="C697" s="91" t="s">
        <v>2914</v>
      </c>
    </row>
    <row r="698">
      <c r="A698" s="91">
        <v>1.0</v>
      </c>
      <c r="B698" s="91" t="s">
        <v>3265</v>
      </c>
      <c r="C698" s="91" t="s">
        <v>1579</v>
      </c>
    </row>
    <row r="699">
      <c r="A699" s="91">
        <v>1.0</v>
      </c>
      <c r="B699" s="91" t="s">
        <v>3266</v>
      </c>
      <c r="C699" s="91" t="s">
        <v>1579</v>
      </c>
    </row>
    <row r="700">
      <c r="A700" s="91">
        <v>1.0</v>
      </c>
      <c r="B700" s="91" t="s">
        <v>3267</v>
      </c>
      <c r="C700" s="91" t="s">
        <v>418</v>
      </c>
    </row>
    <row r="701">
      <c r="A701" s="91">
        <v>1.0</v>
      </c>
      <c r="B701" s="91" t="s">
        <v>3268</v>
      </c>
      <c r="C701" s="91" t="s">
        <v>1579</v>
      </c>
    </row>
    <row r="702">
      <c r="A702" s="91">
        <v>1.0</v>
      </c>
      <c r="B702" s="91" t="s">
        <v>3269</v>
      </c>
      <c r="C702" s="91" t="s">
        <v>1579</v>
      </c>
    </row>
    <row r="703">
      <c r="A703" s="91">
        <v>1.0</v>
      </c>
      <c r="B703" s="91" t="s">
        <v>3270</v>
      </c>
      <c r="C703" s="91" t="s">
        <v>1579</v>
      </c>
    </row>
    <row r="704">
      <c r="A704" s="91">
        <v>1.0</v>
      </c>
      <c r="B704" s="91" t="s">
        <v>3271</v>
      </c>
      <c r="C704" s="91" t="s">
        <v>157</v>
      </c>
    </row>
    <row r="705">
      <c r="A705" s="91">
        <v>1.0</v>
      </c>
      <c r="B705" s="91" t="s">
        <v>3272</v>
      </c>
      <c r="C705" s="91" t="s">
        <v>157</v>
      </c>
    </row>
    <row r="706">
      <c r="A706" s="91">
        <v>1.0</v>
      </c>
      <c r="B706" s="91" t="s">
        <v>3273</v>
      </c>
      <c r="C706" s="91" t="s">
        <v>1495</v>
      </c>
    </row>
    <row r="707">
      <c r="A707" s="91">
        <v>1.0</v>
      </c>
      <c r="B707" s="91" t="s">
        <v>3274</v>
      </c>
      <c r="C707" s="91" t="s">
        <v>1495</v>
      </c>
    </row>
    <row r="708">
      <c r="A708" s="91">
        <v>1.0</v>
      </c>
      <c r="B708" s="91" t="s">
        <v>3275</v>
      </c>
      <c r="C708" s="91" t="s">
        <v>3276</v>
      </c>
    </row>
    <row r="709">
      <c r="A709" s="91">
        <v>1.0</v>
      </c>
      <c r="B709" s="91" t="s">
        <v>3277</v>
      </c>
      <c r="C709" s="91" t="s">
        <v>2057</v>
      </c>
    </row>
    <row r="710">
      <c r="A710" s="91">
        <v>1.0</v>
      </c>
      <c r="B710" s="91" t="s">
        <v>3278</v>
      </c>
      <c r="C710" s="91" t="s">
        <v>740</v>
      </c>
    </row>
    <row r="711">
      <c r="A711" s="91">
        <v>1.0</v>
      </c>
      <c r="B711" s="91" t="s">
        <v>3279</v>
      </c>
      <c r="C711" s="91" t="s">
        <v>1337</v>
      </c>
    </row>
    <row r="712">
      <c r="A712" s="91">
        <v>1.0</v>
      </c>
      <c r="B712" s="91" t="s">
        <v>3280</v>
      </c>
      <c r="C712" s="91" t="s">
        <v>543</v>
      </c>
    </row>
    <row r="713">
      <c r="A713" s="91">
        <v>1.0</v>
      </c>
      <c r="B713" s="91" t="s">
        <v>3281</v>
      </c>
      <c r="C713" s="91" t="s">
        <v>543</v>
      </c>
    </row>
    <row r="714">
      <c r="A714" s="91">
        <v>1.0</v>
      </c>
      <c r="B714" s="91" t="s">
        <v>3282</v>
      </c>
      <c r="C714" s="91" t="s">
        <v>1290</v>
      </c>
    </row>
    <row r="715">
      <c r="A715" s="91">
        <v>1.0</v>
      </c>
      <c r="B715" s="91" t="s">
        <v>3283</v>
      </c>
      <c r="C715" s="91" t="s">
        <v>1579</v>
      </c>
    </row>
    <row r="716">
      <c r="A716" s="91">
        <v>1.0</v>
      </c>
      <c r="B716" s="91" t="s">
        <v>3284</v>
      </c>
      <c r="C716" s="91" t="s">
        <v>1094</v>
      </c>
    </row>
    <row r="717">
      <c r="A717" s="91">
        <v>1.0</v>
      </c>
      <c r="B717" s="91" t="s">
        <v>3285</v>
      </c>
      <c r="C717" s="91" t="s">
        <v>2439</v>
      </c>
    </row>
    <row r="718">
      <c r="A718" s="91">
        <v>1.0</v>
      </c>
      <c r="B718" s="91" t="s">
        <v>3286</v>
      </c>
      <c r="C718" s="91" t="s">
        <v>2439</v>
      </c>
    </row>
    <row r="719">
      <c r="A719" s="91">
        <v>1.0</v>
      </c>
      <c r="B719" s="91" t="s">
        <v>3287</v>
      </c>
      <c r="C719" s="91" t="s">
        <v>3288</v>
      </c>
    </row>
    <row r="720">
      <c r="A720" s="91">
        <v>1.0</v>
      </c>
      <c r="B720" s="91" t="s">
        <v>3289</v>
      </c>
      <c r="C720" s="91" t="s">
        <v>326</v>
      </c>
    </row>
    <row r="721">
      <c r="A721" s="91">
        <v>1.0</v>
      </c>
      <c r="B721" s="91" t="s">
        <v>3290</v>
      </c>
      <c r="C721" s="91" t="s">
        <v>418</v>
      </c>
    </row>
    <row r="722">
      <c r="A722" s="91">
        <v>1.0</v>
      </c>
      <c r="B722" s="91" t="s">
        <v>3291</v>
      </c>
      <c r="C722" s="91" t="s">
        <v>2914</v>
      </c>
    </row>
    <row r="723">
      <c r="A723" s="91">
        <v>1.0</v>
      </c>
      <c r="B723" s="91" t="s">
        <v>3292</v>
      </c>
      <c r="C723" s="91" t="s">
        <v>2083</v>
      </c>
    </row>
    <row r="724">
      <c r="A724" s="91">
        <v>1.0</v>
      </c>
      <c r="B724" s="91" t="s">
        <v>3292</v>
      </c>
      <c r="C724" s="91" t="s">
        <v>1082</v>
      </c>
    </row>
    <row r="725">
      <c r="A725" s="91">
        <v>1.0</v>
      </c>
      <c r="B725" s="91" t="s">
        <v>3293</v>
      </c>
      <c r="C725" s="91" t="s">
        <v>3294</v>
      </c>
    </row>
    <row r="726">
      <c r="A726" s="91">
        <v>1.0</v>
      </c>
      <c r="B726" s="91" t="s">
        <v>3295</v>
      </c>
      <c r="C726" s="91" t="s">
        <v>3035</v>
      </c>
    </row>
    <row r="727">
      <c r="A727" s="91">
        <v>1.0</v>
      </c>
      <c r="B727" s="91" t="s">
        <v>3296</v>
      </c>
      <c r="C727" s="91" t="s">
        <v>1290</v>
      </c>
    </row>
    <row r="728">
      <c r="A728" s="91">
        <v>1.0</v>
      </c>
      <c r="B728" s="91" t="s">
        <v>3297</v>
      </c>
      <c r="C728" s="91" t="s">
        <v>1603</v>
      </c>
    </row>
    <row r="729">
      <c r="A729" s="91">
        <v>1.0</v>
      </c>
      <c r="B729" s="91" t="s">
        <v>3298</v>
      </c>
      <c r="C729" s="91" t="s">
        <v>424</v>
      </c>
    </row>
    <row r="730">
      <c r="A730" s="91">
        <v>1.0</v>
      </c>
      <c r="B730" s="91" t="s">
        <v>3299</v>
      </c>
      <c r="C730" s="91" t="s">
        <v>1159</v>
      </c>
    </row>
    <row r="731">
      <c r="A731" s="91">
        <v>1.0</v>
      </c>
      <c r="B731" s="91" t="s">
        <v>3300</v>
      </c>
      <c r="C731" s="91" t="s">
        <v>1376</v>
      </c>
    </row>
    <row r="732">
      <c r="A732" s="91">
        <v>1.0</v>
      </c>
      <c r="B732" s="91" t="s">
        <v>2768</v>
      </c>
      <c r="C732" s="91" t="s">
        <v>2439</v>
      </c>
    </row>
    <row r="733">
      <c r="A733" s="91">
        <v>1.0</v>
      </c>
      <c r="B733" s="91" t="s">
        <v>2862</v>
      </c>
      <c r="C733" s="91" t="s">
        <v>2439</v>
      </c>
    </row>
    <row r="734">
      <c r="A734" s="91">
        <v>1.0</v>
      </c>
      <c r="B734" s="91" t="s">
        <v>3301</v>
      </c>
      <c r="C734" s="91" t="s">
        <v>1603</v>
      </c>
    </row>
    <row r="735">
      <c r="A735" s="91">
        <v>1.0</v>
      </c>
      <c r="B735" s="91" t="s">
        <v>3302</v>
      </c>
      <c r="C735" s="91" t="s">
        <v>3031</v>
      </c>
    </row>
    <row r="736">
      <c r="A736" s="91">
        <v>1.0</v>
      </c>
      <c r="B736" s="91" t="s">
        <v>3303</v>
      </c>
      <c r="C736" s="91" t="s">
        <v>3032</v>
      </c>
    </row>
    <row r="737">
      <c r="A737" s="91">
        <v>1.0</v>
      </c>
      <c r="B737" s="91" t="s">
        <v>3304</v>
      </c>
      <c r="C737" s="91" t="s">
        <v>3305</v>
      </c>
    </row>
    <row r="738">
      <c r="A738" s="91">
        <v>1.0</v>
      </c>
      <c r="B738" s="91" t="s">
        <v>3304</v>
      </c>
      <c r="C738" s="91" t="s">
        <v>3031</v>
      </c>
    </row>
    <row r="739">
      <c r="A739" s="91">
        <v>1.0</v>
      </c>
      <c r="B739" s="91" t="s">
        <v>3306</v>
      </c>
      <c r="C739" s="91" t="s">
        <v>94</v>
      </c>
    </row>
    <row r="740">
      <c r="A740" s="91">
        <v>1.0</v>
      </c>
      <c r="B740" s="91" t="s">
        <v>3307</v>
      </c>
      <c r="C740" s="91" t="s">
        <v>1009</v>
      </c>
    </row>
    <row r="741">
      <c r="A741" s="91">
        <v>1.0</v>
      </c>
      <c r="B741" s="91" t="s">
        <v>3308</v>
      </c>
      <c r="C741" s="91" t="s">
        <v>877</v>
      </c>
    </row>
    <row r="742">
      <c r="A742" s="91">
        <v>1.0</v>
      </c>
      <c r="B742" s="91" t="s">
        <v>3309</v>
      </c>
      <c r="C742" s="91" t="s">
        <v>94</v>
      </c>
    </row>
    <row r="743">
      <c r="A743" s="91">
        <v>1.0</v>
      </c>
      <c r="B743" s="91" t="s">
        <v>3310</v>
      </c>
      <c r="C743" s="91" t="s">
        <v>94</v>
      </c>
    </row>
    <row r="744">
      <c r="A744" s="91">
        <v>1.0</v>
      </c>
      <c r="B744" s="91" t="s">
        <v>3141</v>
      </c>
      <c r="C744" s="91" t="s">
        <v>2349</v>
      </c>
    </row>
    <row r="745">
      <c r="A745" s="91">
        <v>1.0</v>
      </c>
      <c r="B745" s="91" t="s">
        <v>3311</v>
      </c>
      <c r="C745" s="91" t="s">
        <v>927</v>
      </c>
    </row>
    <row r="746">
      <c r="A746" s="91">
        <v>1.0</v>
      </c>
      <c r="B746" s="91" t="s">
        <v>3312</v>
      </c>
      <c r="C746" s="91" t="s">
        <v>1573</v>
      </c>
    </row>
    <row r="747">
      <c r="A747" s="91">
        <v>1.0</v>
      </c>
      <c r="B747" s="91" t="s">
        <v>3313</v>
      </c>
      <c r="C747" s="91" t="s">
        <v>1573</v>
      </c>
    </row>
    <row r="748">
      <c r="A748" s="91">
        <v>1.0</v>
      </c>
      <c r="B748" s="91" t="s">
        <v>3314</v>
      </c>
      <c r="C748" s="91" t="s">
        <v>1573</v>
      </c>
    </row>
    <row r="749">
      <c r="A749" s="91">
        <v>1.0</v>
      </c>
      <c r="B749" s="91" t="s">
        <v>3315</v>
      </c>
      <c r="C749" s="91" t="s">
        <v>1573</v>
      </c>
    </row>
    <row r="750">
      <c r="A750" s="91">
        <v>1.0</v>
      </c>
      <c r="B750" s="91" t="s">
        <v>3316</v>
      </c>
      <c r="C750" s="91" t="s">
        <v>1047</v>
      </c>
    </row>
    <row r="751">
      <c r="A751" s="91">
        <v>1.0</v>
      </c>
      <c r="B751" s="91" t="s">
        <v>3317</v>
      </c>
      <c r="C751" s="91" t="s">
        <v>1284</v>
      </c>
    </row>
    <row r="752">
      <c r="A752" s="91">
        <v>1.0</v>
      </c>
      <c r="B752" s="91" t="s">
        <v>3318</v>
      </c>
      <c r="C752" s="91" t="s">
        <v>1603</v>
      </c>
    </row>
    <row r="753">
      <c r="A753" s="91">
        <v>1.0</v>
      </c>
      <c r="B753" s="91" t="s">
        <v>3319</v>
      </c>
      <c r="C753" s="91" t="s">
        <v>1603</v>
      </c>
    </row>
    <row r="754">
      <c r="A754" s="91">
        <v>1.0</v>
      </c>
      <c r="B754" s="91" t="s">
        <v>3320</v>
      </c>
      <c r="C754" s="91" t="s">
        <v>3145</v>
      </c>
    </row>
    <row r="755">
      <c r="A755" s="91">
        <v>1.0</v>
      </c>
      <c r="B755" s="91" t="s">
        <v>3321</v>
      </c>
      <c r="C755" s="91" t="s">
        <v>38</v>
      </c>
    </row>
    <row r="756">
      <c r="A756" s="91">
        <v>1.0</v>
      </c>
      <c r="B756" s="91" t="s">
        <v>3322</v>
      </c>
      <c r="C756" s="91" t="s">
        <v>1678</v>
      </c>
    </row>
    <row r="757">
      <c r="A757" s="91">
        <v>1.0</v>
      </c>
      <c r="B757" s="91" t="s">
        <v>3323</v>
      </c>
      <c r="C757" s="91" t="s">
        <v>2914</v>
      </c>
    </row>
    <row r="758">
      <c r="A758" s="91">
        <v>1.0</v>
      </c>
      <c r="B758" s="91" t="s">
        <v>3324</v>
      </c>
      <c r="C758" s="91" t="s">
        <v>2914</v>
      </c>
    </row>
    <row r="759">
      <c r="A759" s="91">
        <v>1.0</v>
      </c>
      <c r="B759" s="91" t="s">
        <v>3325</v>
      </c>
      <c r="C759" s="91" t="s">
        <v>2914</v>
      </c>
    </row>
    <row r="760">
      <c r="A760" s="91">
        <v>1.0</v>
      </c>
      <c r="B760" s="91" t="s">
        <v>3326</v>
      </c>
      <c r="C760" s="91" t="s">
        <v>3327</v>
      </c>
    </row>
    <row r="761">
      <c r="A761" s="91">
        <v>1.0</v>
      </c>
      <c r="B761" s="91" t="s">
        <v>3328</v>
      </c>
      <c r="C761" s="91" t="s">
        <v>3327</v>
      </c>
    </row>
    <row r="762">
      <c r="A762" s="91">
        <v>1.0</v>
      </c>
      <c r="B762" s="91" t="s">
        <v>3329</v>
      </c>
      <c r="C762" s="91" t="s">
        <v>1147</v>
      </c>
    </row>
    <row r="763">
      <c r="A763" s="91">
        <v>1.0</v>
      </c>
      <c r="B763" s="91" t="s">
        <v>3330</v>
      </c>
      <c r="C763" s="91" t="s">
        <v>3331</v>
      </c>
    </row>
    <row r="764">
      <c r="A764" s="91">
        <v>1.0</v>
      </c>
      <c r="B764" s="91" t="s">
        <v>3332</v>
      </c>
      <c r="C764" s="91" t="s">
        <v>1308</v>
      </c>
    </row>
    <row r="765">
      <c r="A765" s="91">
        <v>1.0</v>
      </c>
      <c r="B765" s="91" t="s">
        <v>3333</v>
      </c>
      <c r="C765" s="91" t="s">
        <v>108</v>
      </c>
    </row>
    <row r="766">
      <c r="A766" s="91">
        <v>1.0</v>
      </c>
      <c r="B766" s="91" t="s">
        <v>3334</v>
      </c>
      <c r="C766" s="91" t="s">
        <v>3335</v>
      </c>
    </row>
    <row r="767">
      <c r="A767" s="91">
        <v>1.0</v>
      </c>
      <c r="B767" s="91" t="s">
        <v>3336</v>
      </c>
      <c r="C767" s="91" t="s">
        <v>3335</v>
      </c>
    </row>
    <row r="768">
      <c r="A768" s="91">
        <v>1.0</v>
      </c>
      <c r="B768" s="91" t="s">
        <v>3337</v>
      </c>
      <c r="C768" s="91" t="s">
        <v>955</v>
      </c>
    </row>
    <row r="769">
      <c r="A769" s="91">
        <v>1.0</v>
      </c>
      <c r="B769" s="91" t="s">
        <v>3338</v>
      </c>
      <c r="C769" s="91" t="s">
        <v>386</v>
      </c>
    </row>
    <row r="770">
      <c r="A770" s="91">
        <v>1.0</v>
      </c>
      <c r="B770" s="91" t="s">
        <v>3339</v>
      </c>
      <c r="C770" s="91" t="s">
        <v>955</v>
      </c>
    </row>
    <row r="771">
      <c r="A771" s="91">
        <v>1.0</v>
      </c>
      <c r="B771" s="91" t="s">
        <v>3340</v>
      </c>
      <c r="C771" s="91" t="s">
        <v>1337</v>
      </c>
    </row>
    <row r="772">
      <c r="A772" s="91">
        <v>1.0</v>
      </c>
      <c r="B772" s="91" t="s">
        <v>3341</v>
      </c>
      <c r="C772" s="91" t="s">
        <v>1003</v>
      </c>
    </row>
    <row r="773">
      <c r="A773" s="91">
        <v>1.0</v>
      </c>
      <c r="B773" s="91" t="s">
        <v>3342</v>
      </c>
      <c r="C773" s="91" t="s">
        <v>646</v>
      </c>
    </row>
    <row r="774">
      <c r="A774" s="91">
        <v>1.0</v>
      </c>
      <c r="B774" s="91" t="s">
        <v>2941</v>
      </c>
      <c r="C774" s="91" t="s">
        <v>1207</v>
      </c>
    </row>
    <row r="775">
      <c r="A775" s="91">
        <v>1.0</v>
      </c>
      <c r="B775" s="91" t="s">
        <v>3343</v>
      </c>
      <c r="C775" s="91" t="s">
        <v>2955</v>
      </c>
    </row>
    <row r="776">
      <c r="A776" s="91">
        <v>1.0</v>
      </c>
      <c r="B776" s="91" t="s">
        <v>3344</v>
      </c>
      <c r="C776" s="91" t="s">
        <v>1207</v>
      </c>
    </row>
    <row r="777">
      <c r="A777" s="91">
        <v>1.0</v>
      </c>
      <c r="B777" s="91" t="s">
        <v>3345</v>
      </c>
      <c r="C777" s="91" t="s">
        <v>2238</v>
      </c>
    </row>
    <row r="778">
      <c r="A778" s="91">
        <v>1.0</v>
      </c>
      <c r="B778" s="91" t="s">
        <v>3346</v>
      </c>
      <c r="C778" s="91" t="s">
        <v>1314</v>
      </c>
    </row>
    <row r="779">
      <c r="A779" s="91">
        <v>1.0</v>
      </c>
      <c r="B779" s="91" t="s">
        <v>3347</v>
      </c>
      <c r="C779" s="91" t="s">
        <v>386</v>
      </c>
    </row>
    <row r="780">
      <c r="A780" s="91">
        <v>1.0</v>
      </c>
      <c r="B780" s="91" t="s">
        <v>3347</v>
      </c>
      <c r="C780" s="91" t="s">
        <v>829</v>
      </c>
    </row>
    <row r="781">
      <c r="A781" s="91">
        <v>1.0</v>
      </c>
      <c r="B781" s="91" t="s">
        <v>3043</v>
      </c>
      <c r="C781" s="91" t="s">
        <v>2412</v>
      </c>
    </row>
    <row r="782">
      <c r="A782" s="91">
        <v>1.0</v>
      </c>
      <c r="B782" s="91" t="s">
        <v>3348</v>
      </c>
      <c r="C782" s="91" t="s">
        <v>555</v>
      </c>
    </row>
    <row r="783">
      <c r="A783" s="91">
        <v>1.0</v>
      </c>
      <c r="B783" s="91" t="s">
        <v>3349</v>
      </c>
      <c r="C783" s="91" t="s">
        <v>1065</v>
      </c>
    </row>
    <row r="784">
      <c r="A784" s="91">
        <v>1.0</v>
      </c>
      <c r="B784" s="91" t="s">
        <v>3350</v>
      </c>
      <c r="C784" s="91" t="s">
        <v>267</v>
      </c>
    </row>
    <row r="785">
      <c r="A785" s="91">
        <v>1.0</v>
      </c>
      <c r="B785" s="91" t="s">
        <v>3351</v>
      </c>
      <c r="C785" s="91" t="s">
        <v>267</v>
      </c>
    </row>
    <row r="786">
      <c r="A786" s="91">
        <v>1.0</v>
      </c>
      <c r="B786" s="91" t="s">
        <v>2772</v>
      </c>
      <c r="C786" s="91" t="s">
        <v>1597</v>
      </c>
    </row>
    <row r="787">
      <c r="A787" s="91">
        <v>1.0</v>
      </c>
      <c r="B787" s="91" t="s">
        <v>2772</v>
      </c>
      <c r="C787" s="91" t="s">
        <v>1668</v>
      </c>
    </row>
    <row r="788">
      <c r="A788" s="91">
        <v>1.0</v>
      </c>
      <c r="B788" s="91" t="s">
        <v>3352</v>
      </c>
      <c r="C788" s="91" t="s">
        <v>267</v>
      </c>
    </row>
    <row r="789">
      <c r="A789" s="91">
        <v>1.0</v>
      </c>
      <c r="B789" s="91" t="s">
        <v>3353</v>
      </c>
      <c r="C789" s="91" t="s">
        <v>1364</v>
      </c>
    </row>
    <row r="790">
      <c r="A790" s="91">
        <v>1.0</v>
      </c>
      <c r="B790" s="91" t="s">
        <v>3354</v>
      </c>
      <c r="C790" s="91" t="s">
        <v>1031</v>
      </c>
    </row>
    <row r="791">
      <c r="A791" s="91">
        <v>1.0</v>
      </c>
      <c r="B791" s="91" t="s">
        <v>3355</v>
      </c>
      <c r="C791" s="91" t="s">
        <v>1171</v>
      </c>
    </row>
    <row r="792">
      <c r="A792" s="91">
        <v>1.0</v>
      </c>
      <c r="B792" s="91" t="s">
        <v>3356</v>
      </c>
      <c r="C792" s="91" t="s">
        <v>1031</v>
      </c>
    </row>
    <row r="793">
      <c r="A793" s="91">
        <v>1.0</v>
      </c>
      <c r="B793" s="91" t="s">
        <v>3357</v>
      </c>
      <c r="C793" s="91" t="s">
        <v>234</v>
      </c>
    </row>
    <row r="794">
      <c r="A794" s="91">
        <v>1.0</v>
      </c>
      <c r="B794" s="91" t="s">
        <v>3358</v>
      </c>
      <c r="C794" s="91" t="s">
        <v>1352</v>
      </c>
    </row>
    <row r="795">
      <c r="A795" s="91">
        <v>1.0</v>
      </c>
      <c r="B795" s="91" t="s">
        <v>3359</v>
      </c>
      <c r="C795" s="91" t="s">
        <v>509</v>
      </c>
    </row>
    <row r="796">
      <c r="A796" s="91">
        <v>1.0</v>
      </c>
      <c r="B796" s="91" t="s">
        <v>3360</v>
      </c>
      <c r="C796" s="91" t="s">
        <v>1355</v>
      </c>
    </row>
    <row r="797">
      <c r="A797" s="91">
        <v>1.0</v>
      </c>
      <c r="B797" s="91" t="s">
        <v>3361</v>
      </c>
      <c r="C797" s="91" t="s">
        <v>3164</v>
      </c>
    </row>
    <row r="798">
      <c r="A798" s="91">
        <v>1.0</v>
      </c>
      <c r="B798" s="91" t="s">
        <v>3362</v>
      </c>
      <c r="C798" s="91" t="s">
        <v>3164</v>
      </c>
    </row>
    <row r="799">
      <c r="A799" s="91">
        <v>1.0</v>
      </c>
      <c r="B799" s="91" t="s">
        <v>3363</v>
      </c>
      <c r="C799" s="91" t="s">
        <v>509</v>
      </c>
    </row>
    <row r="800">
      <c r="A800" s="91">
        <v>1.0</v>
      </c>
      <c r="B800" s="91" t="s">
        <v>3364</v>
      </c>
      <c r="C800" s="91" t="s">
        <v>228</v>
      </c>
    </row>
    <row r="801">
      <c r="A801" s="91">
        <v>1.0</v>
      </c>
      <c r="B801" s="91" t="s">
        <v>3365</v>
      </c>
      <c r="C801" s="91" t="s">
        <v>228</v>
      </c>
    </row>
    <row r="802">
      <c r="A802" s="91">
        <v>1.0</v>
      </c>
      <c r="B802" s="91" t="s">
        <v>3366</v>
      </c>
      <c r="C802" s="91" t="s">
        <v>1501</v>
      </c>
    </row>
    <row r="803">
      <c r="A803" s="91">
        <v>1.0</v>
      </c>
      <c r="B803" s="91" t="s">
        <v>3367</v>
      </c>
      <c r="C803" s="91" t="s">
        <v>1611</v>
      </c>
    </row>
    <row r="804">
      <c r="A804" s="91">
        <v>1.0</v>
      </c>
      <c r="B804" s="91" t="s">
        <v>3368</v>
      </c>
      <c r="C804" s="91" t="s">
        <v>1272</v>
      </c>
    </row>
    <row r="805">
      <c r="A805" s="91">
        <v>1.0</v>
      </c>
      <c r="B805" s="91" t="s">
        <v>3369</v>
      </c>
      <c r="C805" s="91" t="s">
        <v>350</v>
      </c>
    </row>
    <row r="806">
      <c r="A806" s="91">
        <v>1.0</v>
      </c>
      <c r="B806" s="91" t="s">
        <v>3370</v>
      </c>
      <c r="C806" s="91" t="s">
        <v>350</v>
      </c>
    </row>
    <row r="807">
      <c r="A807" s="91">
        <v>1.0</v>
      </c>
      <c r="B807" s="91" t="s">
        <v>3371</v>
      </c>
      <c r="C807" s="91" t="s">
        <v>234</v>
      </c>
    </row>
    <row r="808">
      <c r="A808" s="91">
        <v>1.0</v>
      </c>
      <c r="B808" s="91" t="s">
        <v>3372</v>
      </c>
      <c r="C808" s="91" t="s">
        <v>699</v>
      </c>
    </row>
    <row r="809">
      <c r="A809" s="91">
        <v>1.0</v>
      </c>
      <c r="B809" s="91" t="s">
        <v>3373</v>
      </c>
      <c r="C809" s="91" t="s">
        <v>699</v>
      </c>
    </row>
    <row r="810">
      <c r="A810" s="91">
        <v>1.0</v>
      </c>
      <c r="B810" s="91" t="s">
        <v>3374</v>
      </c>
      <c r="C810" s="91" t="s">
        <v>2266</v>
      </c>
    </row>
    <row r="811">
      <c r="A811" s="91">
        <v>1.0</v>
      </c>
      <c r="B811" s="91" t="s">
        <v>3375</v>
      </c>
      <c r="C811" s="91" t="s">
        <v>2266</v>
      </c>
    </row>
    <row r="812">
      <c r="A812" s="91">
        <v>1.0</v>
      </c>
      <c r="B812" s="91" t="s">
        <v>3376</v>
      </c>
      <c r="C812" s="91" t="s">
        <v>549</v>
      </c>
    </row>
    <row r="813">
      <c r="A813" s="91">
        <v>1.0</v>
      </c>
      <c r="B813" s="91" t="s">
        <v>3377</v>
      </c>
      <c r="C813" s="91" t="s">
        <v>1345</v>
      </c>
    </row>
    <row r="814">
      <c r="A814" s="91">
        <v>1.0</v>
      </c>
      <c r="B814" s="91" t="s">
        <v>3378</v>
      </c>
      <c r="C814" s="91" t="s">
        <v>503</v>
      </c>
    </row>
    <row r="815">
      <c r="A815" s="91">
        <v>1.0</v>
      </c>
      <c r="B815" s="91" t="s">
        <v>2944</v>
      </c>
      <c r="C815" s="91" t="s">
        <v>699</v>
      </c>
    </row>
    <row r="816">
      <c r="A816" s="91">
        <v>1.0</v>
      </c>
      <c r="B816" s="91" t="s">
        <v>2944</v>
      </c>
      <c r="C816" s="91" t="s">
        <v>1692</v>
      </c>
    </row>
    <row r="817">
      <c r="A817" s="91">
        <v>1.0</v>
      </c>
      <c r="B817" s="91" t="s">
        <v>3379</v>
      </c>
      <c r="C817" s="91" t="s">
        <v>1657</v>
      </c>
    </row>
    <row r="818">
      <c r="A818" s="91">
        <v>1.0</v>
      </c>
      <c r="B818" s="91" t="s">
        <v>3380</v>
      </c>
      <c r="C818" s="91" t="s">
        <v>794</v>
      </c>
    </row>
    <row r="819">
      <c r="A819" s="91">
        <v>1.0</v>
      </c>
      <c r="B819" s="91" t="s">
        <v>3381</v>
      </c>
      <c r="C819" s="91" t="s">
        <v>1579</v>
      </c>
    </row>
    <row r="820">
      <c r="A820" s="91">
        <v>1.0</v>
      </c>
      <c r="B820" s="91" t="s">
        <v>3382</v>
      </c>
      <c r="C820" s="91" t="s">
        <v>503</v>
      </c>
    </row>
    <row r="821">
      <c r="A821" s="91">
        <v>1.0</v>
      </c>
      <c r="B821" s="91" t="s">
        <v>3383</v>
      </c>
      <c r="C821" s="91" t="s">
        <v>503</v>
      </c>
    </row>
    <row r="822">
      <c r="A822" s="91">
        <v>1.0</v>
      </c>
      <c r="B822" s="91" t="s">
        <v>3384</v>
      </c>
      <c r="C822" s="91" t="s">
        <v>255</v>
      </c>
    </row>
    <row r="823">
      <c r="A823" s="91">
        <v>1.0</v>
      </c>
      <c r="B823" s="91" t="s">
        <v>3385</v>
      </c>
      <c r="C823" s="91" t="s">
        <v>728</v>
      </c>
    </row>
    <row r="824">
      <c r="A824" s="91">
        <v>1.0</v>
      </c>
      <c r="B824" s="91" t="s">
        <v>3386</v>
      </c>
      <c r="C824" s="91" t="s">
        <v>368</v>
      </c>
    </row>
    <row r="825">
      <c r="A825" s="91">
        <v>1.0</v>
      </c>
      <c r="B825" s="91" t="s">
        <v>3387</v>
      </c>
      <c r="C825" s="91" t="s">
        <v>1634</v>
      </c>
    </row>
    <row r="826">
      <c r="A826" s="91">
        <v>1.0</v>
      </c>
      <c r="B826" s="91" t="s">
        <v>3388</v>
      </c>
      <c r="C826" s="91" t="s">
        <v>1634</v>
      </c>
    </row>
    <row r="827">
      <c r="A827" s="91">
        <v>1.0</v>
      </c>
      <c r="B827" s="91" t="s">
        <v>3389</v>
      </c>
      <c r="C827" s="91" t="s">
        <v>922</v>
      </c>
    </row>
    <row r="828">
      <c r="A828" s="91">
        <v>1.0</v>
      </c>
      <c r="B828" s="91" t="s">
        <v>3390</v>
      </c>
      <c r="C828" s="91" t="s">
        <v>922</v>
      </c>
    </row>
    <row r="829">
      <c r="A829" s="91">
        <v>1.0</v>
      </c>
      <c r="B829" s="91" t="s">
        <v>3391</v>
      </c>
      <c r="C829" s="91" t="s">
        <v>1579</v>
      </c>
    </row>
    <row r="830">
      <c r="A830" s="91">
        <v>1.0</v>
      </c>
      <c r="B830" s="91" t="s">
        <v>3392</v>
      </c>
      <c r="C830" s="91" t="s">
        <v>424</v>
      </c>
    </row>
    <row r="831">
      <c r="A831" s="91">
        <v>1.0</v>
      </c>
      <c r="B831" s="91" t="s">
        <v>3393</v>
      </c>
      <c r="C831" s="91" t="s">
        <v>1657</v>
      </c>
    </row>
    <row r="832">
      <c r="A832" s="91">
        <v>1.0</v>
      </c>
      <c r="B832" s="91" t="s">
        <v>3394</v>
      </c>
      <c r="C832" s="91" t="s">
        <v>1657</v>
      </c>
    </row>
    <row r="833">
      <c r="A833" s="91">
        <v>1.0</v>
      </c>
      <c r="B833" s="91" t="s">
        <v>3395</v>
      </c>
      <c r="C833" s="91" t="s">
        <v>436</v>
      </c>
    </row>
    <row r="834">
      <c r="A834" s="91">
        <v>1.0</v>
      </c>
      <c r="B834" s="91" t="s">
        <v>3396</v>
      </c>
      <c r="C834" s="91" t="s">
        <v>771</v>
      </c>
    </row>
    <row r="835">
      <c r="A835" s="91">
        <v>1.0</v>
      </c>
      <c r="B835" s="91" t="s">
        <v>3397</v>
      </c>
      <c r="C835" s="91" t="s">
        <v>771</v>
      </c>
    </row>
    <row r="836">
      <c r="A836" s="91">
        <v>1.0</v>
      </c>
      <c r="B836" s="91" t="s">
        <v>3398</v>
      </c>
      <c r="C836" s="91" t="s">
        <v>436</v>
      </c>
    </row>
    <row r="837">
      <c r="A837" s="91">
        <v>1.0</v>
      </c>
      <c r="B837" s="91" t="s">
        <v>3399</v>
      </c>
      <c r="C837" s="91" t="s">
        <v>399</v>
      </c>
    </row>
    <row r="838">
      <c r="A838" s="91">
        <v>1.0</v>
      </c>
      <c r="B838" s="91" t="s">
        <v>3400</v>
      </c>
      <c r="C838" s="91" t="s">
        <v>1626</v>
      </c>
    </row>
    <row r="839">
      <c r="A839" s="91">
        <v>1.0</v>
      </c>
      <c r="B839" s="91" t="s">
        <v>3401</v>
      </c>
      <c r="C839" s="91" t="s">
        <v>3402</v>
      </c>
    </row>
    <row r="840">
      <c r="A840" s="91">
        <v>1.0</v>
      </c>
      <c r="B840" s="91" t="s">
        <v>3403</v>
      </c>
      <c r="C840" s="91" t="s">
        <v>3404</v>
      </c>
    </row>
    <row r="841">
      <c r="A841" s="91">
        <v>1.0</v>
      </c>
      <c r="B841" s="91" t="s">
        <v>3405</v>
      </c>
      <c r="C841" s="91" t="s">
        <v>1223</v>
      </c>
    </row>
    <row r="842">
      <c r="A842" s="91">
        <v>1.0</v>
      </c>
      <c r="B842" s="91" t="s">
        <v>2835</v>
      </c>
      <c r="C842" s="91" t="s">
        <v>3071</v>
      </c>
    </row>
    <row r="843">
      <c r="A843" s="91">
        <v>1.0</v>
      </c>
      <c r="B843" s="91" t="s">
        <v>3406</v>
      </c>
      <c r="C843" s="91" t="s">
        <v>3071</v>
      </c>
    </row>
    <row r="844">
      <c r="A844" s="91">
        <v>1.0</v>
      </c>
      <c r="B844" s="91" t="s">
        <v>3407</v>
      </c>
      <c r="C844" s="91" t="s">
        <v>3071</v>
      </c>
    </row>
    <row r="845">
      <c r="A845" s="91">
        <v>1.0</v>
      </c>
      <c r="B845" s="91" t="s">
        <v>3144</v>
      </c>
      <c r="C845" s="91" t="s">
        <v>3071</v>
      </c>
    </row>
    <row r="846">
      <c r="A846" s="91">
        <v>1.0</v>
      </c>
      <c r="B846" s="91" t="s">
        <v>3408</v>
      </c>
      <c r="C846" s="91" t="s">
        <v>46</v>
      </c>
    </row>
    <row r="847">
      <c r="A847" s="91">
        <v>1.0</v>
      </c>
      <c r="B847" s="91" t="s">
        <v>3409</v>
      </c>
      <c r="C847" s="91" t="s">
        <v>368</v>
      </c>
    </row>
    <row r="848">
      <c r="A848" s="91">
        <v>1.0</v>
      </c>
      <c r="B848" s="91" t="s">
        <v>3410</v>
      </c>
      <c r="C848" s="91" t="s">
        <v>1530</v>
      </c>
    </row>
    <row r="849">
      <c r="A849" s="91">
        <v>1.0</v>
      </c>
      <c r="B849" s="91" t="s">
        <v>3411</v>
      </c>
      <c r="C849" s="91" t="s">
        <v>1530</v>
      </c>
    </row>
    <row r="850">
      <c r="A850" s="91">
        <v>1.0</v>
      </c>
      <c r="B850" s="91" t="s">
        <v>3412</v>
      </c>
      <c r="C850" s="91" t="s">
        <v>1278</v>
      </c>
    </row>
    <row r="851">
      <c r="A851" s="91">
        <v>1.0</v>
      </c>
      <c r="B851" s="91" t="s">
        <v>3413</v>
      </c>
      <c r="C851" s="91" t="s">
        <v>1278</v>
      </c>
    </row>
    <row r="852">
      <c r="A852" s="91">
        <v>1.0</v>
      </c>
      <c r="B852" s="91" t="s">
        <v>3414</v>
      </c>
      <c r="C852" s="91" t="s">
        <v>1278</v>
      </c>
    </row>
    <row r="853">
      <c r="A853" s="91">
        <v>1.0</v>
      </c>
      <c r="B853" s="91" t="s">
        <v>3415</v>
      </c>
      <c r="C853" s="91" t="s">
        <v>1714</v>
      </c>
    </row>
    <row r="854">
      <c r="A854" s="91">
        <v>1.0</v>
      </c>
      <c r="B854" s="91" t="s">
        <v>3416</v>
      </c>
      <c r="C854" s="91" t="s">
        <v>3417</v>
      </c>
    </row>
    <row r="855">
      <c r="A855" s="91">
        <v>1.0</v>
      </c>
      <c r="B855" s="91" t="s">
        <v>3416</v>
      </c>
      <c r="C855" s="91" t="s">
        <v>938</v>
      </c>
    </row>
    <row r="856">
      <c r="A856" s="91">
        <v>1.0</v>
      </c>
      <c r="B856" s="91" t="s">
        <v>3418</v>
      </c>
      <c r="C856" s="91" t="s">
        <v>1278</v>
      </c>
    </row>
    <row r="857">
      <c r="A857" s="91">
        <v>1.0</v>
      </c>
      <c r="B857" s="91" t="s">
        <v>3419</v>
      </c>
      <c r="C857" s="91" t="s">
        <v>326</v>
      </c>
    </row>
    <row r="858">
      <c r="A858" s="91">
        <v>1.0</v>
      </c>
      <c r="B858" s="91" t="s">
        <v>3420</v>
      </c>
      <c r="C858" s="91" t="s">
        <v>2427</v>
      </c>
    </row>
    <row r="859">
      <c r="A859" s="91">
        <v>1.0</v>
      </c>
      <c r="B859" s="91" t="s">
        <v>3421</v>
      </c>
      <c r="C859" s="91" t="s">
        <v>630</v>
      </c>
    </row>
    <row r="860">
      <c r="A860" s="91">
        <v>1.0</v>
      </c>
      <c r="B860" s="91" t="s">
        <v>3422</v>
      </c>
      <c r="C860" s="91" t="s">
        <v>1536</v>
      </c>
    </row>
    <row r="861">
      <c r="A861" s="91">
        <v>1.0</v>
      </c>
      <c r="B861" s="91" t="s">
        <v>3423</v>
      </c>
      <c r="C861" s="91" t="s">
        <v>309</v>
      </c>
    </row>
    <row r="862">
      <c r="A862" s="91">
        <v>1.0</v>
      </c>
      <c r="B862" s="91" t="s">
        <v>3423</v>
      </c>
      <c r="C862" s="91" t="s">
        <v>2427</v>
      </c>
    </row>
    <row r="863">
      <c r="A863" s="91">
        <v>1.0</v>
      </c>
      <c r="B863" s="91" t="s">
        <v>3424</v>
      </c>
      <c r="C863" s="91" t="s">
        <v>716</v>
      </c>
    </row>
    <row r="864">
      <c r="A864" s="91">
        <v>1.0</v>
      </c>
      <c r="B864" s="91" t="s">
        <v>3425</v>
      </c>
      <c r="C864" s="91" t="s">
        <v>716</v>
      </c>
    </row>
    <row r="865">
      <c r="A865" s="91">
        <v>1.0</v>
      </c>
      <c r="B865" s="91" t="s">
        <v>3426</v>
      </c>
      <c r="C865" s="91" t="s">
        <v>716</v>
      </c>
    </row>
    <row r="866">
      <c r="A866" s="91">
        <v>1.0</v>
      </c>
      <c r="B866" s="91" t="s">
        <v>3427</v>
      </c>
      <c r="C866" s="91" t="s">
        <v>1536</v>
      </c>
    </row>
    <row r="867">
      <c r="A867" s="91">
        <v>1.0</v>
      </c>
      <c r="B867" s="91" t="s">
        <v>3428</v>
      </c>
      <c r="C867" s="91" t="s">
        <v>1536</v>
      </c>
    </row>
    <row r="868">
      <c r="A868" s="91">
        <v>1.0</v>
      </c>
      <c r="B868" s="91" t="s">
        <v>3429</v>
      </c>
      <c r="C868" s="91" t="s">
        <v>1536</v>
      </c>
    </row>
    <row r="869">
      <c r="A869" s="91">
        <v>1.0</v>
      </c>
      <c r="B869" s="91" t="s">
        <v>3430</v>
      </c>
      <c r="C869" s="91" t="s">
        <v>442</v>
      </c>
    </row>
    <row r="870">
      <c r="A870" s="91">
        <v>1.0</v>
      </c>
      <c r="B870" s="91" t="s">
        <v>3431</v>
      </c>
      <c r="C870" s="91" t="s">
        <v>1536</v>
      </c>
    </row>
    <row r="871">
      <c r="A871" s="91">
        <v>1.0</v>
      </c>
      <c r="B871" s="91" t="s">
        <v>3432</v>
      </c>
      <c r="C871" s="91" t="s">
        <v>315</v>
      </c>
    </row>
    <row r="872">
      <c r="A872" s="91">
        <v>1.0</v>
      </c>
      <c r="B872" s="91" t="s">
        <v>3433</v>
      </c>
      <c r="C872" s="91" t="s">
        <v>1714</v>
      </c>
    </row>
    <row r="873">
      <c r="A873" s="91">
        <v>1.0</v>
      </c>
      <c r="B873" s="91" t="s">
        <v>3434</v>
      </c>
      <c r="C873" s="91" t="s">
        <v>315</v>
      </c>
    </row>
    <row r="874">
      <c r="A874" s="91">
        <v>1.0</v>
      </c>
      <c r="B874" s="91" t="s">
        <v>3435</v>
      </c>
      <c r="C874" s="91" t="s">
        <v>788</v>
      </c>
    </row>
    <row r="875">
      <c r="A875" s="91">
        <v>1.0</v>
      </c>
      <c r="B875" s="91" t="s">
        <v>3436</v>
      </c>
      <c r="C875" s="91" t="s">
        <v>1536</v>
      </c>
    </row>
    <row r="876">
      <c r="A876" s="91">
        <v>1.0</v>
      </c>
      <c r="B876" s="91" t="s">
        <v>2947</v>
      </c>
      <c r="C876" s="91" t="s">
        <v>2057</v>
      </c>
    </row>
    <row r="877">
      <c r="A877" s="91">
        <v>1.0</v>
      </c>
      <c r="B877" s="91" t="s">
        <v>3437</v>
      </c>
      <c r="C877" s="91" t="s">
        <v>924</v>
      </c>
    </row>
    <row r="878">
      <c r="A878" s="91">
        <v>1.0</v>
      </c>
      <c r="B878" s="91" t="s">
        <v>3438</v>
      </c>
      <c r="C878" s="91" t="s">
        <v>2427</v>
      </c>
    </row>
    <row r="879">
      <c r="A879" s="91">
        <v>1.0</v>
      </c>
      <c r="B879" s="91" t="s">
        <v>3060</v>
      </c>
      <c r="C879" s="91" t="s">
        <v>326</v>
      </c>
    </row>
    <row r="880">
      <c r="A880" s="91">
        <v>1.0</v>
      </c>
      <c r="B880" s="91" t="s">
        <v>3439</v>
      </c>
      <c r="C880" s="91" t="s">
        <v>3061</v>
      </c>
    </row>
    <row r="881">
      <c r="A881" s="91">
        <v>1.0</v>
      </c>
      <c r="B881" s="91" t="s">
        <v>3440</v>
      </c>
      <c r="C881" s="91" t="s">
        <v>922</v>
      </c>
    </row>
    <row r="882">
      <c r="A882" s="91">
        <v>1.0</v>
      </c>
      <c r="B882" s="91" t="s">
        <v>3441</v>
      </c>
      <c r="C882" s="91" t="s">
        <v>326</v>
      </c>
    </row>
    <row r="883">
      <c r="A883" s="91">
        <v>1.0</v>
      </c>
      <c r="B883" s="91" t="s">
        <v>3442</v>
      </c>
      <c r="C883" s="91" t="s">
        <v>326</v>
      </c>
    </row>
    <row r="884">
      <c r="A884" s="91">
        <v>1.0</v>
      </c>
      <c r="B884" s="91" t="s">
        <v>3443</v>
      </c>
      <c r="C884" s="91" t="s">
        <v>630</v>
      </c>
    </row>
    <row r="885">
      <c r="A885" s="91">
        <v>1.0</v>
      </c>
      <c r="B885" s="91" t="s">
        <v>3444</v>
      </c>
      <c r="C885" s="91" t="s">
        <v>94</v>
      </c>
    </row>
    <row r="886">
      <c r="A886" s="91">
        <v>1.0</v>
      </c>
      <c r="B886" s="91" t="s">
        <v>3445</v>
      </c>
      <c r="C886" s="91" t="s">
        <v>94</v>
      </c>
    </row>
    <row r="887">
      <c r="A887" s="91">
        <v>1.0</v>
      </c>
      <c r="B887" s="91" t="s">
        <v>3446</v>
      </c>
      <c r="C887" s="91" t="s">
        <v>94</v>
      </c>
    </row>
    <row r="888">
      <c r="A888" s="91">
        <v>1.0</v>
      </c>
      <c r="B888" s="91" t="s">
        <v>3447</v>
      </c>
      <c r="C888" s="91" t="s">
        <v>94</v>
      </c>
    </row>
    <row r="889">
      <c r="A889" s="91">
        <v>1.0</v>
      </c>
      <c r="B889" s="91" t="s">
        <v>3448</v>
      </c>
      <c r="C889" s="91" t="s">
        <v>2277</v>
      </c>
    </row>
    <row r="890">
      <c r="A890" s="91">
        <v>1.0</v>
      </c>
      <c r="B890" s="91" t="s">
        <v>3449</v>
      </c>
      <c r="C890" s="91" t="s">
        <v>1228</v>
      </c>
    </row>
    <row r="891">
      <c r="A891" s="91">
        <v>1.0</v>
      </c>
      <c r="B891" s="91" t="s">
        <v>3450</v>
      </c>
      <c r="C891" s="91" t="s">
        <v>2870</v>
      </c>
    </row>
    <row r="892">
      <c r="A892" s="91">
        <v>1.0</v>
      </c>
      <c r="B892" s="91" t="s">
        <v>3451</v>
      </c>
      <c r="C892" s="91" t="s">
        <v>94</v>
      </c>
    </row>
    <row r="893">
      <c r="A893" s="91">
        <v>1.0</v>
      </c>
      <c r="B893" s="91" t="s">
        <v>3452</v>
      </c>
      <c r="C893" s="91" t="s">
        <v>94</v>
      </c>
    </row>
    <row r="894">
      <c r="A894" s="91">
        <v>1.0</v>
      </c>
      <c r="B894" s="91" t="s">
        <v>3453</v>
      </c>
      <c r="C894" s="91" t="s">
        <v>3454</v>
      </c>
    </row>
    <row r="895">
      <c r="A895" s="91">
        <v>1.0</v>
      </c>
      <c r="B895" s="91" t="s">
        <v>3453</v>
      </c>
      <c r="C895" s="91" t="s">
        <v>3455</v>
      </c>
    </row>
    <row r="896">
      <c r="A896" s="91">
        <v>1.0</v>
      </c>
      <c r="B896" s="91" t="s">
        <v>3453</v>
      </c>
      <c r="C896" s="91" t="s">
        <v>3456</v>
      </c>
    </row>
    <row r="897">
      <c r="A897" s="91">
        <v>1.0</v>
      </c>
      <c r="B897" s="91" t="s">
        <v>3453</v>
      </c>
      <c r="C897" s="91" t="s">
        <v>3065</v>
      </c>
    </row>
    <row r="898">
      <c r="A898" s="91">
        <v>1.0</v>
      </c>
      <c r="B898" s="91" t="s">
        <v>3064</v>
      </c>
      <c r="C898" s="91" t="s">
        <v>3454</v>
      </c>
    </row>
    <row r="899">
      <c r="A899" s="91">
        <v>1.0</v>
      </c>
      <c r="B899" s="91" t="s">
        <v>3064</v>
      </c>
      <c r="C899" s="91" t="s">
        <v>3455</v>
      </c>
    </row>
    <row r="900">
      <c r="A900" s="91">
        <v>1.0</v>
      </c>
      <c r="B900" s="91" t="s">
        <v>3064</v>
      </c>
      <c r="C900" s="91" t="s">
        <v>924</v>
      </c>
    </row>
    <row r="901">
      <c r="A901" s="91">
        <v>1.0</v>
      </c>
      <c r="B901" s="91" t="s">
        <v>3064</v>
      </c>
      <c r="C901" s="91" t="s">
        <v>3456</v>
      </c>
    </row>
    <row r="902">
      <c r="A902" s="91">
        <v>1.0</v>
      </c>
      <c r="B902" s="91" t="s">
        <v>3457</v>
      </c>
      <c r="C902" s="91" t="s">
        <v>3065</v>
      </c>
    </row>
    <row r="903">
      <c r="A903" s="91">
        <v>1.0</v>
      </c>
      <c r="B903" s="91" t="s">
        <v>3458</v>
      </c>
      <c r="C903" s="91" t="s">
        <v>3122</v>
      </c>
    </row>
    <row r="904">
      <c r="A904" s="91">
        <v>1.0</v>
      </c>
      <c r="B904" s="91" t="s">
        <v>3459</v>
      </c>
      <c r="C904" s="91" t="s">
        <v>1560</v>
      </c>
    </row>
    <row r="905">
      <c r="A905" s="91">
        <v>1.0</v>
      </c>
      <c r="B905" s="91" t="s">
        <v>3460</v>
      </c>
      <c r="C905" s="91" t="s">
        <v>1331</v>
      </c>
    </row>
    <row r="906">
      <c r="A906" s="91">
        <v>1.0</v>
      </c>
      <c r="B906" s="91" t="s">
        <v>3461</v>
      </c>
      <c r="C906" s="91" t="s">
        <v>315</v>
      </c>
    </row>
    <row r="907">
      <c r="A907" s="91">
        <v>1.0</v>
      </c>
      <c r="B907" s="91" t="s">
        <v>3462</v>
      </c>
      <c r="C907" s="91" t="s">
        <v>1250</v>
      </c>
    </row>
    <row r="908">
      <c r="A908" s="91">
        <v>1.0</v>
      </c>
      <c r="B908" s="91" t="s">
        <v>3463</v>
      </c>
      <c r="C908" s="91" t="s">
        <v>1141</v>
      </c>
    </row>
    <row r="909">
      <c r="A909" s="91">
        <v>1.0</v>
      </c>
      <c r="B909" s="91" t="s">
        <v>3464</v>
      </c>
      <c r="C909" s="91" t="s">
        <v>1141</v>
      </c>
    </row>
    <row r="910">
      <c r="A910" s="91">
        <v>1.0</v>
      </c>
      <c r="B910" s="91" t="s">
        <v>3465</v>
      </c>
      <c r="C910" s="91" t="s">
        <v>1141</v>
      </c>
    </row>
    <row r="911">
      <c r="A911" s="91">
        <v>1.0</v>
      </c>
      <c r="B911" s="91" t="s">
        <v>3466</v>
      </c>
      <c r="C911" s="91" t="s">
        <v>2065</v>
      </c>
    </row>
    <row r="912">
      <c r="A912" s="91">
        <v>1.0</v>
      </c>
      <c r="B912" s="91" t="s">
        <v>3467</v>
      </c>
      <c r="C912" s="91" t="s">
        <v>326</v>
      </c>
    </row>
    <row r="913">
      <c r="A913" s="91">
        <v>1.0</v>
      </c>
      <c r="B913" s="91" t="s">
        <v>3468</v>
      </c>
      <c r="C913" s="91" t="s">
        <v>1250</v>
      </c>
    </row>
    <row r="914">
      <c r="A914" s="91">
        <v>1.0</v>
      </c>
      <c r="B914" s="91" t="s">
        <v>3469</v>
      </c>
      <c r="C914" s="91" t="s">
        <v>315</v>
      </c>
    </row>
    <row r="915">
      <c r="A915" s="91">
        <v>1.0</v>
      </c>
      <c r="B915" s="91" t="s">
        <v>3470</v>
      </c>
      <c r="C915" s="91" t="s">
        <v>326</v>
      </c>
    </row>
    <row r="916">
      <c r="A916" s="91">
        <v>1.0</v>
      </c>
      <c r="B916" s="91" t="s">
        <v>3471</v>
      </c>
      <c r="C916" s="91" t="s">
        <v>759</v>
      </c>
    </row>
    <row r="917">
      <c r="A917" s="91">
        <v>1.0</v>
      </c>
      <c r="B917" s="91" t="s">
        <v>3472</v>
      </c>
      <c r="C917" s="91" t="s">
        <v>759</v>
      </c>
    </row>
    <row r="918">
      <c r="A918" s="91">
        <v>1.0</v>
      </c>
      <c r="B918" s="91" t="s">
        <v>3473</v>
      </c>
      <c r="C918" s="91" t="s">
        <v>1380</v>
      </c>
    </row>
    <row r="919">
      <c r="A919" s="91">
        <v>1.0</v>
      </c>
      <c r="B919" s="91" t="s">
        <v>3474</v>
      </c>
      <c r="C919" s="91" t="s">
        <v>1380</v>
      </c>
    </row>
    <row r="920">
      <c r="A920" s="91">
        <v>1.0</v>
      </c>
      <c r="B920" s="91" t="s">
        <v>3475</v>
      </c>
      <c r="C920" s="91" t="s">
        <v>664</v>
      </c>
    </row>
    <row r="921">
      <c r="A921" s="91">
        <v>1.0</v>
      </c>
      <c r="B921" s="91" t="s">
        <v>3476</v>
      </c>
      <c r="C921" s="91" t="s">
        <v>806</v>
      </c>
    </row>
    <row r="922">
      <c r="A922" s="91">
        <v>1.0</v>
      </c>
      <c r="B922" s="91" t="s">
        <v>3477</v>
      </c>
      <c r="C922" s="91" t="s">
        <v>1076</v>
      </c>
    </row>
    <row r="923">
      <c r="A923" s="91">
        <v>1.0</v>
      </c>
      <c r="B923" s="91" t="s">
        <v>3478</v>
      </c>
      <c r="C923" s="91" t="s">
        <v>927</v>
      </c>
    </row>
    <row r="924">
      <c r="A924" s="91">
        <v>1.0</v>
      </c>
      <c r="B924" s="91" t="s">
        <v>3479</v>
      </c>
      <c r="C924" s="91" t="s">
        <v>2412</v>
      </c>
    </row>
    <row r="925">
      <c r="A925" s="91">
        <v>1.0</v>
      </c>
      <c r="B925" s="91" t="s">
        <v>3480</v>
      </c>
      <c r="C925" s="91" t="s">
        <v>777</v>
      </c>
    </row>
    <row r="926">
      <c r="A926" s="91">
        <v>1.0</v>
      </c>
      <c r="B926" s="91" t="s">
        <v>3481</v>
      </c>
      <c r="C926" s="91" t="s">
        <v>2917</v>
      </c>
    </row>
    <row r="927">
      <c r="A927" s="91">
        <v>1.0</v>
      </c>
      <c r="B927" s="91" t="s">
        <v>2953</v>
      </c>
      <c r="C927" s="91" t="s">
        <v>2271</v>
      </c>
    </row>
    <row r="928">
      <c r="A928" s="91">
        <v>1.0</v>
      </c>
      <c r="B928" s="91" t="s">
        <v>3482</v>
      </c>
      <c r="C928" s="91" t="s">
        <v>2271</v>
      </c>
    </row>
    <row r="929">
      <c r="A929" s="91">
        <v>1.0</v>
      </c>
      <c r="B929" s="91" t="s">
        <v>3483</v>
      </c>
      <c r="C929" s="91" t="s">
        <v>2917</v>
      </c>
    </row>
    <row r="930">
      <c r="A930" s="91">
        <v>1.0</v>
      </c>
      <c r="B930" s="91" t="s">
        <v>3483</v>
      </c>
      <c r="C930" s="91" t="s">
        <v>3071</v>
      </c>
    </row>
    <row r="931">
      <c r="A931" s="91">
        <v>1.0</v>
      </c>
      <c r="B931" s="91" t="s">
        <v>3484</v>
      </c>
      <c r="C931" s="91" t="s">
        <v>2271</v>
      </c>
    </row>
    <row r="932">
      <c r="A932" s="91">
        <v>1.0</v>
      </c>
      <c r="B932" s="91" t="s">
        <v>3485</v>
      </c>
      <c r="C932" s="91" t="s">
        <v>2955</v>
      </c>
    </row>
    <row r="933">
      <c r="A933" s="91">
        <v>1.0</v>
      </c>
      <c r="B933" s="91" t="s">
        <v>3485</v>
      </c>
      <c r="C933" s="91" t="s">
        <v>2917</v>
      </c>
    </row>
    <row r="934">
      <c r="A934" s="91">
        <v>1.0</v>
      </c>
      <c r="B934" s="91" t="s">
        <v>3485</v>
      </c>
      <c r="C934" s="91" t="s">
        <v>3486</v>
      </c>
    </row>
    <row r="935">
      <c r="A935" s="91">
        <v>1.0</v>
      </c>
      <c r="B935" s="91" t="s">
        <v>3485</v>
      </c>
      <c r="C935" s="91" t="s">
        <v>2271</v>
      </c>
    </row>
    <row r="936">
      <c r="A936" s="91">
        <v>1.0</v>
      </c>
      <c r="B936" s="91" t="s">
        <v>3487</v>
      </c>
      <c r="C936" s="91" t="s">
        <v>1548</v>
      </c>
    </row>
    <row r="937">
      <c r="A937" s="91">
        <v>1.0</v>
      </c>
      <c r="B937" s="91" t="s">
        <v>3488</v>
      </c>
      <c r="C937" s="91" t="s">
        <v>2301</v>
      </c>
    </row>
    <row r="938">
      <c r="A938" s="91">
        <v>1.0</v>
      </c>
      <c r="B938" s="91" t="s">
        <v>3072</v>
      </c>
      <c r="C938" s="91" t="s">
        <v>2301</v>
      </c>
    </row>
    <row r="939">
      <c r="A939" s="91">
        <v>1.0</v>
      </c>
      <c r="B939" s="91" t="s">
        <v>3489</v>
      </c>
      <c r="C939" s="91" t="s">
        <v>1579</v>
      </c>
    </row>
    <row r="940">
      <c r="A940" s="91">
        <v>1.0</v>
      </c>
      <c r="B940" s="91" t="s">
        <v>3489</v>
      </c>
      <c r="C940" s="91" t="s">
        <v>1548</v>
      </c>
    </row>
    <row r="941">
      <c r="A941" s="91">
        <v>1.0</v>
      </c>
      <c r="B941" s="91" t="s">
        <v>3490</v>
      </c>
      <c r="C941" s="91" t="s">
        <v>3080</v>
      </c>
    </row>
    <row r="942">
      <c r="A942" s="91">
        <v>1.0</v>
      </c>
      <c r="B942" s="91" t="s">
        <v>3491</v>
      </c>
      <c r="C942" s="91" t="s">
        <v>658</v>
      </c>
    </row>
    <row r="943">
      <c r="A943" s="91">
        <v>1.0</v>
      </c>
      <c r="B943" s="91" t="s">
        <v>3491</v>
      </c>
      <c r="C943" s="91" t="s">
        <v>1215</v>
      </c>
    </row>
    <row r="944">
      <c r="A944" s="91">
        <v>1.0</v>
      </c>
      <c r="B944" s="91" t="s">
        <v>3492</v>
      </c>
      <c r="C944" s="91" t="s">
        <v>658</v>
      </c>
    </row>
    <row r="945">
      <c r="A945" s="91">
        <v>1.0</v>
      </c>
      <c r="B945" s="91" t="s">
        <v>3493</v>
      </c>
      <c r="C945" s="91" t="s">
        <v>1215</v>
      </c>
    </row>
    <row r="946">
      <c r="A946" s="91">
        <v>1.0</v>
      </c>
      <c r="B946" s="91" t="s">
        <v>3494</v>
      </c>
      <c r="C946" s="91" t="s">
        <v>1296</v>
      </c>
    </row>
    <row r="947">
      <c r="A947" s="91">
        <v>1.0</v>
      </c>
      <c r="B947" s="91" t="s">
        <v>3495</v>
      </c>
      <c r="C947" s="91" t="s">
        <v>1554</v>
      </c>
    </row>
    <row r="948">
      <c r="A948" s="91">
        <v>1.0</v>
      </c>
      <c r="B948" s="91" t="s">
        <v>3496</v>
      </c>
      <c r="C948" s="91" t="s">
        <v>1696</v>
      </c>
    </row>
    <row r="949">
      <c r="A949" s="91">
        <v>1.0</v>
      </c>
      <c r="B949" s="91" t="s">
        <v>3496</v>
      </c>
      <c r="C949" s="91" t="s">
        <v>1692</v>
      </c>
    </row>
    <row r="950">
      <c r="A950" s="91">
        <v>1.0</v>
      </c>
      <c r="B950" s="91" t="s">
        <v>3497</v>
      </c>
      <c r="C950" s="91" t="s">
        <v>1296</v>
      </c>
    </row>
    <row r="951">
      <c r="A951" s="91">
        <v>1.0</v>
      </c>
      <c r="B951" s="91" t="s">
        <v>3498</v>
      </c>
      <c r="C951" s="91" t="s">
        <v>1554</v>
      </c>
    </row>
    <row r="952">
      <c r="A952" s="91">
        <v>1.0</v>
      </c>
      <c r="B952" s="91" t="s">
        <v>3499</v>
      </c>
      <c r="C952" s="91" t="s">
        <v>1554</v>
      </c>
    </row>
    <row r="953">
      <c r="A953" s="91">
        <v>1.0</v>
      </c>
      <c r="B953" s="91" t="s">
        <v>3500</v>
      </c>
      <c r="C953" s="91" t="s">
        <v>1519</v>
      </c>
    </row>
    <row r="954">
      <c r="A954" s="91">
        <v>1.0</v>
      </c>
      <c r="B954" s="91" t="s">
        <v>3501</v>
      </c>
      <c r="C954" s="91" t="s">
        <v>424</v>
      </c>
    </row>
    <row r="955">
      <c r="A955" s="91">
        <v>1.0</v>
      </c>
      <c r="B955" s="91" t="s">
        <v>3502</v>
      </c>
      <c r="C955" s="91" t="s">
        <v>424</v>
      </c>
    </row>
    <row r="956">
      <c r="A956" s="91">
        <v>1.0</v>
      </c>
      <c r="B956" s="91" t="s">
        <v>3075</v>
      </c>
      <c r="C956" s="91" t="s">
        <v>119</v>
      </c>
    </row>
    <row r="957">
      <c r="A957" s="91">
        <v>1.0</v>
      </c>
      <c r="B957" s="91" t="s">
        <v>3075</v>
      </c>
      <c r="C957" s="91" t="s">
        <v>3503</v>
      </c>
    </row>
    <row r="958">
      <c r="A958" s="91">
        <v>1.0</v>
      </c>
      <c r="B958" s="91" t="s">
        <v>3504</v>
      </c>
      <c r="C958" s="91" t="s">
        <v>261</v>
      </c>
    </row>
    <row r="959">
      <c r="A959" s="91">
        <v>1.0</v>
      </c>
      <c r="B959" s="91" t="s">
        <v>3505</v>
      </c>
      <c r="C959" s="91" t="s">
        <v>442</v>
      </c>
    </row>
    <row r="960">
      <c r="A960" s="91">
        <v>1.0</v>
      </c>
      <c r="B960" s="91" t="s">
        <v>3506</v>
      </c>
      <c r="C960" s="91" t="s">
        <v>408</v>
      </c>
    </row>
    <row r="961">
      <c r="A961" s="91">
        <v>1.0</v>
      </c>
      <c r="B961" s="91" t="s">
        <v>3506</v>
      </c>
      <c r="C961" s="91" t="s">
        <v>410</v>
      </c>
    </row>
    <row r="962">
      <c r="A962" s="91">
        <v>1.0</v>
      </c>
      <c r="B962" s="91" t="s">
        <v>3507</v>
      </c>
      <c r="C962" s="91" t="s">
        <v>1296</v>
      </c>
    </row>
    <row r="963">
      <c r="A963" s="91">
        <v>1.0</v>
      </c>
      <c r="B963" s="91" t="s">
        <v>3508</v>
      </c>
      <c r="C963" s="91" t="s">
        <v>1509</v>
      </c>
    </row>
    <row r="964">
      <c r="A964" s="91">
        <v>1.0</v>
      </c>
      <c r="B964" s="91" t="s">
        <v>3509</v>
      </c>
      <c r="C964" s="91" t="s">
        <v>2834</v>
      </c>
    </row>
    <row r="965">
      <c r="A965" s="91">
        <v>1.0</v>
      </c>
      <c r="B965" s="91" t="s">
        <v>3510</v>
      </c>
      <c r="C965" s="91" t="s">
        <v>2834</v>
      </c>
    </row>
    <row r="966">
      <c r="A966" s="91">
        <v>1.0</v>
      </c>
      <c r="B966" s="91" t="s">
        <v>3511</v>
      </c>
      <c r="C966" s="91" t="s">
        <v>2834</v>
      </c>
    </row>
    <row r="967">
      <c r="A967" s="91">
        <v>1.0</v>
      </c>
      <c r="B967" s="91" t="s">
        <v>3512</v>
      </c>
      <c r="C967" s="91" t="s">
        <v>711</v>
      </c>
    </row>
    <row r="968">
      <c r="A968" s="91">
        <v>1.0</v>
      </c>
      <c r="B968" s="91" t="s">
        <v>3513</v>
      </c>
      <c r="C968" s="91" t="s">
        <v>711</v>
      </c>
    </row>
    <row r="969">
      <c r="A969" s="91">
        <v>1.0</v>
      </c>
      <c r="B969" s="91" t="s">
        <v>3513</v>
      </c>
      <c r="C969" s="91" t="s">
        <v>245</v>
      </c>
    </row>
    <row r="970">
      <c r="A970" s="91">
        <v>1.0</v>
      </c>
      <c r="B970" s="91" t="s">
        <v>3514</v>
      </c>
      <c r="C970" s="91" t="s">
        <v>705</v>
      </c>
    </row>
    <row r="971">
      <c r="A971" s="91">
        <v>1.0</v>
      </c>
      <c r="B971" s="91" t="s">
        <v>3515</v>
      </c>
      <c r="C971" s="91" t="s">
        <v>1554</v>
      </c>
    </row>
    <row r="972">
      <c r="A972" s="91">
        <v>1.0</v>
      </c>
      <c r="B972" s="91" t="s">
        <v>3516</v>
      </c>
      <c r="C972" s="91" t="s">
        <v>1400</v>
      </c>
    </row>
    <row r="973">
      <c r="A973" s="91">
        <v>1.0</v>
      </c>
      <c r="B973" s="91" t="s">
        <v>3517</v>
      </c>
      <c r="C973" s="91" t="s">
        <v>2305</v>
      </c>
    </row>
    <row r="974">
      <c r="A974" s="91">
        <v>1.0</v>
      </c>
      <c r="B974" s="91" t="s">
        <v>3518</v>
      </c>
      <c r="C974" s="91" t="s">
        <v>320</v>
      </c>
    </row>
    <row r="975">
      <c r="A975" s="91">
        <v>1.0</v>
      </c>
      <c r="B975" s="91" t="s">
        <v>3519</v>
      </c>
      <c r="C975" s="91" t="s">
        <v>865</v>
      </c>
    </row>
    <row r="976">
      <c r="A976" s="91">
        <v>1.0</v>
      </c>
      <c r="B976" s="91" t="s">
        <v>3520</v>
      </c>
      <c r="C976" s="91" t="s">
        <v>320</v>
      </c>
    </row>
    <row r="977">
      <c r="A977" s="91">
        <v>1.0</v>
      </c>
      <c r="B977" s="91" t="s">
        <v>2853</v>
      </c>
      <c r="C977" s="91" t="s">
        <v>771</v>
      </c>
    </row>
    <row r="978">
      <c r="A978" s="91">
        <v>1.0</v>
      </c>
      <c r="B978" s="91" t="s">
        <v>3521</v>
      </c>
      <c r="C978" s="91" t="s">
        <v>563</v>
      </c>
    </row>
    <row r="979">
      <c r="A979" s="91">
        <v>1.0</v>
      </c>
      <c r="B979" s="91" t="s">
        <v>3522</v>
      </c>
      <c r="C979" s="91" t="s">
        <v>563</v>
      </c>
    </row>
    <row r="980">
      <c r="A980" s="91">
        <v>1.0</v>
      </c>
      <c r="B980" s="91" t="s">
        <v>3523</v>
      </c>
      <c r="C980" s="91" t="s">
        <v>399</v>
      </c>
    </row>
    <row r="981">
      <c r="A981" s="91">
        <v>1.0</v>
      </c>
      <c r="B981" s="91" t="s">
        <v>3524</v>
      </c>
      <c r="C981" s="91" t="s">
        <v>1112</v>
      </c>
    </row>
    <row r="982">
      <c r="A982" s="91">
        <v>1.0</v>
      </c>
      <c r="B982" s="91" t="s">
        <v>3525</v>
      </c>
      <c r="C982" s="91" t="s">
        <v>1112</v>
      </c>
    </row>
    <row r="983">
      <c r="A983" s="91">
        <v>1.0</v>
      </c>
      <c r="B983" s="91" t="s">
        <v>3526</v>
      </c>
      <c r="C983" s="91" t="s">
        <v>1112</v>
      </c>
    </row>
    <row r="984">
      <c r="A984" s="91">
        <v>1.0</v>
      </c>
      <c r="B984" s="91" t="s">
        <v>3527</v>
      </c>
      <c r="C984" s="91" t="s">
        <v>2301</v>
      </c>
    </row>
    <row r="985">
      <c r="A985" s="91">
        <v>1.0</v>
      </c>
      <c r="B985" s="91" t="s">
        <v>3528</v>
      </c>
      <c r="C985" s="91" t="s">
        <v>193</v>
      </c>
    </row>
    <row r="986">
      <c r="A986" s="91">
        <v>1.0</v>
      </c>
      <c r="B986" s="91" t="s">
        <v>3529</v>
      </c>
      <c r="C986" s="91" t="s">
        <v>3122</v>
      </c>
    </row>
    <row r="987">
      <c r="A987" s="91">
        <v>1.0</v>
      </c>
      <c r="B987" s="91" t="s">
        <v>2988</v>
      </c>
      <c r="C987" s="91" t="s">
        <v>3122</v>
      </c>
    </row>
    <row r="988">
      <c r="A988" s="91">
        <v>1.0</v>
      </c>
      <c r="B988" s="91" t="s">
        <v>3530</v>
      </c>
      <c r="C988" s="91" t="s">
        <v>255</v>
      </c>
    </row>
    <row r="989">
      <c r="A989" s="91">
        <v>1.0</v>
      </c>
      <c r="B989" s="91" t="s">
        <v>3531</v>
      </c>
      <c r="C989" s="91" t="s">
        <v>3331</v>
      </c>
    </row>
    <row r="990">
      <c r="A990" s="91">
        <v>1.0</v>
      </c>
      <c r="B990" s="91" t="s">
        <v>3532</v>
      </c>
      <c r="C990" s="91" t="s">
        <v>1345</v>
      </c>
    </row>
    <row r="991">
      <c r="A991" s="91">
        <v>1.0</v>
      </c>
      <c r="B991" s="91" t="s">
        <v>3533</v>
      </c>
      <c r="C991" s="91" t="s">
        <v>1345</v>
      </c>
    </row>
    <row r="992">
      <c r="A992" s="91">
        <v>1.0</v>
      </c>
      <c r="B992" s="91" t="s">
        <v>3534</v>
      </c>
      <c r="C992" s="91" t="s">
        <v>722</v>
      </c>
    </row>
    <row r="993">
      <c r="A993" s="91">
        <v>1.0</v>
      </c>
      <c r="B993" s="91" t="s">
        <v>3535</v>
      </c>
      <c r="C993" s="91" t="s">
        <v>722</v>
      </c>
    </row>
    <row r="994">
      <c r="A994" s="91">
        <v>1.0</v>
      </c>
      <c r="B994" s="91" t="s">
        <v>3536</v>
      </c>
      <c r="C994" s="91" t="s">
        <v>806</v>
      </c>
    </row>
    <row r="995">
      <c r="A995" s="91">
        <v>1.0</v>
      </c>
      <c r="B995" s="91" t="s">
        <v>3537</v>
      </c>
      <c r="C995" s="91" t="s">
        <v>806</v>
      </c>
    </row>
    <row r="996">
      <c r="A996" s="91">
        <v>1.0</v>
      </c>
      <c r="B996" s="91" t="s">
        <v>3538</v>
      </c>
      <c r="C996" s="91" t="s">
        <v>800</v>
      </c>
    </row>
    <row r="997">
      <c r="A997" s="91">
        <v>1.0</v>
      </c>
      <c r="B997" s="91" t="s">
        <v>3539</v>
      </c>
      <c r="C997" s="91" t="s">
        <v>2991</v>
      </c>
    </row>
    <row r="998">
      <c r="A998" s="91">
        <v>1.0</v>
      </c>
      <c r="B998" s="91" t="s">
        <v>3540</v>
      </c>
      <c r="C998" s="91" t="s">
        <v>2108</v>
      </c>
    </row>
    <row r="999">
      <c r="A999" s="91">
        <v>1.0</v>
      </c>
      <c r="B999" s="91" t="s">
        <v>3541</v>
      </c>
      <c r="C999" s="91" t="s">
        <v>64</v>
      </c>
    </row>
    <row r="1000">
      <c r="A1000" s="91">
        <v>1.0</v>
      </c>
      <c r="B1000" s="91" t="s">
        <v>3542</v>
      </c>
      <c r="C1000" s="91" t="s">
        <v>1047</v>
      </c>
    </row>
    <row r="1001">
      <c r="A1001" s="91">
        <v>1.0</v>
      </c>
      <c r="B1001" s="91" t="s">
        <v>3543</v>
      </c>
      <c r="C1001" s="91" t="s">
        <v>64</v>
      </c>
    </row>
    <row r="1002">
      <c r="A1002" s="91">
        <v>1.0</v>
      </c>
      <c r="B1002" s="91" t="s">
        <v>3544</v>
      </c>
      <c r="C1002" s="91" t="s">
        <v>1189</v>
      </c>
    </row>
    <row r="1003">
      <c r="A1003" s="91">
        <v>1.0</v>
      </c>
      <c r="B1003" s="91" t="s">
        <v>3083</v>
      </c>
      <c r="C1003" s="91" t="s">
        <v>1218</v>
      </c>
    </row>
    <row r="1004">
      <c r="A1004" s="91">
        <v>1.0</v>
      </c>
      <c r="B1004" s="91" t="s">
        <v>3083</v>
      </c>
      <c r="C1004" s="91" t="s">
        <v>1250</v>
      </c>
    </row>
    <row r="1005">
      <c r="A1005" s="91">
        <v>1.0</v>
      </c>
      <c r="B1005" s="91" t="s">
        <v>3083</v>
      </c>
      <c r="C1005" s="91" t="s">
        <v>3545</v>
      </c>
    </row>
    <row r="1006">
      <c r="A1006" s="91">
        <v>1.0</v>
      </c>
      <c r="B1006" s="91" t="s">
        <v>3546</v>
      </c>
      <c r="C1006" s="91" t="s">
        <v>1364</v>
      </c>
    </row>
    <row r="1007">
      <c r="A1007" s="91">
        <v>1.0</v>
      </c>
      <c r="B1007" s="91" t="s">
        <v>3547</v>
      </c>
      <c r="C1007" s="91" t="s">
        <v>2065</v>
      </c>
    </row>
    <row r="1008">
      <c r="A1008" s="91">
        <v>1.0</v>
      </c>
      <c r="B1008" s="91" t="s">
        <v>3548</v>
      </c>
      <c r="C1008" s="91" t="s">
        <v>2065</v>
      </c>
    </row>
    <row r="1009">
      <c r="A1009" s="91">
        <v>1.0</v>
      </c>
      <c r="B1009" s="91" t="s">
        <v>3549</v>
      </c>
      <c r="C1009" s="91" t="s">
        <v>1082</v>
      </c>
    </row>
    <row r="1010">
      <c r="A1010" s="91">
        <v>1.0</v>
      </c>
      <c r="B1010" s="91" t="s">
        <v>3550</v>
      </c>
      <c r="C1010" s="91" t="s">
        <v>173</v>
      </c>
    </row>
    <row r="1011">
      <c r="A1011" s="91">
        <v>1.0</v>
      </c>
      <c r="B1011" s="91" t="s">
        <v>3551</v>
      </c>
      <c r="C1011" s="91" t="s">
        <v>193</v>
      </c>
    </row>
    <row r="1012">
      <c r="A1012" s="91">
        <v>1.0</v>
      </c>
      <c r="B1012" s="91" t="s">
        <v>3552</v>
      </c>
      <c r="C1012" s="91" t="s">
        <v>193</v>
      </c>
    </row>
    <row r="1013">
      <c r="A1013" s="91">
        <v>1.0</v>
      </c>
      <c r="B1013" s="91" t="s">
        <v>3553</v>
      </c>
      <c r="C1013" s="91" t="s">
        <v>1345</v>
      </c>
    </row>
    <row r="1014">
      <c r="A1014" s="91">
        <v>1.0</v>
      </c>
      <c r="B1014" s="91" t="s">
        <v>3554</v>
      </c>
      <c r="C1014" s="91" t="s">
        <v>2215</v>
      </c>
    </row>
    <row r="1015">
      <c r="A1015" s="91">
        <v>1.0</v>
      </c>
      <c r="B1015" s="91" t="s">
        <v>3554</v>
      </c>
      <c r="C1015" s="91" t="s">
        <v>474</v>
      </c>
    </row>
    <row r="1016">
      <c r="A1016" s="91">
        <v>1.0</v>
      </c>
      <c r="B1016" s="91" t="s">
        <v>3555</v>
      </c>
      <c r="C1016" s="91" t="s">
        <v>297</v>
      </c>
    </row>
    <row r="1017">
      <c r="A1017" s="91">
        <v>1.0</v>
      </c>
      <c r="B1017" s="91" t="s">
        <v>3556</v>
      </c>
      <c r="C1017" s="91" t="s">
        <v>497</v>
      </c>
    </row>
    <row r="1018">
      <c r="A1018" s="91">
        <v>1.0</v>
      </c>
      <c r="B1018" s="91" t="s">
        <v>3557</v>
      </c>
      <c r="C1018" s="91" t="s">
        <v>497</v>
      </c>
    </row>
    <row r="1019">
      <c r="A1019" s="91">
        <v>1.0</v>
      </c>
      <c r="B1019" s="91" t="s">
        <v>3558</v>
      </c>
      <c r="C1019" s="91" t="s">
        <v>143</v>
      </c>
    </row>
    <row r="1020">
      <c r="A1020" s="91">
        <v>1.0</v>
      </c>
      <c r="B1020" s="91" t="s">
        <v>3559</v>
      </c>
      <c r="C1020" s="91" t="s">
        <v>143</v>
      </c>
    </row>
    <row r="1021">
      <c r="A1021" s="91">
        <v>1.0</v>
      </c>
      <c r="B1021" s="91" t="s">
        <v>3560</v>
      </c>
      <c r="C1021" s="91" t="s">
        <v>1361</v>
      </c>
    </row>
    <row r="1022">
      <c r="A1022" s="91">
        <v>1.0</v>
      </c>
      <c r="B1022" s="91" t="s">
        <v>3561</v>
      </c>
      <c r="C1022" s="91" t="s">
        <v>173</v>
      </c>
    </row>
    <row r="1023">
      <c r="A1023" s="91">
        <v>1.0</v>
      </c>
      <c r="B1023" s="91" t="s">
        <v>3562</v>
      </c>
      <c r="C1023" s="91" t="s">
        <v>343</v>
      </c>
    </row>
    <row r="1024">
      <c r="A1024" s="91">
        <v>1.0</v>
      </c>
      <c r="B1024" s="91" t="s">
        <v>3563</v>
      </c>
      <c r="C1024" s="91" t="s">
        <v>343</v>
      </c>
    </row>
    <row r="1025">
      <c r="A1025" s="91">
        <v>1.0</v>
      </c>
      <c r="B1025" s="91" t="s">
        <v>3564</v>
      </c>
      <c r="C1025" s="91" t="s">
        <v>343</v>
      </c>
    </row>
    <row r="1026">
      <c r="A1026" s="91">
        <v>1.0</v>
      </c>
      <c r="B1026" s="91" t="s">
        <v>3565</v>
      </c>
      <c r="C1026" s="91" t="s">
        <v>640</v>
      </c>
    </row>
    <row r="1027">
      <c r="A1027" s="91">
        <v>1.0</v>
      </c>
      <c r="B1027" s="91" t="s">
        <v>3566</v>
      </c>
      <c r="C1027" s="91" t="s">
        <v>343</v>
      </c>
    </row>
    <row r="1028">
      <c r="A1028" s="91">
        <v>1.0</v>
      </c>
      <c r="B1028" s="91" t="s">
        <v>3567</v>
      </c>
      <c r="C1028" s="91" t="s">
        <v>343</v>
      </c>
    </row>
    <row r="1029">
      <c r="A1029" s="91">
        <v>1.0</v>
      </c>
      <c r="B1029" s="91" t="s">
        <v>3568</v>
      </c>
      <c r="C1029" s="91" t="s">
        <v>181</v>
      </c>
    </row>
    <row r="1030">
      <c r="A1030" s="91">
        <v>1.0</v>
      </c>
      <c r="B1030" s="91" t="s">
        <v>3089</v>
      </c>
      <c r="C1030" s="91" t="s">
        <v>2325</v>
      </c>
    </row>
    <row r="1031">
      <c r="A1031" s="91">
        <v>1.0</v>
      </c>
      <c r="B1031" s="91" t="s">
        <v>3569</v>
      </c>
      <c r="C1031" s="91" t="s">
        <v>1668</v>
      </c>
    </row>
    <row r="1032">
      <c r="A1032" s="91">
        <v>1.0</v>
      </c>
      <c r="B1032" s="91" t="s">
        <v>3570</v>
      </c>
      <c r="C1032" s="91" t="s">
        <v>386</v>
      </c>
    </row>
    <row r="1033">
      <c r="A1033" s="91">
        <v>1.0</v>
      </c>
      <c r="B1033" s="91" t="s">
        <v>3571</v>
      </c>
      <c r="C1033" s="91" t="s">
        <v>2325</v>
      </c>
    </row>
    <row r="1034">
      <c r="A1034" s="91">
        <v>1.0</v>
      </c>
      <c r="B1034" s="91" t="s">
        <v>3572</v>
      </c>
      <c r="C1034" s="91" t="s">
        <v>2325</v>
      </c>
    </row>
    <row r="1035">
      <c r="A1035" s="91">
        <v>1.0</v>
      </c>
      <c r="B1035" s="91" t="s">
        <v>3573</v>
      </c>
      <c r="C1035" s="91" t="s">
        <v>1076</v>
      </c>
    </row>
    <row r="1036">
      <c r="A1036" s="91">
        <v>1.0</v>
      </c>
      <c r="B1036" s="91" t="s">
        <v>3574</v>
      </c>
      <c r="C1036" s="91" t="s">
        <v>812</v>
      </c>
    </row>
    <row r="1037">
      <c r="A1037" s="91">
        <v>1.0</v>
      </c>
      <c r="B1037" s="91" t="s">
        <v>3575</v>
      </c>
      <c r="C1037" s="91" t="s">
        <v>812</v>
      </c>
    </row>
    <row r="1038">
      <c r="A1038" s="91">
        <v>1.0</v>
      </c>
      <c r="B1038" s="91" t="s">
        <v>3576</v>
      </c>
      <c r="C1038" s="91" t="s">
        <v>907</v>
      </c>
    </row>
    <row r="1039">
      <c r="A1039" s="91">
        <v>1.0</v>
      </c>
      <c r="B1039" s="91" t="s">
        <v>3576</v>
      </c>
      <c r="C1039" s="91" t="s">
        <v>509</v>
      </c>
    </row>
    <row r="1040">
      <c r="A1040" s="91">
        <v>1.0</v>
      </c>
      <c r="B1040" s="91" t="s">
        <v>3577</v>
      </c>
      <c r="C1040" s="91" t="s">
        <v>1195</v>
      </c>
    </row>
    <row r="1041">
      <c r="A1041" s="91">
        <v>1.0</v>
      </c>
      <c r="B1041" s="91" t="s">
        <v>3578</v>
      </c>
      <c r="C1041" s="91" t="s">
        <v>1195</v>
      </c>
    </row>
    <row r="1042">
      <c r="A1042" s="91">
        <v>1.0</v>
      </c>
      <c r="B1042" s="91" t="s">
        <v>3579</v>
      </c>
      <c r="C1042" s="91" t="s">
        <v>497</v>
      </c>
    </row>
    <row r="1043">
      <c r="A1043" s="91">
        <v>1.0</v>
      </c>
      <c r="B1043" s="91" t="s">
        <v>3580</v>
      </c>
      <c r="C1043" s="91" t="s">
        <v>497</v>
      </c>
    </row>
    <row r="1044">
      <c r="A1044" s="91">
        <v>1.0</v>
      </c>
      <c r="B1044" s="91" t="s">
        <v>3581</v>
      </c>
      <c r="C1044" s="91" t="s">
        <v>497</v>
      </c>
    </row>
    <row r="1045">
      <c r="A1045" s="91">
        <v>1.0</v>
      </c>
      <c r="B1045" s="91" t="s">
        <v>3582</v>
      </c>
      <c r="C1045" s="91" t="s">
        <v>3583</v>
      </c>
    </row>
    <row r="1046">
      <c r="A1046" s="91">
        <v>1.0</v>
      </c>
      <c r="B1046" s="91" t="s">
        <v>3584</v>
      </c>
      <c r="C1046" s="91" t="s">
        <v>2266</v>
      </c>
    </row>
    <row r="1047">
      <c r="A1047" s="91">
        <v>1.0</v>
      </c>
      <c r="B1047" s="91" t="s">
        <v>3585</v>
      </c>
      <c r="C1047" s="91" t="s">
        <v>2799</v>
      </c>
    </row>
    <row r="1048">
      <c r="A1048" s="91">
        <v>1.0</v>
      </c>
      <c r="B1048" s="91" t="s">
        <v>2918</v>
      </c>
      <c r="C1048" s="91" t="s">
        <v>3276</v>
      </c>
    </row>
    <row r="1049">
      <c r="A1049" s="91">
        <v>1.0</v>
      </c>
      <c r="B1049" s="91" t="s">
        <v>3586</v>
      </c>
      <c r="C1049" s="91" t="s">
        <v>1451</v>
      </c>
    </row>
    <row r="1050">
      <c r="A1050" s="91">
        <v>1.0</v>
      </c>
      <c r="B1050" s="91" t="s">
        <v>3587</v>
      </c>
      <c r="C1050" s="91" t="s">
        <v>491</v>
      </c>
    </row>
    <row r="1051">
      <c r="A1051" s="91">
        <v>1.0</v>
      </c>
      <c r="B1051" s="91" t="s">
        <v>3588</v>
      </c>
      <c r="C1051" s="91" t="s">
        <v>1611</v>
      </c>
    </row>
    <row r="1052">
      <c r="A1052" s="91">
        <v>1.0</v>
      </c>
      <c r="B1052" s="91" t="s">
        <v>3589</v>
      </c>
      <c r="C1052" s="91" t="s">
        <v>1611</v>
      </c>
    </row>
    <row r="1053">
      <c r="A1053" s="91">
        <v>1.0</v>
      </c>
      <c r="B1053" s="91" t="s">
        <v>3590</v>
      </c>
      <c r="C1053" s="91" t="s">
        <v>2108</v>
      </c>
    </row>
    <row r="1054">
      <c r="A1054" s="91">
        <v>1.0</v>
      </c>
      <c r="B1054" s="91" t="s">
        <v>3591</v>
      </c>
      <c r="C1054" s="91" t="s">
        <v>58</v>
      </c>
    </row>
    <row r="1055">
      <c r="A1055" s="91">
        <v>1.0</v>
      </c>
      <c r="B1055" s="91" t="s">
        <v>3592</v>
      </c>
      <c r="C1055" s="91" t="s">
        <v>2215</v>
      </c>
    </row>
    <row r="1056">
      <c r="A1056" s="91">
        <v>1.0</v>
      </c>
      <c r="B1056" s="91" t="s">
        <v>3593</v>
      </c>
      <c r="C1056" s="91" t="s">
        <v>3594</v>
      </c>
    </row>
    <row r="1057">
      <c r="A1057" s="91">
        <v>1.0</v>
      </c>
      <c r="B1057" s="91" t="s">
        <v>3593</v>
      </c>
      <c r="C1057" s="91" t="s">
        <v>1165</v>
      </c>
    </row>
    <row r="1058">
      <c r="A1058" s="91">
        <v>1.0</v>
      </c>
      <c r="B1058" s="91" t="s">
        <v>3595</v>
      </c>
      <c r="C1058" s="91" t="s">
        <v>1165</v>
      </c>
    </row>
    <row r="1059">
      <c r="A1059" s="91">
        <v>1.0</v>
      </c>
      <c r="B1059" s="91" t="s">
        <v>3596</v>
      </c>
      <c r="C1059" s="91" t="s">
        <v>1165</v>
      </c>
    </row>
    <row r="1060">
      <c r="A1060" s="91">
        <v>1.0</v>
      </c>
      <c r="B1060" s="91" t="s">
        <v>3597</v>
      </c>
      <c r="C1060" s="91" t="s">
        <v>3594</v>
      </c>
    </row>
    <row r="1061">
      <c r="A1061" s="91">
        <v>1.0</v>
      </c>
      <c r="B1061" s="91" t="s">
        <v>3598</v>
      </c>
      <c r="C1061" s="91" t="s">
        <v>497</v>
      </c>
    </row>
    <row r="1062">
      <c r="A1062" s="91">
        <v>1.0</v>
      </c>
      <c r="B1062" s="91" t="s">
        <v>3599</v>
      </c>
      <c r="C1062" s="91" t="s">
        <v>497</v>
      </c>
    </row>
    <row r="1063">
      <c r="A1063" s="91">
        <v>1.0</v>
      </c>
      <c r="B1063" s="91" t="s">
        <v>3600</v>
      </c>
      <c r="C1063" s="91" t="s">
        <v>497</v>
      </c>
    </row>
    <row r="1064">
      <c r="A1064" s="91">
        <v>1.0</v>
      </c>
      <c r="B1064" s="91" t="s">
        <v>3601</v>
      </c>
      <c r="C1064" s="91" t="s">
        <v>2349</v>
      </c>
    </row>
    <row r="1065">
      <c r="A1065" s="91">
        <v>1.0</v>
      </c>
      <c r="B1065" s="91" t="s">
        <v>3602</v>
      </c>
      <c r="C1065" s="91" t="s">
        <v>1047</v>
      </c>
    </row>
    <row r="1066">
      <c r="A1066" s="91">
        <v>1.0</v>
      </c>
      <c r="B1066" s="91" t="s">
        <v>3603</v>
      </c>
      <c r="C1066" s="91" t="s">
        <v>2321</v>
      </c>
    </row>
    <row r="1067">
      <c r="A1067" s="91">
        <v>1.0</v>
      </c>
      <c r="B1067" s="91" t="s">
        <v>3603</v>
      </c>
      <c r="C1067" s="91" t="s">
        <v>676</v>
      </c>
    </row>
    <row r="1068">
      <c r="A1068" s="91">
        <v>1.0</v>
      </c>
      <c r="B1068" s="91" t="s">
        <v>3604</v>
      </c>
      <c r="C1068" s="91" t="s">
        <v>2321</v>
      </c>
    </row>
    <row r="1069">
      <c r="A1069" s="91">
        <v>1.0</v>
      </c>
      <c r="B1069" s="91" t="s">
        <v>3605</v>
      </c>
      <c r="C1069" s="91" t="s">
        <v>676</v>
      </c>
    </row>
    <row r="1070">
      <c r="A1070" s="91">
        <v>1.0</v>
      </c>
      <c r="B1070" s="91" t="s">
        <v>3606</v>
      </c>
      <c r="C1070" s="91" t="s">
        <v>497</v>
      </c>
    </row>
    <row r="1071">
      <c r="A1071" s="91">
        <v>1.0</v>
      </c>
      <c r="B1071" s="91" t="s">
        <v>3607</v>
      </c>
      <c r="C1071" s="91" t="s">
        <v>64</v>
      </c>
    </row>
    <row r="1072">
      <c r="A1072" s="91">
        <v>1.0</v>
      </c>
      <c r="B1072" s="91" t="s">
        <v>3608</v>
      </c>
      <c r="C1072" s="91" t="s">
        <v>410</v>
      </c>
    </row>
    <row r="1073">
      <c r="A1073" s="91">
        <v>1.0</v>
      </c>
      <c r="B1073" s="91" t="s">
        <v>3609</v>
      </c>
      <c r="C1073" s="91" t="s">
        <v>410</v>
      </c>
    </row>
    <row r="1074">
      <c r="A1074" s="91">
        <v>1.0</v>
      </c>
      <c r="B1074" s="91" t="s">
        <v>3610</v>
      </c>
      <c r="C1074" s="91" t="s">
        <v>410</v>
      </c>
    </row>
    <row r="1075">
      <c r="A1075" s="91">
        <v>1.0</v>
      </c>
      <c r="B1075" s="91" t="s">
        <v>3611</v>
      </c>
      <c r="C1075" s="91" t="s">
        <v>1548</v>
      </c>
    </row>
    <row r="1076">
      <c r="A1076" s="91">
        <v>1.0</v>
      </c>
      <c r="B1076" s="91" t="s">
        <v>3612</v>
      </c>
      <c r="C1076" s="91" t="s">
        <v>410</v>
      </c>
    </row>
    <row r="1077">
      <c r="A1077" s="91">
        <v>1.0</v>
      </c>
      <c r="B1077" s="91" t="s">
        <v>3149</v>
      </c>
      <c r="C1077" s="91" t="s">
        <v>3402</v>
      </c>
    </row>
    <row r="1078">
      <c r="A1078" s="91">
        <v>1.0</v>
      </c>
      <c r="B1078" s="91" t="s">
        <v>3613</v>
      </c>
      <c r="C1078" s="91" t="s">
        <v>3402</v>
      </c>
    </row>
    <row r="1079">
      <c r="A1079" s="91">
        <v>1.0</v>
      </c>
      <c r="B1079" s="91" t="s">
        <v>3614</v>
      </c>
      <c r="C1079" s="91" t="s">
        <v>413</v>
      </c>
    </row>
    <row r="1080">
      <c r="A1080" s="91">
        <v>1.0</v>
      </c>
      <c r="B1080" s="91" t="s">
        <v>3615</v>
      </c>
      <c r="C1080" s="91" t="s">
        <v>491</v>
      </c>
    </row>
    <row r="1081">
      <c r="A1081" s="91">
        <v>1.0</v>
      </c>
      <c r="B1081" s="91" t="s">
        <v>3616</v>
      </c>
      <c r="C1081" s="91" t="s">
        <v>491</v>
      </c>
    </row>
    <row r="1082">
      <c r="A1082" s="91">
        <v>1.0</v>
      </c>
      <c r="B1082" s="91" t="s">
        <v>3617</v>
      </c>
      <c r="C1082" s="91" t="s">
        <v>1337</v>
      </c>
    </row>
    <row r="1083">
      <c r="A1083" s="91">
        <v>1.0</v>
      </c>
      <c r="B1083" s="91" t="s">
        <v>3618</v>
      </c>
      <c r="C1083" s="91" t="s">
        <v>3486</v>
      </c>
    </row>
    <row r="1084">
      <c r="A1084" s="91">
        <v>1.0</v>
      </c>
      <c r="B1084" s="91" t="s">
        <v>3619</v>
      </c>
      <c r="C1084" s="91" t="s">
        <v>3402</v>
      </c>
    </row>
    <row r="1085">
      <c r="A1085" s="91">
        <v>1.0</v>
      </c>
      <c r="B1085" s="91" t="s">
        <v>3620</v>
      </c>
      <c r="C1085" s="91" t="s">
        <v>3402</v>
      </c>
    </row>
    <row r="1086">
      <c r="A1086" s="91">
        <v>1.0</v>
      </c>
      <c r="B1086" s="91" t="s">
        <v>3621</v>
      </c>
      <c r="C1086" s="91" t="s">
        <v>279</v>
      </c>
    </row>
    <row r="1087">
      <c r="A1087" s="91">
        <v>1.0</v>
      </c>
      <c r="B1087" s="91" t="s">
        <v>3622</v>
      </c>
      <c r="C1087" s="91" t="s">
        <v>410</v>
      </c>
    </row>
    <row r="1088">
      <c r="A1088" s="91">
        <v>1.0</v>
      </c>
      <c r="B1088" s="91" t="s">
        <v>3623</v>
      </c>
      <c r="C1088" s="91" t="s">
        <v>491</v>
      </c>
    </row>
    <row r="1089">
      <c r="A1089" s="91">
        <v>1.0</v>
      </c>
      <c r="B1089" s="91" t="s">
        <v>3624</v>
      </c>
      <c r="C1089" s="91" t="s">
        <v>491</v>
      </c>
    </row>
    <row r="1090">
      <c r="A1090" s="91">
        <v>1.0</v>
      </c>
      <c r="B1090" s="91" t="s">
        <v>3625</v>
      </c>
      <c r="C1090" s="91" t="s">
        <v>491</v>
      </c>
    </row>
    <row r="1091">
      <c r="A1091" s="91">
        <v>1.0</v>
      </c>
      <c r="B1091" s="91" t="s">
        <v>3626</v>
      </c>
      <c r="C1091" s="91" t="s">
        <v>491</v>
      </c>
    </row>
    <row r="1092">
      <c r="A1092" s="91">
        <v>1.0</v>
      </c>
      <c r="B1092" s="91" t="s">
        <v>3627</v>
      </c>
      <c r="C1092" s="91" t="s">
        <v>320</v>
      </c>
    </row>
    <row r="1093">
      <c r="A1093" s="91">
        <v>1.0</v>
      </c>
      <c r="B1093" s="91" t="s">
        <v>3628</v>
      </c>
      <c r="C1093" s="91" t="s">
        <v>199</v>
      </c>
    </row>
    <row r="1094">
      <c r="A1094" s="91">
        <v>1.0</v>
      </c>
      <c r="B1094" s="91" t="s">
        <v>3629</v>
      </c>
      <c r="C1094" s="91" t="s">
        <v>199</v>
      </c>
    </row>
    <row r="1095">
      <c r="A1095" s="91">
        <v>1.0</v>
      </c>
      <c r="B1095" s="91" t="s">
        <v>3630</v>
      </c>
      <c r="C1095" s="91" t="s">
        <v>1234</v>
      </c>
    </row>
    <row r="1096">
      <c r="A1096" s="91">
        <v>1.0</v>
      </c>
      <c r="B1096" s="91" t="s">
        <v>3631</v>
      </c>
      <c r="C1096" s="91" t="s">
        <v>320</v>
      </c>
    </row>
    <row r="1097">
      <c r="A1097" s="91">
        <v>1.0</v>
      </c>
      <c r="B1097" s="91" t="s">
        <v>3632</v>
      </c>
      <c r="C1097" s="91" t="s">
        <v>1020</v>
      </c>
    </row>
    <row r="1098">
      <c r="A1098" s="91">
        <v>1.0</v>
      </c>
      <c r="B1098" s="91" t="s">
        <v>3632</v>
      </c>
      <c r="C1098" s="91" t="s">
        <v>993</v>
      </c>
    </row>
    <row r="1099">
      <c r="A1099" s="91">
        <v>1.0</v>
      </c>
      <c r="B1099" s="91" t="s">
        <v>3632</v>
      </c>
      <c r="C1099" s="91" t="s">
        <v>2132</v>
      </c>
    </row>
    <row r="1100">
      <c r="A1100" s="91">
        <v>1.0</v>
      </c>
      <c r="B1100" s="91" t="s">
        <v>3633</v>
      </c>
      <c r="C1100" s="91" t="s">
        <v>993</v>
      </c>
    </row>
    <row r="1101">
      <c r="A1101" s="91">
        <v>1.0</v>
      </c>
      <c r="B1101" s="91" t="s">
        <v>3634</v>
      </c>
      <c r="C1101" s="91" t="s">
        <v>1682</v>
      </c>
    </row>
    <row r="1102">
      <c r="A1102" s="91">
        <v>1.0</v>
      </c>
      <c r="B1102" s="91" t="s">
        <v>3634</v>
      </c>
      <c r="C1102" s="91" t="s">
        <v>1687</v>
      </c>
    </row>
    <row r="1103">
      <c r="A1103" s="91">
        <v>1.0</v>
      </c>
      <c r="B1103" s="91" t="s">
        <v>3635</v>
      </c>
      <c r="C1103" s="91" t="s">
        <v>1020</v>
      </c>
    </row>
    <row r="1104">
      <c r="A1104" s="91">
        <v>1.0</v>
      </c>
      <c r="B1104" s="91" t="s">
        <v>2839</v>
      </c>
      <c r="C1104" s="91" t="s">
        <v>2035</v>
      </c>
    </row>
    <row r="1105">
      <c r="A1105" s="91">
        <v>1.0</v>
      </c>
      <c r="B1105" s="91" t="s">
        <v>2839</v>
      </c>
      <c r="C1105" s="91" t="s">
        <v>1678</v>
      </c>
    </row>
    <row r="1106">
      <c r="A1106" s="91">
        <v>1.0</v>
      </c>
      <c r="B1106" s="91" t="s">
        <v>2839</v>
      </c>
      <c r="C1106" s="91" t="s">
        <v>1687</v>
      </c>
    </row>
    <row r="1107">
      <c r="A1107" s="91">
        <v>1.0</v>
      </c>
      <c r="B1107" s="91" t="s">
        <v>3636</v>
      </c>
      <c r="C1107" s="91" t="s">
        <v>993</v>
      </c>
    </row>
    <row r="1108">
      <c r="A1108" s="91">
        <v>1.0</v>
      </c>
      <c r="B1108" s="91" t="s">
        <v>3101</v>
      </c>
      <c r="C1108" s="91" t="s">
        <v>3637</v>
      </c>
    </row>
    <row r="1109">
      <c r="A1109" s="91">
        <v>1.0</v>
      </c>
      <c r="B1109" s="91" t="s">
        <v>3638</v>
      </c>
      <c r="C1109" s="91" t="s">
        <v>1053</v>
      </c>
    </row>
    <row r="1110">
      <c r="A1110" s="91">
        <v>1.0</v>
      </c>
      <c r="B1110" s="91" t="s">
        <v>3639</v>
      </c>
      <c r="C1110" s="91" t="s">
        <v>1053</v>
      </c>
    </row>
    <row r="1111">
      <c r="A1111" s="91">
        <v>1.0</v>
      </c>
      <c r="B1111" s="91" t="s">
        <v>3640</v>
      </c>
      <c r="C1111" s="91" t="s">
        <v>1009</v>
      </c>
    </row>
    <row r="1112">
      <c r="A1112" s="91">
        <v>1.0</v>
      </c>
      <c r="B1112" s="91" t="s">
        <v>3641</v>
      </c>
      <c r="C1112" s="91" t="s">
        <v>2799</v>
      </c>
    </row>
    <row r="1113">
      <c r="A1113" s="91">
        <v>1.0</v>
      </c>
      <c r="B1113" s="91" t="s">
        <v>2969</v>
      </c>
      <c r="C1113" s="91" t="s">
        <v>2266</v>
      </c>
    </row>
    <row r="1114">
      <c r="A1114" s="91">
        <v>1.0</v>
      </c>
      <c r="B1114" s="91" t="s">
        <v>3642</v>
      </c>
      <c r="C1114" s="91" t="s">
        <v>1542</v>
      </c>
    </row>
    <row r="1115">
      <c r="A1115" s="91">
        <v>1.0</v>
      </c>
      <c r="B1115" s="91" t="s">
        <v>3103</v>
      </c>
      <c r="C1115" s="91" t="s">
        <v>2266</v>
      </c>
    </row>
    <row r="1116">
      <c r="A1116" s="91">
        <v>1.0</v>
      </c>
      <c r="B1116" s="91" t="s">
        <v>3643</v>
      </c>
      <c r="C1116" s="91" t="s">
        <v>2266</v>
      </c>
    </row>
    <row r="1117">
      <c r="A1117" s="91">
        <v>1.0</v>
      </c>
      <c r="B1117" s="91" t="s">
        <v>3644</v>
      </c>
      <c r="C1117" s="91" t="s">
        <v>2266</v>
      </c>
    </row>
    <row r="1118">
      <c r="A1118" s="91">
        <v>1.0</v>
      </c>
      <c r="B1118" s="91" t="s">
        <v>3645</v>
      </c>
      <c r="C1118" s="91" t="s">
        <v>1542</v>
      </c>
    </row>
    <row r="1119">
      <c r="A1119" s="91">
        <v>1.0</v>
      </c>
      <c r="B1119" s="91" t="s">
        <v>2840</v>
      </c>
      <c r="C1119" s="91" t="s">
        <v>245</v>
      </c>
    </row>
    <row r="1120">
      <c r="A1120" s="91">
        <v>1.0</v>
      </c>
      <c r="B1120" s="91" t="s">
        <v>2970</v>
      </c>
      <c r="C1120" s="91" t="s">
        <v>245</v>
      </c>
    </row>
    <row r="1121">
      <c r="A1121" s="91">
        <v>1.0</v>
      </c>
      <c r="B1121" s="91" t="s">
        <v>3646</v>
      </c>
      <c r="C1121" s="91" t="s">
        <v>800</v>
      </c>
    </row>
    <row r="1122">
      <c r="A1122" s="91">
        <v>1.0</v>
      </c>
      <c r="B1122" s="91" t="s">
        <v>3647</v>
      </c>
      <c r="C1122" s="91" t="s">
        <v>939</v>
      </c>
    </row>
    <row r="1123">
      <c r="A1123" s="91">
        <v>1.0</v>
      </c>
      <c r="B1123" s="91" t="s">
        <v>3648</v>
      </c>
      <c r="C1123" s="91" t="s">
        <v>1020</v>
      </c>
    </row>
    <row r="1124">
      <c r="A1124" s="91">
        <v>1.0</v>
      </c>
      <c r="B1124" s="91" t="s">
        <v>3649</v>
      </c>
      <c r="C1124" s="91" t="s">
        <v>1345</v>
      </c>
    </row>
    <row r="1125">
      <c r="A1125" s="91">
        <v>1.0</v>
      </c>
      <c r="B1125" s="91" t="s">
        <v>3650</v>
      </c>
      <c r="C1125" s="91" t="s">
        <v>1345</v>
      </c>
    </row>
    <row r="1126">
      <c r="A1126" s="91">
        <v>1.0</v>
      </c>
      <c r="B1126" s="91" t="s">
        <v>3651</v>
      </c>
      <c r="C1126" s="91" t="s">
        <v>1413</v>
      </c>
    </row>
    <row r="1127">
      <c r="A1127" s="91">
        <v>1.0</v>
      </c>
      <c r="B1127" s="91" t="s">
        <v>2800</v>
      </c>
      <c r="C1127" s="91" t="s">
        <v>2277</v>
      </c>
    </row>
    <row r="1128">
      <c r="A1128" s="91">
        <v>1.0</v>
      </c>
      <c r="B1128" s="91" t="s">
        <v>3652</v>
      </c>
      <c r="C1128" s="91" t="s">
        <v>1009</v>
      </c>
    </row>
    <row r="1129">
      <c r="A1129" s="91">
        <v>1.0</v>
      </c>
      <c r="B1129" s="91" t="s">
        <v>3653</v>
      </c>
      <c r="C1129" s="91" t="s">
        <v>1009</v>
      </c>
    </row>
    <row r="1130">
      <c r="A1130" s="91">
        <v>1.0</v>
      </c>
      <c r="B1130" s="91" t="s">
        <v>3654</v>
      </c>
      <c r="C1130" s="91" t="s">
        <v>2277</v>
      </c>
    </row>
    <row r="1131">
      <c r="A1131" s="91">
        <v>1.0</v>
      </c>
      <c r="B1131" s="91" t="s">
        <v>3655</v>
      </c>
      <c r="C1131" s="91" t="s">
        <v>1413</v>
      </c>
    </row>
    <row r="1132">
      <c r="A1132" s="91">
        <v>1.0</v>
      </c>
      <c r="B1132" s="91" t="s">
        <v>3656</v>
      </c>
      <c r="C1132" s="91" t="s">
        <v>108</v>
      </c>
    </row>
    <row r="1133">
      <c r="A1133" s="91">
        <v>1.0</v>
      </c>
      <c r="B1133" s="91" t="s">
        <v>3657</v>
      </c>
      <c r="C1133" s="91" t="s">
        <v>823</v>
      </c>
    </row>
    <row r="1134">
      <c r="A1134" s="91">
        <v>1.0</v>
      </c>
      <c r="B1134" s="91" t="s">
        <v>3658</v>
      </c>
      <c r="C1134" s="91" t="s">
        <v>108</v>
      </c>
    </row>
    <row r="1135">
      <c r="A1135" s="91">
        <v>1.0</v>
      </c>
      <c r="B1135" s="91" t="s">
        <v>3659</v>
      </c>
      <c r="C1135" s="91" t="s">
        <v>2922</v>
      </c>
    </row>
    <row r="1136">
      <c r="A1136" s="91">
        <v>1.0</v>
      </c>
      <c r="B1136" s="91" t="s">
        <v>3660</v>
      </c>
      <c r="C1136" s="91" t="s">
        <v>823</v>
      </c>
    </row>
    <row r="1137">
      <c r="A1137" s="91">
        <v>1.0</v>
      </c>
      <c r="B1137" s="91" t="s">
        <v>3661</v>
      </c>
      <c r="C1137" s="91" t="s">
        <v>823</v>
      </c>
    </row>
    <row r="1138">
      <c r="A1138" s="91">
        <v>1.0</v>
      </c>
      <c r="B1138" s="91" t="s">
        <v>3662</v>
      </c>
      <c r="C1138" s="91" t="s">
        <v>823</v>
      </c>
    </row>
    <row r="1139">
      <c r="A1139" s="91">
        <v>1.0</v>
      </c>
      <c r="B1139" s="91" t="s">
        <v>3663</v>
      </c>
      <c r="C1139" s="91" t="s">
        <v>119</v>
      </c>
    </row>
    <row r="1140">
      <c r="A1140" s="91">
        <v>1.0</v>
      </c>
      <c r="B1140" s="91" t="s">
        <v>3664</v>
      </c>
      <c r="C1140" s="91" t="s">
        <v>2917</v>
      </c>
    </row>
    <row r="1141">
      <c r="A1141" s="91">
        <v>1.0</v>
      </c>
      <c r="B1141" s="91" t="s">
        <v>3665</v>
      </c>
      <c r="C1141" s="91" t="s">
        <v>474</v>
      </c>
    </row>
    <row r="1142">
      <c r="A1142" s="91">
        <v>1.0</v>
      </c>
      <c r="B1142" s="91" t="s">
        <v>3666</v>
      </c>
      <c r="C1142" s="91" t="s">
        <v>2343</v>
      </c>
    </row>
    <row r="1143">
      <c r="A1143" s="91">
        <v>1.0</v>
      </c>
      <c r="B1143" s="91" t="s">
        <v>3667</v>
      </c>
      <c r="C1143" s="91" t="s">
        <v>2343</v>
      </c>
    </row>
    <row r="1144">
      <c r="A1144" s="91">
        <v>1.0</v>
      </c>
      <c r="B1144" s="91" t="s">
        <v>3668</v>
      </c>
      <c r="C1144" s="91" t="s">
        <v>2343</v>
      </c>
    </row>
    <row r="1145">
      <c r="A1145" s="91">
        <v>1.0</v>
      </c>
      <c r="B1145" s="91" t="s">
        <v>2779</v>
      </c>
      <c r="C1145" s="91" t="s">
        <v>871</v>
      </c>
    </row>
    <row r="1146">
      <c r="A1146" s="91">
        <v>1.0</v>
      </c>
      <c r="B1146" s="91" t="s">
        <v>3669</v>
      </c>
      <c r="C1146" s="91" t="s">
        <v>871</v>
      </c>
    </row>
    <row r="1147">
      <c r="A1147" s="91">
        <v>1.0</v>
      </c>
      <c r="B1147" s="91" t="s">
        <v>3670</v>
      </c>
      <c r="C1147" s="91" t="s">
        <v>871</v>
      </c>
    </row>
    <row r="1148">
      <c r="A1148" s="91">
        <v>1.0</v>
      </c>
      <c r="B1148" s="91" t="s">
        <v>3671</v>
      </c>
      <c r="C1148" s="91" t="s">
        <v>343</v>
      </c>
    </row>
    <row r="1149">
      <c r="A1149" s="91">
        <v>1.0</v>
      </c>
      <c r="B1149" s="91" t="s">
        <v>3672</v>
      </c>
      <c r="C1149" s="91" t="s">
        <v>474</v>
      </c>
    </row>
    <row r="1150">
      <c r="A1150" s="91">
        <v>1.0</v>
      </c>
      <c r="B1150" s="91" t="s">
        <v>3673</v>
      </c>
      <c r="C1150" s="91" t="s">
        <v>474</v>
      </c>
    </row>
    <row r="1151">
      <c r="A1151" s="91">
        <v>1.0</v>
      </c>
      <c r="B1151" s="91" t="s">
        <v>3674</v>
      </c>
      <c r="C1151" s="91" t="s">
        <v>474</v>
      </c>
    </row>
    <row r="1152">
      <c r="A1152" s="91">
        <v>1.0</v>
      </c>
      <c r="B1152" s="91" t="s">
        <v>3675</v>
      </c>
      <c r="C1152" s="91" t="s">
        <v>3486</v>
      </c>
    </row>
    <row r="1153">
      <c r="A1153" s="91">
        <v>1.0</v>
      </c>
      <c r="B1153" s="91" t="s">
        <v>3676</v>
      </c>
      <c r="C1153" s="91" t="s">
        <v>3486</v>
      </c>
    </row>
    <row r="1154">
      <c r="A1154" s="91">
        <v>1.0</v>
      </c>
      <c r="B1154" s="91" t="s">
        <v>3677</v>
      </c>
      <c r="C1154" s="91" t="s">
        <v>1714</v>
      </c>
    </row>
    <row r="1155">
      <c r="A1155" s="91">
        <v>1.0</v>
      </c>
      <c r="B1155" s="91" t="s">
        <v>3678</v>
      </c>
      <c r="C1155" s="91" t="s">
        <v>1403</v>
      </c>
    </row>
    <row r="1156">
      <c r="A1156" s="91">
        <v>1.0</v>
      </c>
      <c r="B1156" s="91" t="s">
        <v>3679</v>
      </c>
      <c r="C1156" s="91" t="s">
        <v>3680</v>
      </c>
    </row>
    <row r="1157">
      <c r="A1157" s="91">
        <v>1.0</v>
      </c>
      <c r="B1157" s="91" t="s">
        <v>3679</v>
      </c>
      <c r="C1157" s="91" t="s">
        <v>2989</v>
      </c>
    </row>
    <row r="1158">
      <c r="A1158" s="91">
        <v>1.0</v>
      </c>
      <c r="B1158" s="91" t="s">
        <v>3679</v>
      </c>
      <c r="C1158" s="91" t="s">
        <v>3122</v>
      </c>
    </row>
    <row r="1159">
      <c r="A1159" s="91">
        <v>1.0</v>
      </c>
      <c r="B1159" s="91" t="s">
        <v>3681</v>
      </c>
      <c r="C1159" s="91" t="s">
        <v>2989</v>
      </c>
    </row>
    <row r="1160">
      <c r="A1160" s="91">
        <v>1.0</v>
      </c>
      <c r="B1160" s="91" t="s">
        <v>3682</v>
      </c>
      <c r="C1160" s="91" t="s">
        <v>1668</v>
      </c>
    </row>
    <row r="1161">
      <c r="A1161" s="91">
        <v>1.0</v>
      </c>
      <c r="B1161" s="91" t="s">
        <v>3683</v>
      </c>
      <c r="C1161" s="91" t="s">
        <v>1668</v>
      </c>
    </row>
    <row r="1162">
      <c r="A1162" s="91">
        <v>1.0</v>
      </c>
      <c r="B1162" s="91" t="s">
        <v>3684</v>
      </c>
      <c r="C1162" s="91" t="s">
        <v>255</v>
      </c>
    </row>
    <row r="1163">
      <c r="A1163" s="91">
        <v>1.0</v>
      </c>
      <c r="B1163" s="91" t="s">
        <v>3685</v>
      </c>
      <c r="C1163" s="91" t="s">
        <v>205</v>
      </c>
    </row>
    <row r="1164">
      <c r="A1164" s="91">
        <v>1.0</v>
      </c>
      <c r="B1164" s="91" t="s">
        <v>3686</v>
      </c>
      <c r="C1164" s="91" t="s">
        <v>430</v>
      </c>
    </row>
    <row r="1165">
      <c r="A1165" s="91">
        <v>1.0</v>
      </c>
      <c r="B1165" s="91" t="s">
        <v>3687</v>
      </c>
      <c r="C1165" s="91" t="s">
        <v>399</v>
      </c>
    </row>
    <row r="1166">
      <c r="A1166" s="91">
        <v>1.0</v>
      </c>
      <c r="B1166" s="91" t="s">
        <v>3688</v>
      </c>
      <c r="C1166" s="91" t="s">
        <v>211</v>
      </c>
    </row>
    <row r="1167">
      <c r="A1167" s="91">
        <v>1.0</v>
      </c>
      <c r="B1167" s="91" t="s">
        <v>3689</v>
      </c>
      <c r="C1167" s="91" t="s">
        <v>211</v>
      </c>
    </row>
    <row r="1168">
      <c r="A1168" s="91">
        <v>1.0</v>
      </c>
      <c r="B1168" s="91" t="s">
        <v>3690</v>
      </c>
      <c r="C1168" s="91" t="s">
        <v>3331</v>
      </c>
    </row>
    <row r="1169">
      <c r="A1169" s="91">
        <v>1.0</v>
      </c>
      <c r="B1169" s="91" t="s">
        <v>3691</v>
      </c>
      <c r="C1169" s="91" t="s">
        <v>1403</v>
      </c>
    </row>
    <row r="1170">
      <c r="A1170" s="91">
        <v>1.0</v>
      </c>
      <c r="B1170" s="91" t="s">
        <v>3692</v>
      </c>
      <c r="C1170" s="91" t="s">
        <v>682</v>
      </c>
    </row>
    <row r="1171">
      <c r="A1171" s="91">
        <v>1.0</v>
      </c>
      <c r="B1171" s="91" t="s">
        <v>3693</v>
      </c>
      <c r="C1171" s="91" t="s">
        <v>682</v>
      </c>
    </row>
    <row r="1172">
      <c r="A1172" s="91">
        <v>1.0</v>
      </c>
      <c r="B1172" s="91" t="s">
        <v>3694</v>
      </c>
      <c r="C1172" s="91" t="s">
        <v>752</v>
      </c>
    </row>
    <row r="1173">
      <c r="A1173" s="91">
        <v>1.0</v>
      </c>
      <c r="B1173" s="91" t="s">
        <v>3695</v>
      </c>
      <c r="C1173" s="91" t="s">
        <v>682</v>
      </c>
    </row>
    <row r="1174">
      <c r="A1174" s="91">
        <v>1.0</v>
      </c>
      <c r="B1174" s="91" t="s">
        <v>3696</v>
      </c>
      <c r="C1174" s="91" t="s">
        <v>682</v>
      </c>
    </row>
    <row r="1175">
      <c r="A1175" s="91">
        <v>1.0</v>
      </c>
      <c r="B1175" s="91" t="s">
        <v>3697</v>
      </c>
      <c r="C1175" s="91" t="s">
        <v>1059</v>
      </c>
    </row>
    <row r="1176">
      <c r="A1176" s="91">
        <v>1.0</v>
      </c>
      <c r="B1176" s="91" t="s">
        <v>3698</v>
      </c>
      <c r="C1176" s="91" t="s">
        <v>694</v>
      </c>
    </row>
    <row r="1177">
      <c r="A1177" s="91">
        <v>1.0</v>
      </c>
      <c r="B1177" s="91" t="s">
        <v>3699</v>
      </c>
      <c r="C1177" s="91" t="s">
        <v>1418</v>
      </c>
    </row>
    <row r="1178">
      <c r="A1178" s="91">
        <v>1.0</v>
      </c>
      <c r="B1178" s="91" t="s">
        <v>3700</v>
      </c>
      <c r="C1178" s="91" t="s">
        <v>1418</v>
      </c>
    </row>
    <row r="1179">
      <c r="A1179" s="91">
        <v>1.0</v>
      </c>
      <c r="B1179" s="91" t="s">
        <v>3701</v>
      </c>
      <c r="C1179" s="91" t="s">
        <v>549</v>
      </c>
    </row>
    <row r="1180">
      <c r="A1180" s="91">
        <v>1.0</v>
      </c>
      <c r="B1180" s="91" t="s">
        <v>3702</v>
      </c>
      <c r="C1180" s="91" t="s">
        <v>549</v>
      </c>
    </row>
    <row r="1181">
      <c r="A1181" s="91">
        <v>1.0</v>
      </c>
      <c r="B1181" s="91" t="s">
        <v>3702</v>
      </c>
      <c r="C1181" s="91" t="s">
        <v>2266</v>
      </c>
    </row>
    <row r="1182">
      <c r="A1182" s="91">
        <v>1.0</v>
      </c>
      <c r="B1182" s="91" t="s">
        <v>3703</v>
      </c>
      <c r="C1182" s="91" t="s">
        <v>297</v>
      </c>
    </row>
    <row r="1183">
      <c r="A1183" s="91">
        <v>1.0</v>
      </c>
      <c r="B1183" s="91" t="s">
        <v>3704</v>
      </c>
      <c r="C1183" s="91" t="s">
        <v>1106</v>
      </c>
    </row>
    <row r="1184">
      <c r="A1184" s="91">
        <v>1.0</v>
      </c>
      <c r="B1184" s="91" t="s">
        <v>3705</v>
      </c>
      <c r="C1184" s="91" t="s">
        <v>1708</v>
      </c>
    </row>
    <row r="1185">
      <c r="A1185" s="91">
        <v>1.0</v>
      </c>
      <c r="B1185" s="91" t="s">
        <v>3706</v>
      </c>
      <c r="C1185" s="91" t="s">
        <v>1423</v>
      </c>
    </row>
    <row r="1186">
      <c r="A1186" s="91">
        <v>1.0</v>
      </c>
      <c r="B1186" s="91" t="s">
        <v>3707</v>
      </c>
      <c r="C1186" s="91" t="s">
        <v>1423</v>
      </c>
    </row>
    <row r="1187">
      <c r="A1187" s="91">
        <v>1.0</v>
      </c>
      <c r="B1187" s="91" t="s">
        <v>3708</v>
      </c>
      <c r="C1187" s="91" t="s">
        <v>2297</v>
      </c>
    </row>
    <row r="1188">
      <c r="A1188" s="91">
        <v>1.0</v>
      </c>
      <c r="B1188" s="91" t="s">
        <v>3709</v>
      </c>
      <c r="C1188" s="91" t="s">
        <v>2297</v>
      </c>
    </row>
    <row r="1189">
      <c r="A1189" s="91">
        <v>1.0</v>
      </c>
      <c r="B1189" s="91" t="s">
        <v>3710</v>
      </c>
      <c r="C1189" s="91" t="s">
        <v>752</v>
      </c>
    </row>
    <row r="1190">
      <c r="A1190" s="91">
        <v>1.0</v>
      </c>
      <c r="B1190" s="91" t="s">
        <v>3711</v>
      </c>
      <c r="C1190" s="91" t="s">
        <v>1548</v>
      </c>
    </row>
    <row r="1191">
      <c r="A1191" s="91">
        <v>1.0</v>
      </c>
      <c r="B1191" s="91" t="s">
        <v>3712</v>
      </c>
      <c r="C1191" s="91" t="s">
        <v>2305</v>
      </c>
    </row>
    <row r="1192">
      <c r="A1192" s="91">
        <v>1.0</v>
      </c>
      <c r="B1192" s="91" t="s">
        <v>3713</v>
      </c>
      <c r="C1192" s="91" t="s">
        <v>356</v>
      </c>
    </row>
    <row r="1193">
      <c r="A1193" s="91">
        <v>1.0</v>
      </c>
      <c r="B1193" s="91" t="s">
        <v>3714</v>
      </c>
      <c r="C1193" s="91" t="s">
        <v>699</v>
      </c>
    </row>
    <row r="1194">
      <c r="A1194" s="91">
        <v>1.0</v>
      </c>
      <c r="B1194" s="91" t="s">
        <v>3715</v>
      </c>
      <c r="C1194" s="91" t="s">
        <v>1579</v>
      </c>
    </row>
    <row r="1195">
      <c r="A1195" s="91">
        <v>1.0</v>
      </c>
      <c r="B1195" s="91" t="s">
        <v>3716</v>
      </c>
      <c r="C1195" s="91" t="s">
        <v>3717</v>
      </c>
    </row>
    <row r="1196">
      <c r="A1196" s="91">
        <v>1.0</v>
      </c>
      <c r="B1196" s="91" t="s">
        <v>3718</v>
      </c>
      <c r="C1196" s="91" t="s">
        <v>1579</v>
      </c>
    </row>
    <row r="1197">
      <c r="A1197" s="91">
        <v>1.0</v>
      </c>
      <c r="B1197" s="91" t="s">
        <v>3719</v>
      </c>
      <c r="C1197" s="91" t="s">
        <v>2057</v>
      </c>
    </row>
    <row r="1198">
      <c r="A1198" s="91">
        <v>1.0</v>
      </c>
      <c r="B1198" s="91" t="s">
        <v>3720</v>
      </c>
      <c r="C1198" s="91" t="s">
        <v>740</v>
      </c>
    </row>
    <row r="1199">
      <c r="A1199" s="91">
        <v>1.0</v>
      </c>
      <c r="B1199" s="91" t="s">
        <v>3721</v>
      </c>
      <c r="C1199" s="91" t="s">
        <v>1579</v>
      </c>
    </row>
    <row r="1200">
      <c r="A1200" s="91">
        <v>1.0</v>
      </c>
      <c r="B1200" s="91" t="s">
        <v>3722</v>
      </c>
      <c r="C1200" s="91" t="s">
        <v>3035</v>
      </c>
    </row>
    <row r="1201">
      <c r="A1201" s="91">
        <v>1.0</v>
      </c>
      <c r="B1201" s="91" t="s">
        <v>3723</v>
      </c>
      <c r="C1201" s="91" t="s">
        <v>993</v>
      </c>
    </row>
    <row r="1202">
      <c r="A1202" s="91">
        <v>1.0</v>
      </c>
      <c r="B1202" s="91" t="s">
        <v>3724</v>
      </c>
      <c r="C1202" s="91" t="s">
        <v>1603</v>
      </c>
    </row>
    <row r="1203">
      <c r="A1203" s="91">
        <v>1.0</v>
      </c>
      <c r="B1203" s="91" t="s">
        <v>3725</v>
      </c>
      <c r="C1203" s="91" t="s">
        <v>1603</v>
      </c>
    </row>
    <row r="1204">
      <c r="A1204" s="91">
        <v>1.0</v>
      </c>
      <c r="B1204" s="91" t="s">
        <v>3726</v>
      </c>
      <c r="C1204" s="91" t="s">
        <v>3032</v>
      </c>
    </row>
    <row r="1205">
      <c r="A1205" s="91">
        <v>1.0</v>
      </c>
      <c r="B1205" s="91" t="s">
        <v>3727</v>
      </c>
      <c r="C1205" s="91" t="s">
        <v>3031</v>
      </c>
    </row>
    <row r="1206">
      <c r="A1206" s="91">
        <v>1.0</v>
      </c>
      <c r="B1206" s="91" t="s">
        <v>3728</v>
      </c>
      <c r="C1206" s="91" t="s">
        <v>2914</v>
      </c>
    </row>
    <row r="1207">
      <c r="A1207" s="91">
        <v>1.0</v>
      </c>
      <c r="B1207" s="91" t="s">
        <v>3729</v>
      </c>
      <c r="C1207" s="91" t="s">
        <v>2914</v>
      </c>
    </row>
    <row r="1208">
      <c r="A1208" s="91">
        <v>1.0</v>
      </c>
      <c r="B1208" s="91" t="s">
        <v>3730</v>
      </c>
      <c r="C1208" s="91" t="s">
        <v>2914</v>
      </c>
    </row>
    <row r="1209">
      <c r="A1209" s="91">
        <v>1.0</v>
      </c>
      <c r="B1209" s="91" t="s">
        <v>3731</v>
      </c>
      <c r="C1209" s="91" t="s">
        <v>3327</v>
      </c>
    </row>
    <row r="1210">
      <c r="A1210" s="91">
        <v>1.0</v>
      </c>
      <c r="B1210" s="91" t="s">
        <v>3732</v>
      </c>
      <c r="C1210" s="91" t="s">
        <v>1626</v>
      </c>
    </row>
    <row r="1211">
      <c r="A1211" s="91">
        <v>1.0</v>
      </c>
      <c r="B1211" s="91" t="s">
        <v>3733</v>
      </c>
      <c r="C1211" s="91" t="s">
        <v>515</v>
      </c>
    </row>
    <row r="1212">
      <c r="A1212" s="91">
        <v>1.0</v>
      </c>
      <c r="B1212" s="91" t="s">
        <v>3734</v>
      </c>
      <c r="C1212" s="91" t="s">
        <v>1626</v>
      </c>
    </row>
    <row r="1213">
      <c r="A1213" s="91">
        <v>1.0</v>
      </c>
      <c r="B1213" s="91" t="s">
        <v>3735</v>
      </c>
      <c r="C1213" s="91" t="s">
        <v>3335</v>
      </c>
    </row>
    <row r="1214">
      <c r="A1214" s="91">
        <v>1.0</v>
      </c>
      <c r="B1214" s="91" t="s">
        <v>3736</v>
      </c>
      <c r="C1214" s="91" t="s">
        <v>955</v>
      </c>
    </row>
    <row r="1215">
      <c r="A1215" s="91">
        <v>1.0</v>
      </c>
      <c r="B1215" s="91" t="s">
        <v>3737</v>
      </c>
      <c r="C1215" s="91" t="s">
        <v>1337</v>
      </c>
    </row>
    <row r="1216">
      <c r="A1216" s="91">
        <v>1.0</v>
      </c>
      <c r="B1216" s="91" t="s">
        <v>3738</v>
      </c>
      <c r="C1216" s="91" t="s">
        <v>1207</v>
      </c>
    </row>
    <row r="1217">
      <c r="A1217" s="91">
        <v>1.0</v>
      </c>
      <c r="B1217" s="91" t="s">
        <v>3739</v>
      </c>
      <c r="C1217" s="91" t="s">
        <v>1314</v>
      </c>
    </row>
    <row r="1218">
      <c r="A1218" s="91">
        <v>1.0</v>
      </c>
      <c r="B1218" s="91" t="s">
        <v>3740</v>
      </c>
      <c r="C1218" s="91" t="s">
        <v>1065</v>
      </c>
    </row>
    <row r="1219">
      <c r="A1219" s="91">
        <v>1.0</v>
      </c>
      <c r="B1219" s="91" t="s">
        <v>3741</v>
      </c>
      <c r="C1219" s="91" t="s">
        <v>871</v>
      </c>
    </row>
    <row r="1220">
      <c r="A1220" s="91">
        <v>1.0</v>
      </c>
      <c r="B1220" s="91" t="s">
        <v>3742</v>
      </c>
      <c r="C1220" s="91" t="s">
        <v>1031</v>
      </c>
    </row>
    <row r="1221">
      <c r="A1221" s="91">
        <v>1.0</v>
      </c>
      <c r="B1221" s="91" t="s">
        <v>3743</v>
      </c>
      <c r="C1221" s="91" t="s">
        <v>392</v>
      </c>
    </row>
    <row r="1222">
      <c r="A1222" s="91">
        <v>1.0</v>
      </c>
      <c r="B1222" s="91" t="s">
        <v>3744</v>
      </c>
      <c r="C1222" s="91" t="s">
        <v>3164</v>
      </c>
    </row>
    <row r="1223">
      <c r="A1223" s="91">
        <v>1.0</v>
      </c>
      <c r="B1223" s="91" t="s">
        <v>3745</v>
      </c>
      <c r="C1223" s="91" t="s">
        <v>228</v>
      </c>
    </row>
    <row r="1224">
      <c r="A1224" s="91">
        <v>1.0</v>
      </c>
      <c r="B1224" s="91" t="s">
        <v>3746</v>
      </c>
      <c r="C1224" s="91" t="s">
        <v>1626</v>
      </c>
    </row>
    <row r="1225">
      <c r="A1225" s="91">
        <v>1.0</v>
      </c>
      <c r="B1225" s="91" t="s">
        <v>3747</v>
      </c>
      <c r="C1225" s="91" t="s">
        <v>1530</v>
      </c>
    </row>
    <row r="1226">
      <c r="A1226" s="91">
        <v>1.0</v>
      </c>
      <c r="B1226" s="91" t="s">
        <v>3748</v>
      </c>
      <c r="C1226" s="91" t="s">
        <v>368</v>
      </c>
    </row>
    <row r="1227">
      <c r="A1227" s="91">
        <v>1.0</v>
      </c>
      <c r="B1227" s="91" t="s">
        <v>3749</v>
      </c>
      <c r="C1227" s="91" t="s">
        <v>527</v>
      </c>
    </row>
    <row r="1228">
      <c r="A1228" s="91">
        <v>1.0</v>
      </c>
      <c r="B1228" s="91" t="s">
        <v>3750</v>
      </c>
      <c r="C1228" s="91" t="s">
        <v>2139</v>
      </c>
    </row>
    <row r="1229">
      <c r="A1229" s="91">
        <v>1.0</v>
      </c>
      <c r="B1229" s="91" t="s">
        <v>3751</v>
      </c>
      <c r="C1229" s="91" t="s">
        <v>1278</v>
      </c>
    </row>
    <row r="1230">
      <c r="A1230" s="91">
        <v>1.0</v>
      </c>
      <c r="B1230" s="91" t="s">
        <v>3752</v>
      </c>
      <c r="C1230" s="91" t="s">
        <v>1536</v>
      </c>
    </row>
    <row r="1231">
      <c r="A1231" s="91">
        <v>1.0</v>
      </c>
      <c r="B1231" s="91" t="s">
        <v>2996</v>
      </c>
      <c r="C1231" s="91" t="s">
        <v>309</v>
      </c>
    </row>
    <row r="1232">
      <c r="A1232" s="91">
        <v>1.0</v>
      </c>
      <c r="B1232" s="91" t="s">
        <v>2996</v>
      </c>
      <c r="C1232" s="91" t="s">
        <v>716</v>
      </c>
    </row>
    <row r="1233">
      <c r="A1233" s="91">
        <v>1.0</v>
      </c>
      <c r="B1233" s="91" t="s">
        <v>3753</v>
      </c>
      <c r="C1233" s="91" t="s">
        <v>1536</v>
      </c>
    </row>
    <row r="1234">
      <c r="A1234" s="91">
        <v>1.0</v>
      </c>
      <c r="B1234" s="91" t="s">
        <v>3754</v>
      </c>
      <c r="C1234" s="91" t="s">
        <v>2427</v>
      </c>
    </row>
    <row r="1235">
      <c r="A1235" s="91">
        <v>1.0</v>
      </c>
      <c r="B1235" s="91" t="s">
        <v>3755</v>
      </c>
      <c r="C1235" s="91" t="s">
        <v>326</v>
      </c>
    </row>
    <row r="1236">
      <c r="A1236" s="91">
        <v>1.0</v>
      </c>
      <c r="B1236" s="91" t="s">
        <v>3756</v>
      </c>
      <c r="C1236" s="91" t="s">
        <v>216</v>
      </c>
    </row>
    <row r="1237">
      <c r="A1237" s="91">
        <v>1.0</v>
      </c>
      <c r="B1237" s="91" t="s">
        <v>3757</v>
      </c>
      <c r="C1237" s="91" t="s">
        <v>630</v>
      </c>
    </row>
    <row r="1238">
      <c r="A1238" s="91">
        <v>1.0</v>
      </c>
      <c r="B1238" s="91" t="s">
        <v>3758</v>
      </c>
      <c r="C1238" s="91" t="s">
        <v>94</v>
      </c>
    </row>
    <row r="1239">
      <c r="A1239" s="91">
        <v>1.0</v>
      </c>
      <c r="B1239" s="91" t="s">
        <v>3759</v>
      </c>
      <c r="C1239" s="91" t="s">
        <v>2277</v>
      </c>
    </row>
    <row r="1240">
      <c r="A1240" s="91">
        <v>1.0</v>
      </c>
      <c r="B1240" s="91" t="s">
        <v>3760</v>
      </c>
      <c r="C1240" s="91" t="s">
        <v>1228</v>
      </c>
    </row>
    <row r="1241">
      <c r="A1241" s="91">
        <v>1.0</v>
      </c>
      <c r="B1241" s="91" t="s">
        <v>3761</v>
      </c>
      <c r="C1241" s="91" t="s">
        <v>2870</v>
      </c>
    </row>
    <row r="1242">
      <c r="A1242" s="91">
        <v>1.0</v>
      </c>
      <c r="B1242" s="91" t="s">
        <v>3762</v>
      </c>
      <c r="C1242" s="91" t="s">
        <v>2870</v>
      </c>
    </row>
    <row r="1243">
      <c r="A1243" s="91">
        <v>1.0</v>
      </c>
      <c r="B1243" s="91" t="s">
        <v>3763</v>
      </c>
      <c r="C1243" s="91" t="s">
        <v>2870</v>
      </c>
    </row>
    <row r="1244">
      <c r="A1244" s="91">
        <v>1.0</v>
      </c>
      <c r="B1244" s="91" t="s">
        <v>3764</v>
      </c>
      <c r="C1244" s="91" t="s">
        <v>3065</v>
      </c>
    </row>
    <row r="1245">
      <c r="A1245" s="91">
        <v>1.0</v>
      </c>
      <c r="B1245" s="91" t="s">
        <v>3765</v>
      </c>
      <c r="C1245" s="91" t="s">
        <v>1696</v>
      </c>
    </row>
    <row r="1246">
      <c r="A1246" s="91">
        <v>1.0</v>
      </c>
      <c r="B1246" s="91" t="s">
        <v>3766</v>
      </c>
      <c r="C1246" s="91" t="s">
        <v>1380</v>
      </c>
    </row>
    <row r="1247">
      <c r="A1247" s="91">
        <v>1.0</v>
      </c>
      <c r="B1247" s="91" t="s">
        <v>3767</v>
      </c>
      <c r="C1247" s="91" t="s">
        <v>664</v>
      </c>
    </row>
    <row r="1248">
      <c r="A1248" s="91">
        <v>1.0</v>
      </c>
      <c r="B1248" s="91" t="s">
        <v>3768</v>
      </c>
      <c r="C1248" s="91" t="s">
        <v>2044</v>
      </c>
    </row>
    <row r="1249">
      <c r="A1249" s="91">
        <v>1.0</v>
      </c>
      <c r="B1249" s="91" t="s">
        <v>3769</v>
      </c>
      <c r="C1249" s="91" t="s">
        <v>2917</v>
      </c>
    </row>
    <row r="1250">
      <c r="A1250" s="91">
        <v>1.0</v>
      </c>
      <c r="B1250" s="91" t="s">
        <v>3770</v>
      </c>
      <c r="C1250" s="91" t="s">
        <v>2917</v>
      </c>
    </row>
    <row r="1251">
      <c r="A1251" s="91">
        <v>1.0</v>
      </c>
      <c r="B1251" s="91" t="s">
        <v>3771</v>
      </c>
      <c r="C1251" s="91" t="s">
        <v>2917</v>
      </c>
    </row>
    <row r="1252">
      <c r="A1252" s="91">
        <v>1.0</v>
      </c>
      <c r="B1252" s="91" t="s">
        <v>3771</v>
      </c>
      <c r="C1252" s="91" t="s">
        <v>3071</v>
      </c>
    </row>
    <row r="1253">
      <c r="A1253" s="91">
        <v>1.0</v>
      </c>
      <c r="B1253" s="91" t="s">
        <v>3772</v>
      </c>
      <c r="C1253" s="91" t="s">
        <v>2301</v>
      </c>
    </row>
    <row r="1254">
      <c r="A1254" s="91">
        <v>1.0</v>
      </c>
      <c r="B1254" s="91" t="s">
        <v>3773</v>
      </c>
      <c r="C1254" s="91" t="s">
        <v>1494</v>
      </c>
    </row>
    <row r="1255">
      <c r="A1255" s="91">
        <v>1.0</v>
      </c>
      <c r="B1255" s="91" t="s">
        <v>3119</v>
      </c>
      <c r="C1255" s="91" t="s">
        <v>2955</v>
      </c>
    </row>
    <row r="1256">
      <c r="A1256" s="91">
        <v>1.0</v>
      </c>
      <c r="B1256" s="91" t="s">
        <v>3774</v>
      </c>
      <c r="C1256" s="91" t="s">
        <v>3775</v>
      </c>
    </row>
    <row r="1257">
      <c r="A1257" s="91">
        <v>1.0</v>
      </c>
      <c r="B1257" s="91" t="s">
        <v>3776</v>
      </c>
      <c r="C1257" s="91" t="s">
        <v>119</v>
      </c>
    </row>
    <row r="1258">
      <c r="A1258" s="91">
        <v>1.0</v>
      </c>
      <c r="B1258" s="91" t="s">
        <v>3776</v>
      </c>
      <c r="C1258" s="91" t="s">
        <v>261</v>
      </c>
    </row>
    <row r="1259">
      <c r="A1259" s="91">
        <v>1.0</v>
      </c>
      <c r="B1259" s="91" t="s">
        <v>3777</v>
      </c>
      <c r="C1259" s="91" t="s">
        <v>711</v>
      </c>
    </row>
    <row r="1260">
      <c r="A1260" s="91">
        <v>1.0</v>
      </c>
      <c r="B1260" s="91" t="s">
        <v>3778</v>
      </c>
      <c r="C1260" s="91" t="s">
        <v>245</v>
      </c>
    </row>
    <row r="1261">
      <c r="A1261" s="91">
        <v>1.0</v>
      </c>
      <c r="B1261" s="91" t="s">
        <v>3779</v>
      </c>
      <c r="C1261" s="91" t="s">
        <v>503</v>
      </c>
    </row>
    <row r="1262">
      <c r="A1262" s="91">
        <v>1.0</v>
      </c>
      <c r="B1262" s="91" t="s">
        <v>3780</v>
      </c>
      <c r="C1262" s="91" t="s">
        <v>503</v>
      </c>
    </row>
    <row r="1263">
      <c r="A1263" s="91">
        <v>1.0</v>
      </c>
      <c r="B1263" s="91" t="s">
        <v>3781</v>
      </c>
      <c r="C1263" s="91" t="s">
        <v>1112</v>
      </c>
    </row>
    <row r="1264">
      <c r="A1264" s="91">
        <v>1.0</v>
      </c>
      <c r="B1264" s="91" t="s">
        <v>3782</v>
      </c>
      <c r="C1264" s="91" t="s">
        <v>3783</v>
      </c>
    </row>
    <row r="1265">
      <c r="A1265" s="91">
        <v>1.0</v>
      </c>
      <c r="B1265" s="91" t="s">
        <v>3121</v>
      </c>
      <c r="C1265" s="91" t="s">
        <v>3680</v>
      </c>
    </row>
    <row r="1266">
      <c r="A1266" s="91">
        <v>1.0</v>
      </c>
      <c r="B1266" s="91" t="s">
        <v>3784</v>
      </c>
      <c r="C1266" s="91" t="s">
        <v>1345</v>
      </c>
    </row>
    <row r="1267">
      <c r="A1267" s="91">
        <v>1.0</v>
      </c>
      <c r="B1267" s="91" t="s">
        <v>3785</v>
      </c>
      <c r="C1267" s="91" t="s">
        <v>806</v>
      </c>
    </row>
    <row r="1268">
      <c r="A1268" s="91">
        <v>1.0</v>
      </c>
      <c r="B1268" s="91" t="s">
        <v>3786</v>
      </c>
      <c r="C1268" s="91" t="s">
        <v>1047</v>
      </c>
    </row>
    <row r="1269">
      <c r="A1269" s="91">
        <v>1.0</v>
      </c>
      <c r="B1269" s="91" t="s">
        <v>3787</v>
      </c>
      <c r="C1269" s="91" t="s">
        <v>64</v>
      </c>
    </row>
    <row r="1270">
      <c r="A1270" s="91">
        <v>1.0</v>
      </c>
      <c r="B1270" s="91" t="s">
        <v>3788</v>
      </c>
      <c r="C1270" s="91" t="s">
        <v>64</v>
      </c>
    </row>
    <row r="1271">
      <c r="A1271" s="91">
        <v>1.0</v>
      </c>
      <c r="B1271" s="91" t="s">
        <v>3789</v>
      </c>
      <c r="C1271" s="91" t="s">
        <v>64</v>
      </c>
    </row>
    <row r="1272">
      <c r="A1272" s="91">
        <v>1.0</v>
      </c>
      <c r="B1272" s="91" t="s">
        <v>3790</v>
      </c>
      <c r="C1272" s="91" t="s">
        <v>2065</v>
      </c>
    </row>
    <row r="1273">
      <c r="A1273" s="91">
        <v>1.0</v>
      </c>
      <c r="B1273" s="91" t="s">
        <v>3791</v>
      </c>
      <c r="C1273" s="91" t="s">
        <v>193</v>
      </c>
    </row>
    <row r="1274">
      <c r="A1274" s="91">
        <v>1.0</v>
      </c>
      <c r="B1274" s="91" t="s">
        <v>3792</v>
      </c>
      <c r="C1274" s="91" t="s">
        <v>193</v>
      </c>
    </row>
    <row r="1275">
      <c r="A1275" s="91">
        <v>1.0</v>
      </c>
      <c r="B1275" s="91" t="s">
        <v>3793</v>
      </c>
      <c r="C1275" s="91" t="s">
        <v>193</v>
      </c>
    </row>
    <row r="1276">
      <c r="A1276" s="91">
        <v>1.0</v>
      </c>
      <c r="B1276" s="91" t="s">
        <v>3794</v>
      </c>
      <c r="C1276" s="91" t="s">
        <v>533</v>
      </c>
    </row>
    <row r="1277">
      <c r="A1277" s="91">
        <v>1.0</v>
      </c>
      <c r="B1277" s="91" t="s">
        <v>3795</v>
      </c>
      <c r="C1277" s="91" t="s">
        <v>173</v>
      </c>
    </row>
    <row r="1278">
      <c r="A1278" s="91">
        <v>1.0</v>
      </c>
      <c r="B1278" s="91" t="s">
        <v>3796</v>
      </c>
      <c r="C1278" s="91" t="s">
        <v>343</v>
      </c>
    </row>
    <row r="1279">
      <c r="A1279" s="91">
        <v>1.0</v>
      </c>
      <c r="B1279" s="91" t="s">
        <v>3797</v>
      </c>
      <c r="C1279" s="91" t="s">
        <v>181</v>
      </c>
    </row>
    <row r="1280">
      <c r="A1280" s="91">
        <v>1.0</v>
      </c>
      <c r="B1280" s="91" t="s">
        <v>3798</v>
      </c>
      <c r="C1280" s="91" t="s">
        <v>1076</v>
      </c>
    </row>
    <row r="1281">
      <c r="A1281" s="91">
        <v>1.0</v>
      </c>
      <c r="B1281" s="91" t="s">
        <v>3799</v>
      </c>
      <c r="C1281" s="91" t="s">
        <v>1076</v>
      </c>
    </row>
    <row r="1282">
      <c r="A1282" s="91">
        <v>1.0</v>
      </c>
      <c r="B1282" s="91" t="s">
        <v>3800</v>
      </c>
      <c r="C1282" s="91" t="s">
        <v>1076</v>
      </c>
    </row>
    <row r="1283">
      <c r="A1283" s="91">
        <v>1.0</v>
      </c>
      <c r="B1283" s="91" t="s">
        <v>3801</v>
      </c>
      <c r="C1283" s="91" t="s">
        <v>812</v>
      </c>
    </row>
    <row r="1284">
      <c r="A1284" s="91">
        <v>1.0</v>
      </c>
      <c r="B1284" s="91" t="s">
        <v>3802</v>
      </c>
      <c r="C1284" s="91" t="s">
        <v>2077</v>
      </c>
    </row>
    <row r="1285">
      <c r="A1285" s="91">
        <v>1.0</v>
      </c>
      <c r="B1285" s="91" t="s">
        <v>3803</v>
      </c>
      <c r="C1285" s="91" t="s">
        <v>1403</v>
      </c>
    </row>
    <row r="1286">
      <c r="A1286" s="91">
        <v>1.0</v>
      </c>
      <c r="B1286" s="91" t="s">
        <v>3804</v>
      </c>
      <c r="C1286" s="91" t="s">
        <v>497</v>
      </c>
    </row>
    <row r="1287">
      <c r="A1287" s="91">
        <v>1.0</v>
      </c>
      <c r="B1287" s="91" t="s">
        <v>3805</v>
      </c>
      <c r="C1287" s="91" t="s">
        <v>676</v>
      </c>
    </row>
    <row r="1288">
      <c r="A1288" s="91">
        <v>1.0</v>
      </c>
      <c r="B1288" s="91" t="s">
        <v>3806</v>
      </c>
      <c r="C1288" s="91" t="s">
        <v>1548</v>
      </c>
    </row>
    <row r="1289">
      <c r="A1289" s="91">
        <v>1.0</v>
      </c>
      <c r="B1289" s="91" t="s">
        <v>3807</v>
      </c>
      <c r="C1289" s="91" t="s">
        <v>1548</v>
      </c>
    </row>
    <row r="1290">
      <c r="A1290" s="91">
        <v>1.0</v>
      </c>
      <c r="B1290" s="91" t="s">
        <v>3808</v>
      </c>
      <c r="C1290" s="91" t="s">
        <v>413</v>
      </c>
    </row>
    <row r="1291">
      <c r="A1291" s="91">
        <v>1.0</v>
      </c>
      <c r="B1291" s="91" t="s">
        <v>3809</v>
      </c>
      <c r="C1291" s="91" t="s">
        <v>491</v>
      </c>
    </row>
    <row r="1292">
      <c r="A1292" s="91">
        <v>1.0</v>
      </c>
      <c r="B1292" s="91" t="s">
        <v>3810</v>
      </c>
      <c r="C1292" s="91" t="s">
        <v>199</v>
      </c>
    </row>
    <row r="1293">
      <c r="A1293" s="91">
        <v>1.0</v>
      </c>
      <c r="B1293" s="91" t="s">
        <v>3811</v>
      </c>
      <c r="C1293" s="91" t="s">
        <v>199</v>
      </c>
    </row>
    <row r="1294">
      <c r="A1294" s="91">
        <v>1.0</v>
      </c>
      <c r="B1294" s="91" t="s">
        <v>3812</v>
      </c>
      <c r="C1294" s="91" t="s">
        <v>1234</v>
      </c>
    </row>
    <row r="1295">
      <c r="A1295" s="91">
        <v>1.0</v>
      </c>
      <c r="B1295" s="91" t="s">
        <v>3813</v>
      </c>
      <c r="C1295" s="91" t="s">
        <v>1020</v>
      </c>
    </row>
    <row r="1296">
      <c r="A1296" s="91">
        <v>1.0</v>
      </c>
      <c r="B1296" s="91" t="s">
        <v>3814</v>
      </c>
      <c r="C1296" s="91" t="s">
        <v>1020</v>
      </c>
    </row>
    <row r="1297">
      <c r="A1297" s="91">
        <v>1.0</v>
      </c>
      <c r="B1297" s="91" t="s">
        <v>3815</v>
      </c>
      <c r="C1297" s="91" t="s">
        <v>1053</v>
      </c>
    </row>
    <row r="1298">
      <c r="A1298" s="91">
        <v>1.0</v>
      </c>
      <c r="B1298" s="91" t="s">
        <v>3816</v>
      </c>
      <c r="C1298" s="91" t="s">
        <v>1542</v>
      </c>
    </row>
    <row r="1299">
      <c r="A1299" s="91">
        <v>1.0</v>
      </c>
      <c r="B1299" s="91" t="s">
        <v>3817</v>
      </c>
      <c r="C1299" s="91" t="s">
        <v>2266</v>
      </c>
    </row>
    <row r="1300">
      <c r="A1300" s="91">
        <v>1.0</v>
      </c>
      <c r="B1300" s="91" t="s">
        <v>3818</v>
      </c>
      <c r="C1300" s="91" t="s">
        <v>800</v>
      </c>
    </row>
    <row r="1301">
      <c r="A1301" s="91">
        <v>1.0</v>
      </c>
      <c r="B1301" s="91" t="s">
        <v>3819</v>
      </c>
      <c r="C1301" s="91" t="s">
        <v>1692</v>
      </c>
    </row>
    <row r="1302">
      <c r="A1302" s="91">
        <v>1.0</v>
      </c>
      <c r="B1302" s="91" t="s">
        <v>3820</v>
      </c>
      <c r="C1302" s="91" t="s">
        <v>485</v>
      </c>
    </row>
    <row r="1303">
      <c r="A1303" s="91">
        <v>1.0</v>
      </c>
      <c r="B1303" s="91" t="s">
        <v>3821</v>
      </c>
      <c r="C1303" s="91" t="s">
        <v>1009</v>
      </c>
    </row>
    <row r="1304">
      <c r="A1304" s="91">
        <v>1.0</v>
      </c>
      <c r="B1304" s="91" t="s">
        <v>3822</v>
      </c>
      <c r="C1304" s="91" t="s">
        <v>474</v>
      </c>
    </row>
    <row r="1305">
      <c r="A1305" s="91">
        <v>1.0</v>
      </c>
      <c r="B1305" s="91" t="s">
        <v>3131</v>
      </c>
      <c r="C1305" s="91" t="s">
        <v>2343</v>
      </c>
    </row>
    <row r="1306">
      <c r="A1306" s="91">
        <v>1.0</v>
      </c>
      <c r="B1306" s="91" t="s">
        <v>3823</v>
      </c>
      <c r="C1306" s="91" t="s">
        <v>474</v>
      </c>
    </row>
    <row r="1307">
      <c r="A1307" s="91">
        <v>1.0</v>
      </c>
      <c r="B1307" s="91" t="s">
        <v>2875</v>
      </c>
      <c r="C1307" s="91" t="s">
        <v>871</v>
      </c>
    </row>
    <row r="1308">
      <c r="A1308" s="91">
        <v>1.0</v>
      </c>
      <c r="B1308" s="91" t="s">
        <v>3824</v>
      </c>
      <c r="C1308" s="91" t="s">
        <v>474</v>
      </c>
    </row>
    <row r="1309">
      <c r="A1309" s="91">
        <v>1.0</v>
      </c>
      <c r="B1309" s="91" t="s">
        <v>3824</v>
      </c>
      <c r="C1309" s="91" t="s">
        <v>871</v>
      </c>
    </row>
    <row r="1310">
      <c r="A1310" s="91">
        <v>1.0</v>
      </c>
      <c r="B1310" s="91" t="s">
        <v>2781</v>
      </c>
      <c r="C1310" s="91" t="s">
        <v>871</v>
      </c>
    </row>
    <row r="1311">
      <c r="A1311" s="91">
        <v>1.0</v>
      </c>
      <c r="B1311" s="91" t="s">
        <v>3825</v>
      </c>
      <c r="C1311" s="91" t="s">
        <v>3826</v>
      </c>
    </row>
    <row r="1312">
      <c r="A1312" s="91">
        <v>1.0</v>
      </c>
      <c r="B1312" s="91" t="s">
        <v>3827</v>
      </c>
      <c r="C1312" s="91" t="s">
        <v>1668</v>
      </c>
    </row>
    <row r="1313">
      <c r="A1313" s="91">
        <v>1.0</v>
      </c>
      <c r="B1313" s="91" t="s">
        <v>3828</v>
      </c>
      <c r="C1313" s="91" t="s">
        <v>3134</v>
      </c>
    </row>
    <row r="1314">
      <c r="A1314" s="91">
        <v>1.0</v>
      </c>
      <c r="B1314" s="91" t="s">
        <v>3829</v>
      </c>
      <c r="C1314" s="91" t="s">
        <v>1337</v>
      </c>
    </row>
    <row r="1315">
      <c r="A1315" s="91">
        <v>1.0</v>
      </c>
      <c r="B1315" s="91" t="s">
        <v>3133</v>
      </c>
      <c r="C1315" s="91" t="s">
        <v>3830</v>
      </c>
    </row>
    <row r="1316">
      <c r="A1316" s="91">
        <v>1.0</v>
      </c>
      <c r="B1316" s="91" t="s">
        <v>3831</v>
      </c>
      <c r="C1316" s="91" t="s">
        <v>1536</v>
      </c>
    </row>
    <row r="1317">
      <c r="A1317" s="91">
        <v>1.0</v>
      </c>
      <c r="B1317" s="91" t="s">
        <v>3832</v>
      </c>
      <c r="C1317" s="91" t="s">
        <v>1302</v>
      </c>
    </row>
    <row r="1318">
      <c r="A1318" s="91">
        <v>1.0</v>
      </c>
      <c r="B1318" s="91" t="s">
        <v>3833</v>
      </c>
      <c r="C1318" s="91" t="s">
        <v>818</v>
      </c>
    </row>
    <row r="1319">
      <c r="A1319" s="91">
        <v>1.0</v>
      </c>
      <c r="B1319" s="91" t="s">
        <v>3834</v>
      </c>
      <c r="C1319" s="91" t="s">
        <v>228</v>
      </c>
    </row>
    <row r="1320">
      <c r="A1320" s="91">
        <v>1.0</v>
      </c>
      <c r="B1320" s="91" t="s">
        <v>3835</v>
      </c>
      <c r="C1320" s="91" t="s">
        <v>228</v>
      </c>
    </row>
    <row r="1321">
      <c r="A1321" s="91">
        <v>1.0</v>
      </c>
      <c r="B1321" s="91" t="s">
        <v>3836</v>
      </c>
      <c r="C1321" s="91" t="s">
        <v>399</v>
      </c>
    </row>
    <row r="1322">
      <c r="A1322" s="91">
        <v>1.0</v>
      </c>
      <c r="B1322" s="91" t="s">
        <v>3837</v>
      </c>
      <c r="C1322" s="91" t="s">
        <v>1352</v>
      </c>
    </row>
    <row r="1323">
      <c r="A1323" s="91">
        <v>1.0</v>
      </c>
      <c r="B1323" s="91" t="s">
        <v>3838</v>
      </c>
      <c r="C1323" s="91" t="s">
        <v>1603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3.75"/>
  </cols>
  <sheetData>
    <row r="1">
      <c r="A1" s="91" t="s">
        <v>3841</v>
      </c>
      <c r="B1" s="91" t="s">
        <v>3842</v>
      </c>
      <c r="C1" s="91" t="s">
        <v>2764</v>
      </c>
      <c r="D1" s="91" t="s">
        <v>3843</v>
      </c>
      <c r="E1" s="91" t="s">
        <v>3844</v>
      </c>
      <c r="F1" s="91" t="s">
        <v>3845</v>
      </c>
      <c r="G1" s="91" t="s">
        <v>3846</v>
      </c>
    </row>
    <row r="2">
      <c r="A2" s="91">
        <v>47.0</v>
      </c>
      <c r="B2" s="91" t="s">
        <v>3847</v>
      </c>
      <c r="C2" s="91" t="s">
        <v>2712</v>
      </c>
      <c r="D2" s="171" t="str">
        <f t="shared" ref="D2:D1662" si="1">IF(ISBLANK(C2), B2, C2)</f>
        <v>QR-104</v>
      </c>
      <c r="F2" s="91" t="s">
        <v>1603</v>
      </c>
      <c r="G2" s="170" t="str">
        <f t="shared" ref="G2:G1662" si="2">CONCATENATE(D2,$E$1,F2)</f>
        <v>QR-104&gt;Eataly</v>
      </c>
    </row>
    <row r="3">
      <c r="A3" s="172">
        <v>28.0</v>
      </c>
      <c r="B3" s="91" t="s">
        <v>3848</v>
      </c>
      <c r="C3" s="91" t="s">
        <v>2685</v>
      </c>
      <c r="D3" s="171" t="str">
        <f t="shared" si="1"/>
        <v>QR006</v>
      </c>
      <c r="F3" s="91" t="s">
        <v>474</v>
      </c>
      <c r="G3" s="170" t="str">
        <f t="shared" si="2"/>
        <v>QR006&gt;Zara</v>
      </c>
    </row>
    <row r="4">
      <c r="A4" s="91">
        <v>28.0</v>
      </c>
      <c r="B4" s="91" t="s">
        <v>3847</v>
      </c>
      <c r="C4" s="91" t="s">
        <v>2712</v>
      </c>
      <c r="D4" s="171" t="str">
        <f t="shared" si="1"/>
        <v>QR-104</v>
      </c>
      <c r="F4" s="91" t="s">
        <v>1031</v>
      </c>
      <c r="G4" s="170" t="str">
        <f t="shared" si="2"/>
        <v>QR-104&gt;Happy Moon's</v>
      </c>
    </row>
    <row r="5">
      <c r="A5" s="91">
        <v>25.0</v>
      </c>
      <c r="B5" s="91" t="s">
        <v>3847</v>
      </c>
      <c r="C5" s="91" t="s">
        <v>2712</v>
      </c>
      <c r="D5" s="171" t="str">
        <f t="shared" si="1"/>
        <v>QR-104</v>
      </c>
      <c r="F5" s="91" t="s">
        <v>1668</v>
      </c>
      <c r="G5" s="170" t="str">
        <f t="shared" si="2"/>
        <v>QR-104&gt;Zula</v>
      </c>
    </row>
    <row r="6">
      <c r="A6" s="91">
        <v>25.0</v>
      </c>
      <c r="B6" s="91" t="s">
        <v>3847</v>
      </c>
      <c r="C6" s="91" t="s">
        <v>2712</v>
      </c>
      <c r="D6" s="171" t="str">
        <f t="shared" si="1"/>
        <v>QR-104</v>
      </c>
      <c r="F6" s="91" t="s">
        <v>474</v>
      </c>
      <c r="G6" s="170" t="str">
        <f t="shared" si="2"/>
        <v>QR-104&gt;Zara</v>
      </c>
    </row>
    <row r="7">
      <c r="A7" s="91">
        <v>23.0</v>
      </c>
      <c r="B7" s="91" t="s">
        <v>3848</v>
      </c>
      <c r="C7" s="91" t="s">
        <v>2712</v>
      </c>
      <c r="D7" s="171" t="str">
        <f t="shared" si="1"/>
        <v>QR-104</v>
      </c>
      <c r="F7" s="91" t="s">
        <v>1603</v>
      </c>
      <c r="G7" s="170" t="str">
        <f t="shared" si="2"/>
        <v>QR-104&gt;Eataly</v>
      </c>
    </row>
    <row r="8">
      <c r="A8" s="91">
        <v>22.0</v>
      </c>
      <c r="B8" s="91" t="s">
        <v>3847</v>
      </c>
      <c r="C8" s="91" t="s">
        <v>2712</v>
      </c>
      <c r="D8" s="171" t="str">
        <f t="shared" si="1"/>
        <v>QR-104</v>
      </c>
      <c r="F8" s="91" t="s">
        <v>181</v>
      </c>
      <c r="G8" s="170" t="str">
        <f t="shared" si="2"/>
        <v>QR-104&gt;Starbucks</v>
      </c>
    </row>
    <row r="9">
      <c r="A9" s="91">
        <v>21.0</v>
      </c>
      <c r="B9" s="91" t="s">
        <v>3848</v>
      </c>
      <c r="C9" s="91" t="s">
        <v>2712</v>
      </c>
      <c r="D9" s="171" t="str">
        <f t="shared" si="1"/>
        <v>QR-104</v>
      </c>
      <c r="F9" s="91" t="s">
        <v>474</v>
      </c>
      <c r="G9" s="170" t="str">
        <f t="shared" si="2"/>
        <v>QR-104&gt;Zara</v>
      </c>
    </row>
    <row r="10">
      <c r="A10" s="91">
        <v>20.0</v>
      </c>
      <c r="B10" s="91" t="s">
        <v>3847</v>
      </c>
      <c r="C10" s="91" t="s">
        <v>2712</v>
      </c>
      <c r="D10" s="171" t="str">
        <f t="shared" si="1"/>
        <v>QR-104</v>
      </c>
      <c r="F10" s="91" t="s">
        <v>1536</v>
      </c>
      <c r="G10" s="170" t="str">
        <f t="shared" si="2"/>
        <v>QR-104&gt;Macrocenter</v>
      </c>
    </row>
    <row r="11">
      <c r="A11" s="91">
        <v>18.0</v>
      </c>
      <c r="B11" s="91" t="s">
        <v>3847</v>
      </c>
      <c r="C11" s="91" t="s">
        <v>2712</v>
      </c>
      <c r="D11" s="171" t="str">
        <f t="shared" si="1"/>
        <v>QR-104</v>
      </c>
      <c r="F11" s="91" t="s">
        <v>3783</v>
      </c>
      <c r="G11" s="170" t="str">
        <f t="shared" si="2"/>
        <v>QR-104&gt;PSM</v>
      </c>
    </row>
    <row r="12">
      <c r="A12" s="91">
        <v>17.0</v>
      </c>
      <c r="B12" s="91" t="s">
        <v>3847</v>
      </c>
      <c r="C12" s="91" t="s">
        <v>2712</v>
      </c>
      <c r="D12" s="171" t="str">
        <f t="shared" si="1"/>
        <v>QR-104</v>
      </c>
      <c r="F12" s="91" t="s">
        <v>1059</v>
      </c>
      <c r="G12" s="170" t="str">
        <f t="shared" si="2"/>
        <v>QR-104&gt;BigChefs</v>
      </c>
    </row>
    <row r="13">
      <c r="A13" s="91">
        <v>15.0</v>
      </c>
      <c r="B13" s="91" t="s">
        <v>474</v>
      </c>
      <c r="C13" s="91"/>
      <c r="D13" s="171" t="str">
        <f t="shared" si="1"/>
        <v>Zara</v>
      </c>
      <c r="F13" s="91" t="s">
        <v>267</v>
      </c>
      <c r="G13" s="170" t="str">
        <f t="shared" si="2"/>
        <v>Zara&gt;H&amp;M</v>
      </c>
    </row>
    <row r="14">
      <c r="A14" s="91">
        <v>15.0</v>
      </c>
      <c r="B14" s="91" t="s">
        <v>3848</v>
      </c>
      <c r="C14" s="91" t="s">
        <v>2736</v>
      </c>
      <c r="D14" s="171" t="str">
        <f t="shared" si="1"/>
        <v>QR-112</v>
      </c>
      <c r="F14" s="91" t="s">
        <v>474</v>
      </c>
      <c r="G14" s="170" t="str">
        <f t="shared" si="2"/>
        <v>QR-112&gt;Zara</v>
      </c>
    </row>
    <row r="15">
      <c r="A15" s="91">
        <v>14.0</v>
      </c>
      <c r="B15" s="91" t="s">
        <v>3847</v>
      </c>
      <c r="C15" s="91" t="s">
        <v>2712</v>
      </c>
      <c r="D15" s="171" t="str">
        <f t="shared" si="1"/>
        <v>QR-104</v>
      </c>
      <c r="F15" s="91" t="s">
        <v>1579</v>
      </c>
      <c r="G15" s="170" t="str">
        <f t="shared" si="2"/>
        <v>QR-104&gt;D&amp;R</v>
      </c>
    </row>
    <row r="16">
      <c r="A16" s="91">
        <v>14.0</v>
      </c>
      <c r="B16" s="91" t="s">
        <v>1603</v>
      </c>
      <c r="C16" s="91"/>
      <c r="D16" s="171" t="str">
        <f t="shared" si="1"/>
        <v>Eataly</v>
      </c>
      <c r="F16" s="91" t="s">
        <v>1603</v>
      </c>
      <c r="G16" s="170" t="str">
        <f t="shared" si="2"/>
        <v>Eataly&gt;Eataly</v>
      </c>
    </row>
    <row r="17">
      <c r="A17" s="91">
        <v>13.0</v>
      </c>
      <c r="B17" s="91" t="s">
        <v>3847</v>
      </c>
      <c r="C17" s="91" t="s">
        <v>2712</v>
      </c>
      <c r="D17" s="171" t="str">
        <f t="shared" si="1"/>
        <v>QR-104</v>
      </c>
      <c r="F17" s="91" t="s">
        <v>1548</v>
      </c>
      <c r="G17" s="170" t="str">
        <f t="shared" si="2"/>
        <v>QR-104&gt;Toyzz Shop</v>
      </c>
    </row>
    <row r="18">
      <c r="A18" s="91">
        <v>12.0</v>
      </c>
      <c r="B18" s="91" t="s">
        <v>3847</v>
      </c>
      <c r="C18" s="91" t="s">
        <v>2712</v>
      </c>
      <c r="D18" s="171" t="str">
        <f t="shared" si="1"/>
        <v>QR-104</v>
      </c>
      <c r="F18" s="91" t="s">
        <v>485</v>
      </c>
      <c r="G18" s="170" t="str">
        <f t="shared" si="2"/>
        <v>QR-104&gt;Watsons</v>
      </c>
    </row>
    <row r="19">
      <c r="A19" s="91">
        <v>11.0</v>
      </c>
      <c r="B19" s="91" t="s">
        <v>3847</v>
      </c>
      <c r="C19" s="91" t="s">
        <v>2712</v>
      </c>
      <c r="D19" s="171" t="str">
        <f t="shared" si="1"/>
        <v>QR-104</v>
      </c>
      <c r="F19" s="91" t="s">
        <v>497</v>
      </c>
      <c r="G19" s="170" t="str">
        <f t="shared" si="2"/>
        <v>QR-104&gt;Tobacco Shop</v>
      </c>
    </row>
    <row r="20">
      <c r="A20" s="91">
        <v>11.0</v>
      </c>
      <c r="B20" s="91" t="s">
        <v>3848</v>
      </c>
      <c r="C20" s="91" t="s">
        <v>2712</v>
      </c>
      <c r="D20" s="171" t="str">
        <f t="shared" si="1"/>
        <v>QR-104</v>
      </c>
      <c r="F20" s="91" t="s">
        <v>181</v>
      </c>
      <c r="G20" s="170" t="str">
        <f t="shared" si="2"/>
        <v>QR-104&gt;Starbucks</v>
      </c>
    </row>
    <row r="21">
      <c r="A21" s="91">
        <v>11.0</v>
      </c>
      <c r="B21" s="91" t="s">
        <v>3847</v>
      </c>
      <c r="C21" s="91" t="s">
        <v>2712</v>
      </c>
      <c r="D21" s="171" t="str">
        <f t="shared" si="1"/>
        <v>QR-104</v>
      </c>
      <c r="F21" s="91" t="s">
        <v>94</v>
      </c>
      <c r="G21" s="170" t="str">
        <f t="shared" si="2"/>
        <v>QR-104&gt;MediaMarkt</v>
      </c>
    </row>
    <row r="22">
      <c r="A22" s="91">
        <v>11.0</v>
      </c>
      <c r="B22" s="91" t="s">
        <v>3847</v>
      </c>
      <c r="C22" s="91" t="s">
        <v>2712</v>
      </c>
      <c r="D22" s="171" t="str">
        <f t="shared" si="1"/>
        <v>QR-104</v>
      </c>
      <c r="F22" s="91" t="s">
        <v>2870</v>
      </c>
      <c r="G22" s="170" t="str">
        <f t="shared" si="2"/>
        <v>QR-104&gt;Mescit</v>
      </c>
    </row>
    <row r="23">
      <c r="A23" s="91">
        <v>10.0</v>
      </c>
      <c r="B23" s="91" t="s">
        <v>3847</v>
      </c>
      <c r="C23" s="91" t="s">
        <v>2712</v>
      </c>
      <c r="D23" s="171" t="str">
        <f t="shared" si="1"/>
        <v>QR-104</v>
      </c>
      <c r="F23" s="91" t="s">
        <v>267</v>
      </c>
      <c r="G23" s="170" t="str">
        <f t="shared" si="2"/>
        <v>QR-104&gt;H&amp;M</v>
      </c>
    </row>
    <row r="24">
      <c r="A24" s="91">
        <v>10.0</v>
      </c>
      <c r="B24" s="91" t="s">
        <v>3848</v>
      </c>
      <c r="C24" s="91" t="s">
        <v>2712</v>
      </c>
      <c r="D24" s="171" t="str">
        <f t="shared" si="1"/>
        <v>QR-104</v>
      </c>
      <c r="F24" s="91" t="s">
        <v>1536</v>
      </c>
      <c r="G24" s="170" t="str">
        <f t="shared" si="2"/>
        <v>QR-104&gt;Macrocenter</v>
      </c>
    </row>
    <row r="25">
      <c r="A25" s="91">
        <v>10.0</v>
      </c>
      <c r="B25" s="91" t="s">
        <v>3847</v>
      </c>
      <c r="C25" s="91" t="s">
        <v>2712</v>
      </c>
      <c r="D25" s="171" t="str">
        <f t="shared" si="1"/>
        <v>QR-104</v>
      </c>
      <c r="F25" s="91" t="s">
        <v>3402</v>
      </c>
      <c r="G25" s="170" t="str">
        <f t="shared" si="2"/>
        <v>QR-104&gt;Tuvalet</v>
      </c>
    </row>
    <row r="26">
      <c r="A26" s="91">
        <v>10.0</v>
      </c>
      <c r="B26" s="91" t="s">
        <v>3848</v>
      </c>
      <c r="C26" s="91" t="s">
        <v>2712</v>
      </c>
      <c r="D26" s="171" t="str">
        <f t="shared" si="1"/>
        <v>QR-104</v>
      </c>
      <c r="F26" s="91" t="s">
        <v>2799</v>
      </c>
      <c r="G26" s="170" t="str">
        <f t="shared" si="2"/>
        <v>QR-104&gt;Tax Free Zone (Info Desk)</v>
      </c>
    </row>
    <row r="27">
      <c r="A27" s="91">
        <v>9.0</v>
      </c>
      <c r="B27" s="91" t="s">
        <v>3848</v>
      </c>
      <c r="C27" s="91" t="s">
        <v>2712</v>
      </c>
      <c r="D27" s="171" t="str">
        <f t="shared" si="1"/>
        <v>QR-104</v>
      </c>
      <c r="F27" s="91" t="s">
        <v>267</v>
      </c>
      <c r="G27" s="170" t="str">
        <f t="shared" si="2"/>
        <v>QR-104&gt;H&amp;M</v>
      </c>
    </row>
    <row r="28">
      <c r="A28" s="91">
        <v>9.0</v>
      </c>
      <c r="B28" s="91" t="s">
        <v>3847</v>
      </c>
      <c r="C28" s="91" t="s">
        <v>2712</v>
      </c>
      <c r="D28" s="171" t="str">
        <f t="shared" si="1"/>
        <v>QR-104</v>
      </c>
      <c r="F28" s="91" t="s">
        <v>2804</v>
      </c>
      <c r="G28" s="170" t="str">
        <f t="shared" si="2"/>
        <v>QR-104&gt;Garanti BBVA (ATM)</v>
      </c>
    </row>
    <row r="29">
      <c r="A29" s="91">
        <v>9.0</v>
      </c>
      <c r="B29" s="91" t="s">
        <v>3847</v>
      </c>
      <c r="C29" s="91" t="s">
        <v>2712</v>
      </c>
      <c r="D29" s="171" t="str">
        <f t="shared" si="1"/>
        <v>QR-104</v>
      </c>
      <c r="F29" s="91" t="s">
        <v>491</v>
      </c>
      <c r="G29" s="170" t="str">
        <f t="shared" si="2"/>
        <v>QR-104&gt;Turkcell</v>
      </c>
    </row>
    <row r="30">
      <c r="A30" s="91">
        <v>9.0</v>
      </c>
      <c r="B30" s="91" t="s">
        <v>3847</v>
      </c>
      <c r="C30" s="91" t="s">
        <v>2712</v>
      </c>
      <c r="D30" s="171" t="str">
        <f t="shared" si="1"/>
        <v>QR-104</v>
      </c>
      <c r="F30" s="91" t="s">
        <v>699</v>
      </c>
      <c r="G30" s="170" t="str">
        <f t="shared" si="2"/>
        <v>QR-104&gt;Cup of Joy</v>
      </c>
    </row>
    <row r="31">
      <c r="A31" s="91">
        <v>9.0</v>
      </c>
      <c r="B31" s="91" t="s">
        <v>3847</v>
      </c>
      <c r="C31" s="91" t="s">
        <v>2712</v>
      </c>
      <c r="D31" s="171" t="str">
        <f t="shared" si="1"/>
        <v>QR-104</v>
      </c>
      <c r="F31" s="91" t="s">
        <v>315</v>
      </c>
      <c r="G31" s="170" t="str">
        <f t="shared" si="2"/>
        <v>QR-104&gt;Mango</v>
      </c>
    </row>
    <row r="32">
      <c r="A32" s="91">
        <v>9.0</v>
      </c>
      <c r="B32" s="91" t="s">
        <v>3847</v>
      </c>
      <c r="C32" s="91" t="s">
        <v>2712</v>
      </c>
      <c r="D32" s="171" t="str">
        <f t="shared" si="1"/>
        <v>QR-104</v>
      </c>
      <c r="F32" s="91" t="s">
        <v>1400</v>
      </c>
      <c r="G32" s="170" t="str">
        <f t="shared" si="2"/>
        <v>QR-104&gt;Park Alanı</v>
      </c>
    </row>
    <row r="33">
      <c r="A33" s="91">
        <v>9.0</v>
      </c>
      <c r="B33" s="91" t="s">
        <v>3847</v>
      </c>
      <c r="C33" s="91" t="s">
        <v>2712</v>
      </c>
      <c r="D33" s="171" t="str">
        <f t="shared" si="1"/>
        <v>QR-104</v>
      </c>
      <c r="F33" s="91" t="s">
        <v>1403</v>
      </c>
      <c r="G33" s="170" t="str">
        <f t="shared" si="2"/>
        <v>QR-104&gt;Zorlu Center Açık Hava</v>
      </c>
    </row>
    <row r="34">
      <c r="A34" s="91">
        <v>8.0</v>
      </c>
      <c r="B34" s="91" t="s">
        <v>3847</v>
      </c>
      <c r="C34" s="91" t="s">
        <v>2745</v>
      </c>
      <c r="D34" s="171" t="str">
        <f t="shared" si="1"/>
        <v>QR-203</v>
      </c>
      <c r="F34" s="91" t="s">
        <v>474</v>
      </c>
      <c r="G34" s="170" t="str">
        <f t="shared" si="2"/>
        <v>QR-203&gt;Zara</v>
      </c>
    </row>
    <row r="35">
      <c r="A35" s="91">
        <v>8.0</v>
      </c>
      <c r="B35" s="91" t="s">
        <v>3847</v>
      </c>
      <c r="C35" s="91" t="s">
        <v>2757</v>
      </c>
      <c r="D35" s="171" t="str">
        <f t="shared" si="1"/>
        <v>QR-301</v>
      </c>
      <c r="F35" s="91" t="s">
        <v>399</v>
      </c>
      <c r="G35" s="170" t="str">
        <f t="shared" si="2"/>
        <v>QR-301&gt;Apple</v>
      </c>
    </row>
    <row r="36">
      <c r="A36" s="91">
        <v>8.0</v>
      </c>
      <c r="B36" s="91" t="s">
        <v>3847</v>
      </c>
      <c r="C36" s="91" t="s">
        <v>2712</v>
      </c>
      <c r="D36" s="171" t="str">
        <f t="shared" si="1"/>
        <v>QR-104</v>
      </c>
      <c r="F36" s="91" t="s">
        <v>2989</v>
      </c>
      <c r="G36" s="170" t="str">
        <f t="shared" si="2"/>
        <v>QR-104&gt;Zorlu PSM Boğaz Katı</v>
      </c>
    </row>
    <row r="37">
      <c r="A37" s="91">
        <v>8.0</v>
      </c>
      <c r="B37" s="91" t="s">
        <v>3848</v>
      </c>
      <c r="C37" s="91" t="s">
        <v>2745</v>
      </c>
      <c r="D37" s="171" t="str">
        <f t="shared" si="1"/>
        <v>QR-203</v>
      </c>
      <c r="F37" s="91" t="s">
        <v>1536</v>
      </c>
      <c r="G37" s="170" t="str">
        <f t="shared" si="2"/>
        <v>QR-203&gt;Macrocenter</v>
      </c>
    </row>
    <row r="38">
      <c r="A38" s="91">
        <v>8.0</v>
      </c>
      <c r="B38" s="91" t="s">
        <v>3847</v>
      </c>
      <c r="C38" s="91" t="s">
        <v>2712</v>
      </c>
      <c r="D38" s="171" t="str">
        <f t="shared" si="1"/>
        <v>QR-104</v>
      </c>
      <c r="F38" s="91" t="s">
        <v>1692</v>
      </c>
      <c r="G38" s="170" t="str">
        <f t="shared" si="2"/>
        <v>QR-104&gt;Voi Coffee Company</v>
      </c>
    </row>
    <row r="39">
      <c r="A39" s="91">
        <v>8.0</v>
      </c>
      <c r="B39" s="91" t="s">
        <v>3847</v>
      </c>
      <c r="C39" s="91" t="s">
        <v>2745</v>
      </c>
      <c r="D39" s="171" t="str">
        <f t="shared" si="1"/>
        <v>QR-203</v>
      </c>
      <c r="F39" s="91" t="s">
        <v>399</v>
      </c>
      <c r="G39" s="170" t="str">
        <f t="shared" si="2"/>
        <v>QR-203&gt;Apple</v>
      </c>
    </row>
    <row r="40">
      <c r="A40" s="91">
        <v>8.0</v>
      </c>
      <c r="B40" s="91" t="s">
        <v>3847</v>
      </c>
      <c r="C40" s="91" t="s">
        <v>2760</v>
      </c>
      <c r="D40" s="171" t="str">
        <f t="shared" si="1"/>
        <v>QR-302</v>
      </c>
      <c r="F40" s="91" t="s">
        <v>1668</v>
      </c>
      <c r="G40" s="170" t="str">
        <f t="shared" si="2"/>
        <v>QR-302&gt;Zula</v>
      </c>
    </row>
    <row r="41">
      <c r="A41" s="91">
        <v>7.0</v>
      </c>
      <c r="B41" s="91" t="s">
        <v>3847</v>
      </c>
      <c r="C41" s="91" t="s">
        <v>2745</v>
      </c>
      <c r="D41" s="171" t="str">
        <f t="shared" si="1"/>
        <v>QR-203</v>
      </c>
      <c r="F41" s="91" t="s">
        <v>1059</v>
      </c>
      <c r="G41" s="170" t="str">
        <f t="shared" si="2"/>
        <v>QR-203&gt;BigChefs</v>
      </c>
    </row>
    <row r="42">
      <c r="A42" s="91">
        <v>7.0</v>
      </c>
      <c r="B42" s="91" t="s">
        <v>3847</v>
      </c>
      <c r="C42" s="91" t="s">
        <v>2745</v>
      </c>
      <c r="D42" s="171" t="str">
        <f t="shared" si="1"/>
        <v>QR-203</v>
      </c>
      <c r="F42" s="91" t="s">
        <v>1536</v>
      </c>
      <c r="G42" s="170" t="str">
        <f t="shared" si="2"/>
        <v>QR-203&gt;Macrocenter</v>
      </c>
    </row>
    <row r="43">
      <c r="A43" s="91">
        <v>7.0</v>
      </c>
      <c r="B43" s="91" t="s">
        <v>3848</v>
      </c>
      <c r="C43" s="91" t="s">
        <v>2712</v>
      </c>
      <c r="D43" s="171" t="str">
        <f t="shared" si="1"/>
        <v>QR-104</v>
      </c>
      <c r="F43" s="91" t="s">
        <v>193</v>
      </c>
      <c r="G43" s="170" t="str">
        <f t="shared" si="2"/>
        <v>QR-104&gt;Sephora</v>
      </c>
    </row>
    <row r="44">
      <c r="A44" s="91">
        <v>7.0</v>
      </c>
      <c r="B44" s="91" t="s">
        <v>3848</v>
      </c>
      <c r="C44" s="91" t="s">
        <v>2712</v>
      </c>
      <c r="D44" s="171" t="str">
        <f t="shared" si="1"/>
        <v>QR-104</v>
      </c>
      <c r="F44" s="91" t="s">
        <v>1668</v>
      </c>
      <c r="G44" s="170" t="str">
        <f t="shared" si="2"/>
        <v>QR-104&gt;Zula</v>
      </c>
    </row>
    <row r="45">
      <c r="A45" s="91">
        <v>7.0</v>
      </c>
      <c r="B45" s="91" t="s">
        <v>3847</v>
      </c>
      <c r="C45" s="91" t="s">
        <v>2745</v>
      </c>
      <c r="D45" s="171" t="str">
        <f t="shared" si="1"/>
        <v>QR-203</v>
      </c>
      <c r="F45" s="91" t="s">
        <v>1603</v>
      </c>
      <c r="G45" s="170" t="str">
        <f t="shared" si="2"/>
        <v>QR-203&gt;Eataly</v>
      </c>
    </row>
    <row r="46">
      <c r="A46" s="91">
        <v>7.0</v>
      </c>
      <c r="B46" s="91" t="s">
        <v>3847</v>
      </c>
      <c r="C46" s="91" t="s">
        <v>2712</v>
      </c>
      <c r="D46" s="171" t="str">
        <f t="shared" si="1"/>
        <v>QR-104</v>
      </c>
      <c r="F46" s="91" t="s">
        <v>2132</v>
      </c>
      <c r="G46" s="170" t="str">
        <f t="shared" si="2"/>
        <v>QR-104&gt;Vakkorama Cafe</v>
      </c>
    </row>
    <row r="47">
      <c r="A47" s="91">
        <v>7.0</v>
      </c>
      <c r="B47" s="91" t="s">
        <v>3848</v>
      </c>
      <c r="C47" s="91" t="s">
        <v>2712</v>
      </c>
      <c r="D47" s="171" t="str">
        <f t="shared" si="1"/>
        <v>QR-104</v>
      </c>
      <c r="F47" s="91" t="s">
        <v>1059</v>
      </c>
      <c r="G47" s="170" t="str">
        <f t="shared" si="2"/>
        <v>QR-104&gt;BigChefs</v>
      </c>
    </row>
    <row r="48">
      <c r="A48" s="91">
        <v>7.0</v>
      </c>
      <c r="B48" s="91" t="s">
        <v>3847</v>
      </c>
      <c r="C48" s="91" t="s">
        <v>2712</v>
      </c>
      <c r="D48" s="171" t="str">
        <f t="shared" si="1"/>
        <v>QR-104</v>
      </c>
      <c r="F48" s="91" t="s">
        <v>1626</v>
      </c>
      <c r="G48" s="170" t="str">
        <f t="shared" si="2"/>
        <v>QR-104&gt;Funloft</v>
      </c>
    </row>
    <row r="49">
      <c r="A49" s="91">
        <v>7.0</v>
      </c>
      <c r="B49" s="91" t="s">
        <v>3847</v>
      </c>
      <c r="C49" s="91" t="s">
        <v>2757</v>
      </c>
      <c r="D49" s="171" t="str">
        <f t="shared" si="1"/>
        <v>QR-301</v>
      </c>
      <c r="F49" s="91" t="s">
        <v>682</v>
      </c>
      <c r="G49" s="170" t="str">
        <f t="shared" si="2"/>
        <v>QR-301&gt;Beymen</v>
      </c>
    </row>
    <row r="50">
      <c r="A50" s="91">
        <v>6.0</v>
      </c>
      <c r="B50" s="91" t="s">
        <v>3847</v>
      </c>
      <c r="C50" s="91" t="s">
        <v>2712</v>
      </c>
      <c r="D50" s="171" t="str">
        <f t="shared" si="1"/>
        <v>QR-104</v>
      </c>
      <c r="F50" s="91" t="s">
        <v>1573</v>
      </c>
      <c r="G50" s="170" t="str">
        <f t="shared" si="2"/>
        <v>QR-104&gt;English Home</v>
      </c>
    </row>
    <row r="51">
      <c r="A51" s="91">
        <v>6.0</v>
      </c>
      <c r="B51" s="91" t="s">
        <v>3848</v>
      </c>
      <c r="C51" s="91" t="s">
        <v>2712</v>
      </c>
      <c r="D51" s="171" t="str">
        <f t="shared" si="1"/>
        <v>QR-104</v>
      </c>
      <c r="F51" s="91" t="s">
        <v>1554</v>
      </c>
      <c r="G51" s="170" t="str">
        <f t="shared" si="2"/>
        <v>QR-104&gt;Paşabahçe Mağazaları</v>
      </c>
    </row>
    <row r="52">
      <c r="A52" s="91">
        <v>6.0</v>
      </c>
      <c r="B52" s="91" t="s">
        <v>3848</v>
      </c>
      <c r="C52" s="91" t="s">
        <v>2712</v>
      </c>
      <c r="D52" s="171" t="str">
        <f t="shared" si="1"/>
        <v>QR-104</v>
      </c>
      <c r="F52" s="91" t="s">
        <v>3849</v>
      </c>
      <c r="G52" s="170" t="str">
        <f t="shared" si="2"/>
        <v>QR-104&gt;Prayer Room</v>
      </c>
    </row>
    <row r="53">
      <c r="A53" s="91">
        <v>6.0</v>
      </c>
      <c r="B53" s="91" t="s">
        <v>3848</v>
      </c>
      <c r="C53" s="91" t="s">
        <v>2745</v>
      </c>
      <c r="D53" s="171" t="str">
        <f t="shared" si="1"/>
        <v>QR-203</v>
      </c>
      <c r="F53" s="91" t="s">
        <v>474</v>
      </c>
      <c r="G53" s="170" t="str">
        <f t="shared" si="2"/>
        <v>QR-203&gt;Zara</v>
      </c>
    </row>
    <row r="54">
      <c r="A54" s="91">
        <v>6.0</v>
      </c>
      <c r="B54" s="91" t="s">
        <v>3847</v>
      </c>
      <c r="C54" s="91" t="s">
        <v>2712</v>
      </c>
      <c r="D54" s="171" t="str">
        <f t="shared" si="1"/>
        <v>QR-104</v>
      </c>
      <c r="F54" s="91" t="s">
        <v>64</v>
      </c>
      <c r="G54" s="170" t="str">
        <f t="shared" si="2"/>
        <v>QR-104&gt;Rossmann</v>
      </c>
    </row>
    <row r="55">
      <c r="A55" s="91">
        <v>6.0</v>
      </c>
      <c r="B55" s="91" t="s">
        <v>3847</v>
      </c>
      <c r="C55" s="91" t="s">
        <v>2745</v>
      </c>
      <c r="D55" s="171" t="str">
        <f t="shared" si="1"/>
        <v>QR-203</v>
      </c>
      <c r="F55" s="91" t="s">
        <v>2870</v>
      </c>
      <c r="G55" s="170" t="str">
        <f t="shared" si="2"/>
        <v>QR-203&gt;Mescit</v>
      </c>
    </row>
    <row r="56">
      <c r="A56" s="91">
        <v>6.0</v>
      </c>
      <c r="B56" s="91" t="s">
        <v>3847</v>
      </c>
      <c r="C56" s="91" t="s">
        <v>2712</v>
      </c>
      <c r="D56" s="171" t="str">
        <f t="shared" si="1"/>
        <v>QR-104</v>
      </c>
      <c r="F56" s="91" t="s">
        <v>2801</v>
      </c>
      <c r="G56" s="170" t="str">
        <f t="shared" si="2"/>
        <v>QR-104&gt;Akbank (ATM)</v>
      </c>
    </row>
    <row r="57">
      <c r="A57" s="91">
        <v>6.0</v>
      </c>
      <c r="B57" s="91" t="s">
        <v>3847</v>
      </c>
      <c r="C57" s="91" t="s">
        <v>2712</v>
      </c>
      <c r="D57" s="171" t="str">
        <f t="shared" si="1"/>
        <v>QR-104</v>
      </c>
      <c r="F57" s="91" t="s">
        <v>3305</v>
      </c>
      <c r="G57" s="170" t="str">
        <f t="shared" si="2"/>
        <v>QR-104&gt;Eczane</v>
      </c>
    </row>
    <row r="58">
      <c r="A58" s="91">
        <v>6.0</v>
      </c>
      <c r="B58" s="91" t="s">
        <v>3847</v>
      </c>
      <c r="C58" s="91" t="s">
        <v>2712</v>
      </c>
      <c r="D58" s="171" t="str">
        <f t="shared" si="1"/>
        <v>QR-104</v>
      </c>
      <c r="F58" s="91" t="s">
        <v>2922</v>
      </c>
      <c r="G58" s="170" t="str">
        <f t="shared" si="2"/>
        <v>QR-104&gt;Yapı Kredi (ATM)</v>
      </c>
    </row>
    <row r="59">
      <c r="A59" s="91">
        <v>6.0</v>
      </c>
      <c r="B59" s="91" t="s">
        <v>3847</v>
      </c>
      <c r="C59" s="91" t="s">
        <v>2736</v>
      </c>
      <c r="D59" s="171" t="str">
        <f t="shared" si="1"/>
        <v>QR-112</v>
      </c>
      <c r="F59" s="91" t="s">
        <v>474</v>
      </c>
      <c r="G59" s="170" t="str">
        <f t="shared" si="2"/>
        <v>QR-112&gt;Zara</v>
      </c>
    </row>
    <row r="60">
      <c r="A60" s="91">
        <v>6.0</v>
      </c>
      <c r="B60" s="91" t="s">
        <v>3847</v>
      </c>
      <c r="C60" s="91" t="s">
        <v>2757</v>
      </c>
      <c r="D60" s="171" t="str">
        <f t="shared" si="1"/>
        <v>QR-301</v>
      </c>
      <c r="F60" s="91" t="s">
        <v>579</v>
      </c>
      <c r="G60" s="170" t="str">
        <f t="shared" si="2"/>
        <v>QR-301&gt;Arby's</v>
      </c>
    </row>
    <row r="61">
      <c r="A61" s="91">
        <v>6.0</v>
      </c>
      <c r="B61" s="91" t="s">
        <v>3847</v>
      </c>
      <c r="C61" s="91" t="s">
        <v>2760</v>
      </c>
      <c r="D61" s="171" t="str">
        <f t="shared" si="1"/>
        <v>QR-302</v>
      </c>
      <c r="F61" s="91" t="s">
        <v>474</v>
      </c>
      <c r="G61" s="170" t="str">
        <f t="shared" si="2"/>
        <v>QR-302&gt;Zara</v>
      </c>
    </row>
    <row r="62">
      <c r="A62" s="91">
        <v>6.0</v>
      </c>
      <c r="B62" s="91" t="s">
        <v>3848</v>
      </c>
      <c r="C62" s="91" t="s">
        <v>2685</v>
      </c>
      <c r="D62" s="171" t="str">
        <f t="shared" si="1"/>
        <v>QR006</v>
      </c>
      <c r="F62" s="91" t="s">
        <v>777</v>
      </c>
      <c r="G62" s="170" t="str">
        <f t="shared" si="2"/>
        <v>QR006&gt;COS</v>
      </c>
    </row>
    <row r="63">
      <c r="A63" s="91">
        <v>6.0</v>
      </c>
      <c r="B63" s="91" t="s">
        <v>474</v>
      </c>
      <c r="C63" s="91"/>
      <c r="D63" s="171" t="str">
        <f t="shared" si="1"/>
        <v>Zara</v>
      </c>
      <c r="F63" s="91" t="s">
        <v>1536</v>
      </c>
      <c r="G63" s="170" t="str">
        <f t="shared" si="2"/>
        <v>Zara&gt;Macrocenter</v>
      </c>
    </row>
    <row r="64">
      <c r="A64" s="91">
        <v>6.0</v>
      </c>
      <c r="B64" s="91" t="s">
        <v>3850</v>
      </c>
      <c r="C64" s="91"/>
      <c r="D64" s="171" t="str">
        <f t="shared" si="1"/>
        <v>Beymen(Tommy Hilfiger yanı)</v>
      </c>
      <c r="F64" s="91" t="s">
        <v>181</v>
      </c>
      <c r="G64" s="170" t="str">
        <f t="shared" si="2"/>
        <v>Beymen(Tommy Hilfiger yanı)&gt;Starbucks</v>
      </c>
    </row>
    <row r="65">
      <c r="A65" s="91">
        <v>6.0</v>
      </c>
      <c r="B65" s="91" t="s">
        <v>3847</v>
      </c>
      <c r="C65" s="91" t="s">
        <v>2712</v>
      </c>
      <c r="D65" s="171" t="str">
        <f t="shared" si="1"/>
        <v>QR-104</v>
      </c>
      <c r="F65" s="91" t="s">
        <v>193</v>
      </c>
      <c r="G65" s="170" t="str">
        <f t="shared" si="2"/>
        <v>QR-104&gt;Sephora</v>
      </c>
    </row>
    <row r="66">
      <c r="A66" s="91">
        <v>6.0</v>
      </c>
      <c r="B66" s="91" t="s">
        <v>3847</v>
      </c>
      <c r="C66" s="91" t="s">
        <v>2685</v>
      </c>
      <c r="D66" s="171" t="str">
        <f t="shared" si="1"/>
        <v>QR006</v>
      </c>
      <c r="F66" s="91" t="s">
        <v>399</v>
      </c>
      <c r="G66" s="170" t="str">
        <f t="shared" si="2"/>
        <v>QR006&gt;Apple</v>
      </c>
    </row>
    <row r="67">
      <c r="A67" s="91">
        <v>6.0</v>
      </c>
      <c r="B67" s="91" t="s">
        <v>2284</v>
      </c>
      <c r="C67" s="91"/>
      <c r="D67" s="171" t="str">
        <f t="shared" si="1"/>
        <v>Etiler Marmaris</v>
      </c>
      <c r="F67" s="91" t="s">
        <v>903</v>
      </c>
      <c r="G67" s="170" t="str">
        <f t="shared" si="2"/>
        <v>Etiler Marmaris&gt;AI Analiz</v>
      </c>
    </row>
    <row r="68">
      <c r="A68" s="91">
        <v>5.0</v>
      </c>
      <c r="B68" s="91" t="s">
        <v>3847</v>
      </c>
      <c r="C68" s="91" t="s">
        <v>2712</v>
      </c>
      <c r="D68" s="171" t="str">
        <f t="shared" si="1"/>
        <v>QR-104</v>
      </c>
      <c r="F68" s="91" t="s">
        <v>682</v>
      </c>
      <c r="G68" s="170" t="str">
        <f t="shared" si="2"/>
        <v>QR-104&gt;Beymen</v>
      </c>
    </row>
    <row r="69">
      <c r="A69" s="91">
        <v>5.0</v>
      </c>
      <c r="B69" s="91" t="s">
        <v>3847</v>
      </c>
      <c r="C69" s="91" t="s">
        <v>2712</v>
      </c>
      <c r="D69" s="171" t="str">
        <f t="shared" si="1"/>
        <v>QR-104</v>
      </c>
      <c r="F69" s="91" t="s">
        <v>1554</v>
      </c>
      <c r="G69" s="170" t="str">
        <f t="shared" si="2"/>
        <v>QR-104&gt;Paşabahçe Mağazaları</v>
      </c>
    </row>
    <row r="70">
      <c r="A70" s="91">
        <v>5.0</v>
      </c>
      <c r="B70" s="91" t="s">
        <v>3847</v>
      </c>
      <c r="C70" s="91" t="s">
        <v>2745</v>
      </c>
      <c r="D70" s="171" t="str">
        <f t="shared" si="1"/>
        <v>QR-203</v>
      </c>
      <c r="F70" s="91" t="s">
        <v>682</v>
      </c>
      <c r="G70" s="170" t="str">
        <f t="shared" si="2"/>
        <v>QR-203&gt;Beymen</v>
      </c>
    </row>
    <row r="71">
      <c r="A71" s="91">
        <v>5.0</v>
      </c>
      <c r="B71" s="91" t="s">
        <v>3847</v>
      </c>
      <c r="C71" s="91" t="s">
        <v>2745</v>
      </c>
      <c r="D71" s="171" t="str">
        <f t="shared" si="1"/>
        <v>QR-203</v>
      </c>
      <c r="F71" s="91" t="s">
        <v>1579</v>
      </c>
      <c r="G71" s="170" t="str">
        <f t="shared" si="2"/>
        <v>QR-203&gt;D&amp;R</v>
      </c>
    </row>
    <row r="72">
      <c r="A72" s="91">
        <v>5.0</v>
      </c>
      <c r="B72" s="91" t="s">
        <v>3848</v>
      </c>
      <c r="C72" s="91" t="s">
        <v>2712</v>
      </c>
      <c r="D72" s="171" t="str">
        <f t="shared" si="1"/>
        <v>QR-104</v>
      </c>
      <c r="F72" s="91" t="s">
        <v>1579</v>
      </c>
      <c r="G72" s="170" t="str">
        <f t="shared" si="2"/>
        <v>QR-104&gt;D&amp;R</v>
      </c>
    </row>
    <row r="73">
      <c r="A73" s="91">
        <v>5.0</v>
      </c>
      <c r="B73" s="91" t="s">
        <v>3848</v>
      </c>
      <c r="C73" s="91" t="s">
        <v>2712</v>
      </c>
      <c r="D73" s="171" t="str">
        <f t="shared" si="1"/>
        <v>QR-104</v>
      </c>
      <c r="F73" s="91" t="s">
        <v>94</v>
      </c>
      <c r="G73" s="170" t="str">
        <f t="shared" si="2"/>
        <v>QR-104&gt;MediaMarkt</v>
      </c>
    </row>
    <row r="74">
      <c r="A74" s="91">
        <v>5.0</v>
      </c>
      <c r="B74" s="91" t="s">
        <v>3848</v>
      </c>
      <c r="C74" s="91" t="s">
        <v>2712</v>
      </c>
      <c r="D74" s="171" t="str">
        <f t="shared" si="1"/>
        <v>QR-104</v>
      </c>
      <c r="F74" s="91" t="s">
        <v>3851</v>
      </c>
      <c r="G74" s="170" t="str">
        <f t="shared" si="2"/>
        <v>QR-104&gt;Park Area</v>
      </c>
    </row>
    <row r="75">
      <c r="A75" s="91">
        <v>5.0</v>
      </c>
      <c r="B75" s="91" t="s">
        <v>3848</v>
      </c>
      <c r="C75" s="91" t="s">
        <v>2736</v>
      </c>
      <c r="D75" s="171" t="str">
        <f t="shared" si="1"/>
        <v>QR-112</v>
      </c>
      <c r="F75" s="91" t="s">
        <v>267</v>
      </c>
      <c r="G75" s="170" t="str">
        <f t="shared" si="2"/>
        <v>QR-112&gt;H&amp;M</v>
      </c>
    </row>
    <row r="76">
      <c r="A76" s="91">
        <v>5.0</v>
      </c>
      <c r="B76" s="91" t="s">
        <v>3848</v>
      </c>
      <c r="C76" s="91" t="s">
        <v>2745</v>
      </c>
      <c r="D76" s="171" t="str">
        <f t="shared" si="1"/>
        <v>QR-203</v>
      </c>
      <c r="F76" s="91" t="s">
        <v>1579</v>
      </c>
      <c r="G76" s="170" t="str">
        <f t="shared" si="2"/>
        <v>QR-203&gt;D&amp;R</v>
      </c>
    </row>
    <row r="77">
      <c r="A77" s="91">
        <v>5.0</v>
      </c>
      <c r="B77" s="91" t="s">
        <v>474</v>
      </c>
      <c r="C77" s="91"/>
      <c r="D77" s="171" t="str">
        <f t="shared" si="1"/>
        <v>Zara</v>
      </c>
      <c r="F77" s="91" t="s">
        <v>315</v>
      </c>
      <c r="G77" s="170" t="str">
        <f t="shared" si="2"/>
        <v>Zara&gt;Mango</v>
      </c>
    </row>
    <row r="78">
      <c r="A78" s="91">
        <v>5.0</v>
      </c>
      <c r="B78" s="91" t="s">
        <v>3847</v>
      </c>
      <c r="C78" s="91" t="s">
        <v>2712</v>
      </c>
      <c r="D78" s="171" t="str">
        <f t="shared" si="1"/>
        <v>QR-104</v>
      </c>
      <c r="F78" s="91" t="s">
        <v>2266</v>
      </c>
      <c r="G78" s="170" t="str">
        <f t="shared" si="2"/>
        <v>QR-104&gt;Kafe Vesto</v>
      </c>
    </row>
    <row r="79">
      <c r="A79" s="91">
        <v>5.0</v>
      </c>
      <c r="B79" s="91" t="s">
        <v>3847</v>
      </c>
      <c r="C79" s="91" t="s">
        <v>2712</v>
      </c>
      <c r="D79" s="171" t="str">
        <f t="shared" si="1"/>
        <v>QR-104</v>
      </c>
      <c r="F79" s="91" t="s">
        <v>1082</v>
      </c>
      <c r="G79" s="170" t="str">
        <f t="shared" si="2"/>
        <v>QR-104&gt;Saray Muhallebicisi</v>
      </c>
    </row>
    <row r="80">
      <c r="A80" s="91">
        <v>5.0</v>
      </c>
      <c r="B80" s="91" t="s">
        <v>3847</v>
      </c>
      <c r="C80" s="91" t="s">
        <v>2712</v>
      </c>
      <c r="D80" s="171" t="str">
        <f t="shared" si="1"/>
        <v>QR-104</v>
      </c>
      <c r="F80" s="91" t="s">
        <v>1076</v>
      </c>
      <c r="G80" s="170" t="str">
        <f t="shared" si="2"/>
        <v>QR-104&gt;SushiCo</v>
      </c>
    </row>
    <row r="81">
      <c r="A81" s="91">
        <v>5.0</v>
      </c>
      <c r="B81" s="91" t="s">
        <v>3847</v>
      </c>
      <c r="C81" s="91" t="s">
        <v>2712</v>
      </c>
      <c r="D81" s="171" t="str">
        <f t="shared" si="1"/>
        <v>QR-104</v>
      </c>
      <c r="F81" s="91" t="s">
        <v>1009</v>
      </c>
      <c r="G81" s="170" t="str">
        <f t="shared" si="2"/>
        <v>QR-104&gt;Welldone</v>
      </c>
    </row>
    <row r="82">
      <c r="A82" s="91">
        <v>5.0</v>
      </c>
      <c r="B82" s="91" t="s">
        <v>3847</v>
      </c>
      <c r="C82" s="91" t="s">
        <v>2736</v>
      </c>
      <c r="D82" s="171" t="str">
        <f t="shared" si="1"/>
        <v>QR-112</v>
      </c>
      <c r="F82" s="91" t="s">
        <v>485</v>
      </c>
      <c r="G82" s="170" t="str">
        <f t="shared" si="2"/>
        <v>QR-112&gt;Watsons</v>
      </c>
    </row>
    <row r="83">
      <c r="A83" s="91">
        <v>5.0</v>
      </c>
      <c r="B83" s="91" t="s">
        <v>3847</v>
      </c>
      <c r="C83" s="91" t="s">
        <v>2757</v>
      </c>
      <c r="D83" s="171" t="str">
        <f t="shared" si="1"/>
        <v>QR-301</v>
      </c>
      <c r="F83" s="91" t="s">
        <v>2349</v>
      </c>
      <c r="G83" s="170" t="str">
        <f t="shared" si="2"/>
        <v>QR-301&gt;Togg Deneyim Merkezi</v>
      </c>
    </row>
    <row r="84">
      <c r="A84" s="91">
        <v>5.0</v>
      </c>
      <c r="B84" s="91" t="s">
        <v>3847</v>
      </c>
      <c r="C84" s="91" t="s">
        <v>2760</v>
      </c>
      <c r="D84" s="171" t="str">
        <f t="shared" si="1"/>
        <v>QR-302</v>
      </c>
      <c r="F84" s="91" t="s">
        <v>399</v>
      </c>
      <c r="G84" s="170" t="str">
        <f t="shared" si="2"/>
        <v>QR-302&gt;Apple</v>
      </c>
    </row>
    <row r="85">
      <c r="A85" s="91">
        <v>5.0</v>
      </c>
      <c r="B85" s="91" t="s">
        <v>823</v>
      </c>
      <c r="C85" s="91"/>
      <c r="D85" s="171" t="str">
        <f t="shared" si="1"/>
        <v>Yargıcı</v>
      </c>
      <c r="F85" s="91" t="s">
        <v>1548</v>
      </c>
      <c r="G85" s="170" t="str">
        <f t="shared" si="2"/>
        <v>Yargıcı&gt;Toyzz Shop</v>
      </c>
    </row>
    <row r="86">
      <c r="A86" s="91">
        <v>5.0</v>
      </c>
      <c r="B86" s="91" t="s">
        <v>3848</v>
      </c>
      <c r="C86" s="91" t="s">
        <v>2712</v>
      </c>
      <c r="D86" s="171" t="str">
        <f t="shared" si="1"/>
        <v>QR-104</v>
      </c>
      <c r="F86" s="91" t="s">
        <v>1031</v>
      </c>
      <c r="G86" s="170" t="str">
        <f t="shared" si="2"/>
        <v>QR-104&gt;Happy Moon's</v>
      </c>
    </row>
    <row r="87">
      <c r="A87" s="91">
        <v>5.0</v>
      </c>
      <c r="B87" s="91" t="s">
        <v>3848</v>
      </c>
      <c r="C87" s="91" t="s">
        <v>2712</v>
      </c>
      <c r="D87" s="171" t="str">
        <f t="shared" si="1"/>
        <v>QR-104</v>
      </c>
      <c r="F87" s="91" t="s">
        <v>485</v>
      </c>
      <c r="G87" s="170" t="str">
        <f t="shared" si="2"/>
        <v>QR-104&gt;Watsons</v>
      </c>
    </row>
    <row r="88">
      <c r="A88" s="91">
        <v>5.0</v>
      </c>
      <c r="B88" s="91" t="s">
        <v>474</v>
      </c>
      <c r="C88" s="91"/>
      <c r="D88" s="171" t="str">
        <f t="shared" si="1"/>
        <v>Zara</v>
      </c>
      <c r="F88" s="91" t="s">
        <v>474</v>
      </c>
      <c r="G88" s="170" t="str">
        <f t="shared" si="2"/>
        <v>Zara&gt;Zara</v>
      </c>
    </row>
    <row r="89">
      <c r="A89" s="91">
        <v>5.0</v>
      </c>
      <c r="B89" s="91" t="s">
        <v>3847</v>
      </c>
      <c r="C89" s="91" t="s">
        <v>2712</v>
      </c>
      <c r="D89" s="171" t="str">
        <f t="shared" si="1"/>
        <v>QR-104</v>
      </c>
      <c r="F89" s="91" t="s">
        <v>812</v>
      </c>
      <c r="G89" s="170" t="str">
        <f t="shared" si="2"/>
        <v>QR-104&gt;Swarovski</v>
      </c>
    </row>
    <row r="90">
      <c r="A90" s="91">
        <v>5.0</v>
      </c>
      <c r="B90" s="91" t="s">
        <v>3847</v>
      </c>
      <c r="C90" s="91" t="s">
        <v>2712</v>
      </c>
      <c r="D90" s="171" t="str">
        <f t="shared" si="1"/>
        <v>QR-104</v>
      </c>
      <c r="F90" s="91" t="s">
        <v>1020</v>
      </c>
      <c r="G90" s="170" t="str">
        <f t="shared" si="2"/>
        <v>QR-104&gt;Vakko</v>
      </c>
    </row>
    <row r="91">
      <c r="A91" s="91">
        <v>5.0</v>
      </c>
      <c r="B91" s="91" t="s">
        <v>3847</v>
      </c>
      <c r="C91" s="91" t="s">
        <v>2712</v>
      </c>
      <c r="D91" s="171" t="str">
        <f t="shared" si="1"/>
        <v>QR-104</v>
      </c>
      <c r="F91" s="91" t="s">
        <v>871</v>
      </c>
      <c r="G91" s="170" t="str">
        <f t="shared" si="2"/>
        <v>QR-104&gt;Zara Home</v>
      </c>
    </row>
    <row r="92">
      <c r="A92" s="91">
        <v>5.0</v>
      </c>
      <c r="B92" s="91" t="s">
        <v>3847</v>
      </c>
      <c r="C92" s="91" t="s">
        <v>2757</v>
      </c>
      <c r="D92" s="171" t="str">
        <f t="shared" si="1"/>
        <v>QR-301</v>
      </c>
      <c r="F92" s="91" t="s">
        <v>1400</v>
      </c>
      <c r="G92" s="170" t="str">
        <f t="shared" si="2"/>
        <v>QR-301&gt;Park Alanı</v>
      </c>
    </row>
    <row r="93">
      <c r="A93" s="91">
        <v>5.0</v>
      </c>
      <c r="B93" s="91" t="s">
        <v>3848</v>
      </c>
      <c r="C93" s="91" t="s">
        <v>2712</v>
      </c>
      <c r="D93" s="171" t="str">
        <f t="shared" si="1"/>
        <v>QR-104</v>
      </c>
      <c r="F93" s="91" t="s">
        <v>3852</v>
      </c>
      <c r="G93" s="170" t="str">
        <f t="shared" si="2"/>
        <v>QR-104&gt;WC</v>
      </c>
    </row>
    <row r="94">
      <c r="A94" s="91">
        <v>5.0</v>
      </c>
      <c r="B94" s="91" t="s">
        <v>3848</v>
      </c>
      <c r="C94" s="91" t="s">
        <v>2745</v>
      </c>
      <c r="D94" s="171" t="str">
        <f t="shared" si="1"/>
        <v>QR-203</v>
      </c>
      <c r="F94" s="91" t="s">
        <v>1668</v>
      </c>
      <c r="G94" s="170" t="str">
        <f t="shared" si="2"/>
        <v>QR-203&gt;Zula</v>
      </c>
    </row>
    <row r="95">
      <c r="A95" s="91">
        <v>5.0</v>
      </c>
      <c r="B95" s="91" t="s">
        <v>823</v>
      </c>
      <c r="C95" s="91"/>
      <c r="D95" s="171" t="str">
        <f t="shared" si="1"/>
        <v>Yargıcı</v>
      </c>
      <c r="F95" s="91" t="s">
        <v>569</v>
      </c>
      <c r="G95" s="170" t="str">
        <f t="shared" si="2"/>
        <v>Yargıcı&gt;Burger King</v>
      </c>
    </row>
    <row r="96">
      <c r="A96" s="91">
        <v>5.0</v>
      </c>
      <c r="B96" s="91" t="s">
        <v>3848</v>
      </c>
      <c r="C96" s="91" t="s">
        <v>2745</v>
      </c>
      <c r="D96" s="171" t="str">
        <f t="shared" si="1"/>
        <v>QR-203</v>
      </c>
      <c r="F96" s="91" t="s">
        <v>1031</v>
      </c>
      <c r="G96" s="170" t="str">
        <f t="shared" si="2"/>
        <v>QR-203&gt;Happy Moon's</v>
      </c>
    </row>
    <row r="97">
      <c r="A97" s="91">
        <v>5.0</v>
      </c>
      <c r="B97" s="91" t="s">
        <v>1573</v>
      </c>
      <c r="C97" s="91"/>
      <c r="D97" s="171" t="str">
        <f t="shared" si="1"/>
        <v>English Home</v>
      </c>
      <c r="F97" s="91" t="s">
        <v>1573</v>
      </c>
      <c r="G97" s="170" t="str">
        <f t="shared" si="2"/>
        <v>English Home&gt;English Home</v>
      </c>
    </row>
    <row r="98">
      <c r="A98" s="91">
        <v>5.0</v>
      </c>
      <c r="B98" s="91" t="s">
        <v>1657</v>
      </c>
      <c r="C98" s="91"/>
      <c r="D98" s="171" t="str">
        <f t="shared" si="1"/>
        <v>Kısmet by Milka</v>
      </c>
      <c r="F98" s="91" t="s">
        <v>1657</v>
      </c>
      <c r="G98" s="170" t="str">
        <f t="shared" si="2"/>
        <v>Kısmet by Milka&gt;Kısmet by Milka</v>
      </c>
    </row>
    <row r="99">
      <c r="A99" s="91">
        <v>5.0</v>
      </c>
      <c r="B99" s="91" t="s">
        <v>3848</v>
      </c>
      <c r="C99" s="91" t="s">
        <v>2736</v>
      </c>
      <c r="D99" s="171" t="str">
        <f t="shared" si="1"/>
        <v>QR-112</v>
      </c>
      <c r="F99" s="91" t="s">
        <v>1296</v>
      </c>
      <c r="G99" s="170" t="str">
        <f t="shared" si="2"/>
        <v>QR-112&gt;Parle</v>
      </c>
    </row>
    <row r="100">
      <c r="A100" s="91">
        <v>5.0</v>
      </c>
      <c r="B100" s="91" t="s">
        <v>3848</v>
      </c>
      <c r="C100" s="91" t="s">
        <v>2685</v>
      </c>
      <c r="D100" s="171" t="str">
        <f t="shared" si="1"/>
        <v>QR006</v>
      </c>
      <c r="F100" s="91" t="s">
        <v>1076</v>
      </c>
      <c r="G100" s="170" t="str">
        <f t="shared" si="2"/>
        <v>QR006&gt;SushiCo</v>
      </c>
    </row>
    <row r="101">
      <c r="A101" s="91">
        <v>4.0</v>
      </c>
      <c r="B101" s="91" t="s">
        <v>549</v>
      </c>
      <c r="C101" s="91"/>
      <c r="D101" s="171" t="str">
        <f t="shared" si="1"/>
        <v>Caffe Nero</v>
      </c>
      <c r="F101" s="91" t="s">
        <v>1603</v>
      </c>
      <c r="G101" s="170" t="str">
        <f t="shared" si="2"/>
        <v>Caffe Nero&gt;Eataly</v>
      </c>
    </row>
    <row r="102">
      <c r="A102" s="91">
        <v>4.0</v>
      </c>
      <c r="B102" s="91" t="s">
        <v>509</v>
      </c>
      <c r="C102" s="91"/>
      <c r="D102" s="171" t="str">
        <f t="shared" si="1"/>
        <v>Intimissimi</v>
      </c>
      <c r="F102" s="91" t="s">
        <v>485</v>
      </c>
      <c r="G102" s="170" t="str">
        <f t="shared" si="2"/>
        <v>Intimissimi&gt;Watsons</v>
      </c>
    </row>
    <row r="103">
      <c r="A103" s="91">
        <v>4.0</v>
      </c>
      <c r="B103" s="91" t="s">
        <v>3847</v>
      </c>
      <c r="C103" s="91" t="s">
        <v>2712</v>
      </c>
      <c r="D103" s="171" t="str">
        <f t="shared" si="1"/>
        <v>QR-104</v>
      </c>
      <c r="F103" s="91" t="s">
        <v>211</v>
      </c>
      <c r="G103" s="170" t="str">
        <f t="shared" si="2"/>
        <v>QR-104&gt;Asics</v>
      </c>
    </row>
    <row r="104">
      <c r="A104" s="91">
        <v>4.0</v>
      </c>
      <c r="B104" s="91" t="s">
        <v>3847</v>
      </c>
      <c r="C104" s="91" t="s">
        <v>2712</v>
      </c>
      <c r="D104" s="171" t="str">
        <f t="shared" si="1"/>
        <v>QR-104</v>
      </c>
      <c r="F104" s="91" t="s">
        <v>1337</v>
      </c>
      <c r="G104" s="170" t="str">
        <f t="shared" si="2"/>
        <v>QR-104&gt;Godiva</v>
      </c>
    </row>
    <row r="105">
      <c r="A105" s="91">
        <v>4.0</v>
      </c>
      <c r="B105" s="91" t="s">
        <v>3847</v>
      </c>
      <c r="C105" s="91" t="s">
        <v>2712</v>
      </c>
      <c r="D105" s="171" t="str">
        <f t="shared" si="1"/>
        <v>QR-104</v>
      </c>
      <c r="F105" s="91" t="s">
        <v>1542</v>
      </c>
      <c r="G105" s="170" t="str">
        <f t="shared" si="2"/>
        <v>QR-104&gt;Vestel</v>
      </c>
    </row>
    <row r="106">
      <c r="A106" s="91">
        <v>4.0</v>
      </c>
      <c r="B106" s="91" t="s">
        <v>3847</v>
      </c>
      <c r="C106" s="91" t="s">
        <v>2745</v>
      </c>
      <c r="D106" s="171" t="str">
        <f t="shared" si="1"/>
        <v>QR-203</v>
      </c>
      <c r="F106" s="91" t="s">
        <v>549</v>
      </c>
      <c r="G106" s="170" t="str">
        <f t="shared" si="2"/>
        <v>QR-203&gt;Caffe Nero</v>
      </c>
    </row>
    <row r="107">
      <c r="A107" s="91">
        <v>4.0</v>
      </c>
      <c r="B107" s="91" t="s">
        <v>3847</v>
      </c>
      <c r="C107" s="91" t="s">
        <v>2745</v>
      </c>
      <c r="D107" s="171" t="str">
        <f t="shared" si="1"/>
        <v>QR-203</v>
      </c>
      <c r="F107" s="91" t="s">
        <v>1668</v>
      </c>
      <c r="G107" s="170" t="str">
        <f t="shared" si="2"/>
        <v>QR-203&gt;Zula</v>
      </c>
    </row>
    <row r="108">
      <c r="A108" s="91">
        <v>4.0</v>
      </c>
      <c r="B108" s="91" t="s">
        <v>3847</v>
      </c>
      <c r="C108" s="91" t="s">
        <v>2757</v>
      </c>
      <c r="D108" s="171" t="str">
        <f t="shared" si="1"/>
        <v>QR-301</v>
      </c>
      <c r="F108" s="91" t="s">
        <v>2277</v>
      </c>
      <c r="G108" s="170" t="str">
        <f t="shared" si="2"/>
        <v>QR-301&gt;Memorial Wellness</v>
      </c>
    </row>
    <row r="109">
      <c r="A109" s="91">
        <v>4.0</v>
      </c>
      <c r="B109" s="91" t="s">
        <v>1278</v>
      </c>
      <c r="C109" s="91"/>
      <c r="D109" s="171" t="str">
        <f t="shared" si="1"/>
        <v>Louis Vuitton</v>
      </c>
      <c r="F109" s="91" t="s">
        <v>1603</v>
      </c>
      <c r="G109" s="170" t="str">
        <f t="shared" si="2"/>
        <v>Louis Vuitton&gt;Eataly</v>
      </c>
    </row>
    <row r="110">
      <c r="A110" s="91">
        <v>4.0</v>
      </c>
      <c r="B110" s="91" t="s">
        <v>3848</v>
      </c>
      <c r="C110" s="91" t="s">
        <v>2712</v>
      </c>
      <c r="D110" s="171" t="str">
        <f t="shared" si="1"/>
        <v>QR-104</v>
      </c>
      <c r="F110" s="91" t="s">
        <v>3061</v>
      </c>
      <c r="G110" s="170" t="str">
        <f t="shared" si="2"/>
        <v>QR-104&gt;Masjid</v>
      </c>
    </row>
    <row r="111">
      <c r="A111" s="91">
        <v>4.0</v>
      </c>
      <c r="B111" s="91" t="s">
        <v>3848</v>
      </c>
      <c r="C111" s="91" t="s">
        <v>2712</v>
      </c>
      <c r="D111" s="171" t="str">
        <f t="shared" si="1"/>
        <v>QR-104</v>
      </c>
      <c r="F111" s="91" t="s">
        <v>320</v>
      </c>
      <c r="G111" s="170" t="str">
        <f t="shared" si="2"/>
        <v>QR-104&gt;US Polo Assn.</v>
      </c>
    </row>
    <row r="112">
      <c r="A112" s="91">
        <v>4.0</v>
      </c>
      <c r="B112" s="91" t="s">
        <v>3848</v>
      </c>
      <c r="C112" s="91" t="s">
        <v>2712</v>
      </c>
      <c r="D112" s="171" t="str">
        <f t="shared" si="1"/>
        <v>QR-104</v>
      </c>
      <c r="F112" s="91" t="s">
        <v>250</v>
      </c>
      <c r="G112" s="170" t="str">
        <f t="shared" si="2"/>
        <v>QR-104&gt;Victoria's Secret</v>
      </c>
    </row>
    <row r="113">
      <c r="A113" s="91">
        <v>4.0</v>
      </c>
      <c r="B113" s="91" t="s">
        <v>3848</v>
      </c>
      <c r="C113" s="91" t="s">
        <v>2745</v>
      </c>
      <c r="D113" s="171" t="str">
        <f t="shared" si="1"/>
        <v>QR-203</v>
      </c>
      <c r="F113" s="91" t="s">
        <v>1603</v>
      </c>
      <c r="G113" s="170" t="str">
        <f t="shared" si="2"/>
        <v>QR-203&gt;Eataly</v>
      </c>
    </row>
    <row r="114">
      <c r="A114" s="91">
        <v>4.0</v>
      </c>
      <c r="B114" s="91" t="s">
        <v>474</v>
      </c>
      <c r="C114" s="91"/>
      <c r="D114" s="171" t="str">
        <f t="shared" si="1"/>
        <v>Zara</v>
      </c>
      <c r="F114" s="91" t="s">
        <v>3852</v>
      </c>
      <c r="G114" s="170" t="str">
        <f t="shared" si="2"/>
        <v>Zara&gt;WC</v>
      </c>
    </row>
    <row r="115">
      <c r="A115" s="91">
        <v>4.0</v>
      </c>
      <c r="B115" s="91" t="s">
        <v>1603</v>
      </c>
      <c r="C115" s="91"/>
      <c r="D115" s="171" t="str">
        <f t="shared" si="1"/>
        <v>Eataly</v>
      </c>
      <c r="F115" s="91" t="s">
        <v>569</v>
      </c>
      <c r="G115" s="170" t="str">
        <f t="shared" si="2"/>
        <v>Eataly&gt;Burger King</v>
      </c>
    </row>
    <row r="116">
      <c r="A116" s="91">
        <v>4.0</v>
      </c>
      <c r="B116" s="91" t="s">
        <v>509</v>
      </c>
      <c r="C116" s="91"/>
      <c r="D116" s="171" t="str">
        <f t="shared" si="1"/>
        <v>Intimissimi</v>
      </c>
      <c r="F116" s="91" t="s">
        <v>1059</v>
      </c>
      <c r="G116" s="170" t="str">
        <f t="shared" si="2"/>
        <v>Intimissimi&gt;BigChefs</v>
      </c>
    </row>
    <row r="117">
      <c r="A117" s="91">
        <v>4.0</v>
      </c>
      <c r="B117" s="91" t="s">
        <v>3847</v>
      </c>
      <c r="C117" s="91" t="s">
        <v>2712</v>
      </c>
      <c r="D117" s="171" t="str">
        <f t="shared" si="1"/>
        <v>QR-104</v>
      </c>
      <c r="F117" s="91" t="s">
        <v>777</v>
      </c>
      <c r="G117" s="170" t="str">
        <f t="shared" si="2"/>
        <v>QR-104&gt;COS</v>
      </c>
    </row>
    <row r="118">
      <c r="A118" s="91">
        <v>4.0</v>
      </c>
      <c r="B118" s="91" t="s">
        <v>3847</v>
      </c>
      <c r="C118" s="91" t="s">
        <v>2712</v>
      </c>
      <c r="D118" s="171" t="str">
        <f t="shared" si="1"/>
        <v>QR-104</v>
      </c>
      <c r="F118" s="91" t="s">
        <v>173</v>
      </c>
      <c r="G118" s="170" t="str">
        <f t="shared" si="2"/>
        <v>QR-104&gt;Skechers</v>
      </c>
    </row>
    <row r="119">
      <c r="A119" s="91">
        <v>4.0</v>
      </c>
      <c r="B119" s="91" t="s">
        <v>3847</v>
      </c>
      <c r="C119" s="91" t="s">
        <v>2745</v>
      </c>
      <c r="D119" s="171" t="str">
        <f t="shared" si="1"/>
        <v>QR-203</v>
      </c>
      <c r="F119" s="91" t="s">
        <v>94</v>
      </c>
      <c r="G119" s="170" t="str">
        <f t="shared" si="2"/>
        <v>QR-203&gt;MediaMarkt</v>
      </c>
    </row>
    <row r="120">
      <c r="A120" s="91">
        <v>4.0</v>
      </c>
      <c r="B120" s="91" t="s">
        <v>3847</v>
      </c>
      <c r="C120" s="91" t="s">
        <v>2745</v>
      </c>
      <c r="D120" s="171" t="str">
        <f t="shared" si="1"/>
        <v>QR-203</v>
      </c>
      <c r="F120" s="91" t="s">
        <v>658</v>
      </c>
      <c r="G120" s="170" t="str">
        <f t="shared" si="2"/>
        <v>QR-203&gt;Pandora</v>
      </c>
    </row>
    <row r="121">
      <c r="A121" s="91">
        <v>4.0</v>
      </c>
      <c r="B121" s="91" t="s">
        <v>3847</v>
      </c>
      <c r="C121" s="91" t="s">
        <v>2745</v>
      </c>
      <c r="D121" s="171" t="str">
        <f t="shared" si="1"/>
        <v>QR-203</v>
      </c>
      <c r="F121" s="91" t="s">
        <v>1548</v>
      </c>
      <c r="G121" s="170" t="str">
        <f t="shared" si="2"/>
        <v>QR-203&gt;Toyzz Shop</v>
      </c>
    </row>
    <row r="122">
      <c r="A122" s="91">
        <v>4.0</v>
      </c>
      <c r="B122" s="91" t="s">
        <v>3847</v>
      </c>
      <c r="C122" s="91" t="s">
        <v>2682</v>
      </c>
      <c r="D122" s="171" t="str">
        <f t="shared" si="1"/>
        <v>QR005</v>
      </c>
      <c r="F122" s="91" t="s">
        <v>1668</v>
      </c>
      <c r="G122" s="170" t="str">
        <f t="shared" si="2"/>
        <v>QR005&gt;Zula</v>
      </c>
    </row>
    <row r="123">
      <c r="A123" s="91">
        <v>4.0</v>
      </c>
      <c r="B123" s="91" t="s">
        <v>3848</v>
      </c>
      <c r="C123" s="91" t="s">
        <v>2712</v>
      </c>
      <c r="D123" s="171" t="str">
        <f t="shared" si="1"/>
        <v>QR-104</v>
      </c>
      <c r="F123" s="91" t="s">
        <v>3164</v>
      </c>
      <c r="G123" s="170" t="str">
        <f t="shared" si="2"/>
        <v>QR-104&gt;Info Desk</v>
      </c>
    </row>
    <row r="124">
      <c r="A124" s="91">
        <v>4.0</v>
      </c>
      <c r="B124" s="91" t="s">
        <v>3848</v>
      </c>
      <c r="C124" s="91" t="s">
        <v>2712</v>
      </c>
      <c r="D124" s="171" t="str">
        <f t="shared" si="1"/>
        <v>QR-104</v>
      </c>
      <c r="F124" s="91" t="s">
        <v>2914</v>
      </c>
      <c r="G124" s="170" t="str">
        <f t="shared" si="2"/>
        <v>QR-104&gt;Zor Exchange</v>
      </c>
    </row>
    <row r="125">
      <c r="A125" s="91">
        <v>4.0</v>
      </c>
      <c r="B125" s="91" t="s">
        <v>3848</v>
      </c>
      <c r="C125" s="91" t="s">
        <v>2745</v>
      </c>
      <c r="D125" s="171" t="str">
        <f t="shared" si="1"/>
        <v>QR-203</v>
      </c>
      <c r="F125" s="91" t="s">
        <v>399</v>
      </c>
      <c r="G125" s="170" t="str">
        <f t="shared" si="2"/>
        <v>QR-203&gt;Apple</v>
      </c>
    </row>
    <row r="126">
      <c r="A126" s="91">
        <v>4.0</v>
      </c>
      <c r="B126" s="91" t="s">
        <v>3848</v>
      </c>
      <c r="C126" s="91" t="s">
        <v>2745</v>
      </c>
      <c r="D126" s="171" t="str">
        <f t="shared" si="1"/>
        <v>QR-203</v>
      </c>
      <c r="F126" s="91" t="s">
        <v>1059</v>
      </c>
      <c r="G126" s="170" t="str">
        <f t="shared" si="2"/>
        <v>QR-203&gt;BigChefs</v>
      </c>
    </row>
    <row r="127">
      <c r="A127" s="91">
        <v>4.0</v>
      </c>
      <c r="B127" s="91" t="s">
        <v>474</v>
      </c>
      <c r="C127" s="91"/>
      <c r="D127" s="171" t="str">
        <f t="shared" si="1"/>
        <v>Zara</v>
      </c>
      <c r="F127" s="91" t="s">
        <v>1380</v>
      </c>
      <c r="G127" s="170" t="str">
        <f t="shared" si="2"/>
        <v>Zara&gt;Nespresso</v>
      </c>
    </row>
    <row r="128">
      <c r="A128" s="91">
        <v>4.0</v>
      </c>
      <c r="B128" s="91" t="s">
        <v>3847</v>
      </c>
      <c r="C128" s="91" t="s">
        <v>2712</v>
      </c>
      <c r="D128" s="171" t="str">
        <f t="shared" si="1"/>
        <v>QR-104</v>
      </c>
      <c r="F128" s="91" t="s">
        <v>3853</v>
      </c>
      <c r="G128" s="170" t="str">
        <f t="shared" si="2"/>
        <v>QR-104&gt;Metro&lt;br&gt;Metrobüs</v>
      </c>
    </row>
    <row r="129">
      <c r="A129" s="91">
        <v>4.0</v>
      </c>
      <c r="B129" s="91" t="s">
        <v>3847</v>
      </c>
      <c r="C129" s="91" t="s">
        <v>2685</v>
      </c>
      <c r="D129" s="171" t="str">
        <f t="shared" si="1"/>
        <v>QR006</v>
      </c>
      <c r="F129" s="91" t="s">
        <v>543</v>
      </c>
      <c r="G129" s="170" t="str">
        <f t="shared" si="2"/>
        <v>QR006&gt;Divarese</v>
      </c>
    </row>
    <row r="130">
      <c r="A130" s="91">
        <v>4.0</v>
      </c>
      <c r="B130" s="91" t="s">
        <v>1548</v>
      </c>
      <c r="C130" s="91"/>
      <c r="D130" s="171" t="str">
        <f t="shared" si="1"/>
        <v>Toyzz Shop</v>
      </c>
      <c r="F130" s="91" t="s">
        <v>1626</v>
      </c>
      <c r="G130" s="170" t="str">
        <f t="shared" si="2"/>
        <v>Toyzz Shop&gt;Funloft</v>
      </c>
    </row>
    <row r="131">
      <c r="A131" s="91">
        <v>4.0</v>
      </c>
      <c r="B131" s="91" t="s">
        <v>3848</v>
      </c>
      <c r="C131" s="91" t="s">
        <v>2677</v>
      </c>
      <c r="D131" s="171" t="str">
        <f t="shared" si="1"/>
        <v>QR003</v>
      </c>
      <c r="F131" s="91" t="s">
        <v>3854</v>
      </c>
      <c r="G131" s="170" t="str">
        <f t="shared" si="2"/>
        <v>QR003&gt;Pharmacy</v>
      </c>
    </row>
    <row r="132">
      <c r="A132" s="91">
        <v>4.0</v>
      </c>
      <c r="B132" s="91" t="s">
        <v>3848</v>
      </c>
      <c r="C132" s="91" t="s">
        <v>2685</v>
      </c>
      <c r="D132" s="171" t="str">
        <f t="shared" si="1"/>
        <v>QR006</v>
      </c>
      <c r="F132" s="91" t="s">
        <v>399</v>
      </c>
      <c r="G132" s="170" t="str">
        <f t="shared" si="2"/>
        <v>QR006&gt;Apple</v>
      </c>
    </row>
    <row r="133">
      <c r="A133" s="91">
        <v>4.0</v>
      </c>
      <c r="B133" s="91" t="s">
        <v>3848</v>
      </c>
      <c r="C133" s="91" t="s">
        <v>2685</v>
      </c>
      <c r="D133" s="171" t="str">
        <f t="shared" si="1"/>
        <v>QR006</v>
      </c>
      <c r="F133" s="91" t="s">
        <v>1668</v>
      </c>
      <c r="G133" s="170" t="str">
        <f t="shared" si="2"/>
        <v>QR006&gt;Zula</v>
      </c>
    </row>
    <row r="134">
      <c r="A134" s="91">
        <v>4.0</v>
      </c>
      <c r="B134" s="91" t="s">
        <v>777</v>
      </c>
      <c r="C134" s="91"/>
      <c r="D134" s="171" t="str">
        <f t="shared" si="1"/>
        <v>COS</v>
      </c>
      <c r="F134" s="91" t="s">
        <v>2870</v>
      </c>
      <c r="G134" s="170" t="str">
        <f t="shared" si="2"/>
        <v>COS&gt;Mescit</v>
      </c>
    </row>
    <row r="135">
      <c r="A135" s="91">
        <v>4.0</v>
      </c>
      <c r="B135" s="91" t="s">
        <v>3847</v>
      </c>
      <c r="C135" s="91" t="s">
        <v>2712</v>
      </c>
      <c r="D135" s="171" t="str">
        <f t="shared" si="1"/>
        <v>QR-104</v>
      </c>
      <c r="F135" s="91" t="s">
        <v>1361</v>
      </c>
      <c r="G135" s="170" t="str">
        <f t="shared" si="2"/>
        <v>QR-104&gt;Raffles Spa</v>
      </c>
    </row>
    <row r="136">
      <c r="A136" s="91">
        <v>4.0</v>
      </c>
      <c r="B136" s="91" t="s">
        <v>3847</v>
      </c>
      <c r="C136" s="91" t="s">
        <v>2712</v>
      </c>
      <c r="D136" s="171" t="str">
        <f t="shared" si="1"/>
        <v>QR-104</v>
      </c>
      <c r="F136" s="91" t="s">
        <v>337</v>
      </c>
      <c r="G136" s="170" t="str">
        <f t="shared" si="2"/>
        <v>QR-104&gt;Saat &amp; Saat</v>
      </c>
    </row>
    <row r="137">
      <c r="A137" s="91">
        <v>4.0</v>
      </c>
      <c r="B137" s="91" t="s">
        <v>3847</v>
      </c>
      <c r="C137" s="91" t="s">
        <v>2736</v>
      </c>
      <c r="D137" s="171" t="str">
        <f t="shared" si="1"/>
        <v>QR-112</v>
      </c>
      <c r="F137" s="91" t="s">
        <v>3305</v>
      </c>
      <c r="G137" s="170" t="str">
        <f t="shared" si="2"/>
        <v>QR-112&gt;Eczane</v>
      </c>
    </row>
    <row r="138">
      <c r="A138" s="91">
        <v>4.0</v>
      </c>
      <c r="B138" s="91" t="s">
        <v>3847</v>
      </c>
      <c r="C138" s="91" t="s">
        <v>2736</v>
      </c>
      <c r="D138" s="171" t="str">
        <f t="shared" si="1"/>
        <v>QR-112</v>
      </c>
      <c r="F138" s="91" t="s">
        <v>240</v>
      </c>
      <c r="G138" s="170" t="str">
        <f t="shared" si="2"/>
        <v>QR-112&gt;Nike by Levazım</v>
      </c>
    </row>
    <row r="139">
      <c r="A139" s="91">
        <v>4.0</v>
      </c>
      <c r="B139" s="91" t="s">
        <v>3848</v>
      </c>
      <c r="C139" s="91" t="s">
        <v>2760</v>
      </c>
      <c r="D139" s="171" t="str">
        <f t="shared" si="1"/>
        <v>QR-302</v>
      </c>
      <c r="F139" s="91" t="s">
        <v>1530</v>
      </c>
      <c r="G139" s="170" t="str">
        <f t="shared" si="2"/>
        <v>QR-302&gt;Linens</v>
      </c>
    </row>
    <row r="140">
      <c r="A140" s="91">
        <v>3.0</v>
      </c>
      <c r="B140" s="91" t="s">
        <v>3850</v>
      </c>
      <c r="C140" s="91"/>
      <c r="D140" s="171" t="str">
        <f t="shared" si="1"/>
        <v>Beymen(Tommy Hilfiger yanı)</v>
      </c>
      <c r="F140" s="91" t="s">
        <v>1603</v>
      </c>
      <c r="G140" s="170" t="str">
        <f t="shared" si="2"/>
        <v>Beymen(Tommy Hilfiger yanı)&gt;Eataly</v>
      </c>
    </row>
    <row r="141">
      <c r="A141" s="91">
        <v>3.0</v>
      </c>
      <c r="B141" s="91" t="s">
        <v>777</v>
      </c>
      <c r="C141" s="91"/>
      <c r="D141" s="171" t="str">
        <f t="shared" si="1"/>
        <v>COS</v>
      </c>
      <c r="F141" s="91" t="s">
        <v>1603</v>
      </c>
      <c r="G141" s="170" t="str">
        <f t="shared" si="2"/>
        <v>COS&gt;Eataly</v>
      </c>
    </row>
    <row r="142">
      <c r="A142" s="91">
        <v>3.0</v>
      </c>
      <c r="B142" s="91" t="s">
        <v>740</v>
      </c>
      <c r="C142" s="91"/>
      <c r="D142" s="171" t="str">
        <f t="shared" si="1"/>
        <v>Diesel</v>
      </c>
      <c r="F142" s="91" t="s">
        <v>485</v>
      </c>
      <c r="G142" s="170" t="str">
        <f t="shared" si="2"/>
        <v>Diesel&gt;Watsons</v>
      </c>
    </row>
    <row r="143">
      <c r="A143" s="91">
        <v>3.0</v>
      </c>
      <c r="B143" s="91" t="s">
        <v>509</v>
      </c>
      <c r="C143" s="91"/>
      <c r="D143" s="171" t="str">
        <f t="shared" si="1"/>
        <v>Intimissimi</v>
      </c>
      <c r="F143" s="91" t="s">
        <v>1579</v>
      </c>
      <c r="G143" s="170" t="str">
        <f t="shared" si="2"/>
        <v>Intimissimi&gt;D&amp;R</v>
      </c>
    </row>
    <row r="144">
      <c r="A144" s="91">
        <v>3.0</v>
      </c>
      <c r="B144" s="91" t="s">
        <v>3847</v>
      </c>
      <c r="C144" s="91" t="s">
        <v>2712</v>
      </c>
      <c r="D144" s="171" t="str">
        <f t="shared" si="1"/>
        <v>QR-104</v>
      </c>
      <c r="F144" s="91" t="s">
        <v>399</v>
      </c>
      <c r="G144" s="170" t="str">
        <f t="shared" si="2"/>
        <v>QR-104&gt;Apple</v>
      </c>
    </row>
    <row r="145">
      <c r="A145" s="91">
        <v>3.0</v>
      </c>
      <c r="B145" s="91" t="s">
        <v>3847</v>
      </c>
      <c r="C145" s="91" t="s">
        <v>2712</v>
      </c>
      <c r="D145" s="171" t="str">
        <f t="shared" si="1"/>
        <v>QR-104</v>
      </c>
      <c r="F145" s="91" t="s">
        <v>1106</v>
      </c>
      <c r="G145" s="170" t="str">
        <f t="shared" si="2"/>
        <v>QR-104&gt;Cantinery</v>
      </c>
    </row>
    <row r="146">
      <c r="A146" s="91">
        <v>3.0</v>
      </c>
      <c r="B146" s="91" t="s">
        <v>3847</v>
      </c>
      <c r="C146" s="91" t="s">
        <v>2712</v>
      </c>
      <c r="D146" s="171" t="str">
        <f t="shared" si="1"/>
        <v>QR-104</v>
      </c>
      <c r="F146" s="91" t="s">
        <v>326</v>
      </c>
      <c r="G146" s="170" t="str">
        <f t="shared" si="2"/>
        <v>QR-104&gt;Massimo Dutti</v>
      </c>
    </row>
    <row r="147">
      <c r="A147" s="91">
        <v>3.0</v>
      </c>
      <c r="B147" s="91" t="s">
        <v>3847</v>
      </c>
      <c r="C147" s="91" t="s">
        <v>2712</v>
      </c>
      <c r="D147" s="171" t="str">
        <f t="shared" si="1"/>
        <v>QR-104</v>
      </c>
      <c r="F147" s="91" t="s">
        <v>216</v>
      </c>
      <c r="G147" s="170" t="str">
        <f t="shared" si="2"/>
        <v>QR-104&gt;Mavi</v>
      </c>
    </row>
    <row r="148">
      <c r="A148" s="91">
        <v>3.0</v>
      </c>
      <c r="B148" s="91" t="s">
        <v>3847</v>
      </c>
      <c r="C148" s="91" t="s">
        <v>2712</v>
      </c>
      <c r="D148" s="171" t="str">
        <f t="shared" si="1"/>
        <v>QR-104</v>
      </c>
      <c r="F148" s="91" t="s">
        <v>240</v>
      </c>
      <c r="G148" s="170" t="str">
        <f t="shared" si="2"/>
        <v>QR-104&gt;Nike by Levazım</v>
      </c>
    </row>
    <row r="149">
      <c r="A149" s="91">
        <v>3.0</v>
      </c>
      <c r="B149" s="91" t="s">
        <v>3847</v>
      </c>
      <c r="C149" s="91" t="s">
        <v>2712</v>
      </c>
      <c r="D149" s="171" t="str">
        <f t="shared" si="1"/>
        <v>QR-104</v>
      </c>
      <c r="F149" s="91" t="s">
        <v>343</v>
      </c>
      <c r="G149" s="170" t="str">
        <f t="shared" si="2"/>
        <v>QR-104&gt;Sneaks Up</v>
      </c>
    </row>
    <row r="150">
      <c r="A150" s="91">
        <v>3.0</v>
      </c>
      <c r="B150" s="91" t="s">
        <v>3847</v>
      </c>
      <c r="C150" s="91" t="s">
        <v>2745</v>
      </c>
      <c r="D150" s="171" t="str">
        <f t="shared" si="1"/>
        <v>QR-203</v>
      </c>
      <c r="F150" s="91" t="s">
        <v>267</v>
      </c>
      <c r="G150" s="170" t="str">
        <f t="shared" si="2"/>
        <v>QR-203&gt;H&amp;M</v>
      </c>
    </row>
    <row r="151">
      <c r="A151" s="91">
        <v>3.0</v>
      </c>
      <c r="B151" s="91" t="s">
        <v>3847</v>
      </c>
      <c r="C151" s="91" t="s">
        <v>2745</v>
      </c>
      <c r="D151" s="171" t="str">
        <f t="shared" si="1"/>
        <v>QR-203</v>
      </c>
      <c r="F151" s="91" t="s">
        <v>485</v>
      </c>
      <c r="G151" s="170" t="str">
        <f t="shared" si="2"/>
        <v>QR-203&gt;Watsons</v>
      </c>
    </row>
    <row r="152">
      <c r="A152" s="91">
        <v>3.0</v>
      </c>
      <c r="B152" s="91" t="s">
        <v>3847</v>
      </c>
      <c r="C152" s="91" t="s">
        <v>2757</v>
      </c>
      <c r="D152" s="171" t="str">
        <f t="shared" si="1"/>
        <v>QR-301</v>
      </c>
      <c r="F152" s="91" t="s">
        <v>1059</v>
      </c>
      <c r="G152" s="170" t="str">
        <f t="shared" si="2"/>
        <v>QR-301&gt;BigChefs</v>
      </c>
    </row>
    <row r="153">
      <c r="A153" s="91">
        <v>3.0</v>
      </c>
      <c r="B153" s="91" t="s">
        <v>3847</v>
      </c>
      <c r="C153" s="91" t="s">
        <v>2760</v>
      </c>
      <c r="D153" s="171" t="str">
        <f t="shared" si="1"/>
        <v>QR-302</v>
      </c>
      <c r="F153" s="91" t="s">
        <v>1603</v>
      </c>
      <c r="G153" s="170" t="str">
        <f t="shared" si="2"/>
        <v>QR-302&gt;Eataly</v>
      </c>
    </row>
    <row r="154">
      <c r="A154" s="91">
        <v>3.0</v>
      </c>
      <c r="B154" s="91" t="s">
        <v>658</v>
      </c>
      <c r="C154" s="91"/>
      <c r="D154" s="171" t="str">
        <f t="shared" si="1"/>
        <v>Pandora</v>
      </c>
      <c r="F154" s="91" t="s">
        <v>1603</v>
      </c>
      <c r="G154" s="170" t="str">
        <f t="shared" si="2"/>
        <v>Pandora&gt;Eataly</v>
      </c>
    </row>
    <row r="155">
      <c r="A155" s="91">
        <v>3.0</v>
      </c>
      <c r="B155" s="91" t="s">
        <v>722</v>
      </c>
      <c r="C155" s="91"/>
      <c r="D155" s="171" t="str">
        <f t="shared" si="1"/>
        <v>Ramsey</v>
      </c>
      <c r="F155" s="91" t="s">
        <v>1603</v>
      </c>
      <c r="G155" s="170" t="str">
        <f t="shared" si="2"/>
        <v>Ramsey&gt;Eataly</v>
      </c>
    </row>
    <row r="156">
      <c r="A156" s="91">
        <v>3.0</v>
      </c>
      <c r="B156" s="91" t="s">
        <v>806</v>
      </c>
      <c r="C156" s="91"/>
      <c r="D156" s="171" t="str">
        <f t="shared" si="1"/>
        <v>Remzi Kitabevi</v>
      </c>
      <c r="F156" s="91" t="s">
        <v>1579</v>
      </c>
      <c r="G156" s="170" t="str">
        <f t="shared" si="2"/>
        <v>Remzi Kitabevi&gt;D&amp;R</v>
      </c>
    </row>
    <row r="157">
      <c r="A157" s="91">
        <v>3.0</v>
      </c>
      <c r="B157" s="91" t="s">
        <v>181</v>
      </c>
      <c r="C157" s="91"/>
      <c r="D157" s="171" t="str">
        <f t="shared" si="1"/>
        <v>Starbucks</v>
      </c>
      <c r="F157" s="91" t="s">
        <v>1603</v>
      </c>
      <c r="G157" s="170" t="str">
        <f t="shared" si="2"/>
        <v>Starbucks&gt;Eataly</v>
      </c>
    </row>
    <row r="158">
      <c r="A158" s="91">
        <v>3.0</v>
      </c>
      <c r="B158" s="91" t="s">
        <v>181</v>
      </c>
      <c r="C158" s="91"/>
      <c r="D158" s="171" t="str">
        <f t="shared" si="1"/>
        <v>Starbucks</v>
      </c>
      <c r="F158" s="91" t="s">
        <v>474</v>
      </c>
      <c r="G158" s="170" t="str">
        <f t="shared" si="2"/>
        <v>Starbucks&gt;Zara</v>
      </c>
    </row>
    <row r="159">
      <c r="A159" s="91">
        <v>3.0</v>
      </c>
      <c r="B159" s="91" t="s">
        <v>3848</v>
      </c>
      <c r="C159" s="91" t="s">
        <v>2712</v>
      </c>
      <c r="D159" s="171" t="str">
        <f t="shared" si="1"/>
        <v>QR-104</v>
      </c>
      <c r="F159" s="91" t="s">
        <v>205</v>
      </c>
      <c r="G159" s="170" t="str">
        <f t="shared" si="2"/>
        <v>QR-104&gt;Adidas</v>
      </c>
    </row>
    <row r="160">
      <c r="A160" s="91">
        <v>3.0</v>
      </c>
      <c r="B160" s="91" t="s">
        <v>3848</v>
      </c>
      <c r="C160" s="91" t="s">
        <v>2712</v>
      </c>
      <c r="D160" s="171" t="str">
        <f t="shared" si="1"/>
        <v>QR-104</v>
      </c>
      <c r="F160" s="91" t="s">
        <v>699</v>
      </c>
      <c r="G160" s="170" t="str">
        <f t="shared" si="2"/>
        <v>QR-104&gt;Cup of Joy</v>
      </c>
    </row>
    <row r="161">
      <c r="A161" s="91">
        <v>3.0</v>
      </c>
      <c r="B161" s="91" t="s">
        <v>3848</v>
      </c>
      <c r="C161" s="91" t="s">
        <v>2712</v>
      </c>
      <c r="D161" s="171" t="str">
        <f t="shared" si="1"/>
        <v>QR-104</v>
      </c>
      <c r="F161" s="91" t="s">
        <v>326</v>
      </c>
      <c r="G161" s="170" t="str">
        <f t="shared" si="2"/>
        <v>QR-104&gt;Massimo Dutti</v>
      </c>
    </row>
    <row r="162">
      <c r="A162" s="91">
        <v>3.0</v>
      </c>
      <c r="B162" s="91" t="s">
        <v>3848</v>
      </c>
      <c r="C162" s="91" t="s">
        <v>2712</v>
      </c>
      <c r="D162" s="171" t="str">
        <f t="shared" si="1"/>
        <v>QR-104</v>
      </c>
      <c r="F162" s="91" t="s">
        <v>64</v>
      </c>
      <c r="G162" s="170" t="str">
        <f t="shared" si="2"/>
        <v>QR-104&gt;Rossmann</v>
      </c>
    </row>
    <row r="163">
      <c r="A163" s="91">
        <v>3.0</v>
      </c>
      <c r="B163" s="91" t="s">
        <v>3848</v>
      </c>
      <c r="C163" s="91" t="s">
        <v>2712</v>
      </c>
      <c r="D163" s="171" t="str">
        <f t="shared" si="1"/>
        <v>QR-104</v>
      </c>
      <c r="F163" s="91" t="s">
        <v>2325</v>
      </c>
      <c r="G163" s="170" t="str">
        <f t="shared" si="2"/>
        <v>QR-104&gt;Superstep</v>
      </c>
    </row>
    <row r="164">
      <c r="A164" s="91">
        <v>3.0</v>
      </c>
      <c r="B164" s="91" t="s">
        <v>3848</v>
      </c>
      <c r="C164" s="91" t="s">
        <v>2712</v>
      </c>
      <c r="D164" s="171" t="str">
        <f t="shared" si="1"/>
        <v>QR-104</v>
      </c>
      <c r="F164" s="91" t="s">
        <v>1076</v>
      </c>
      <c r="G164" s="170" t="str">
        <f t="shared" si="2"/>
        <v>QR-104&gt;SushiCo</v>
      </c>
    </row>
    <row r="165">
      <c r="A165" s="91">
        <v>3.0</v>
      </c>
      <c r="B165" s="91" t="s">
        <v>3848</v>
      </c>
      <c r="C165" s="91" t="s">
        <v>2736</v>
      </c>
      <c r="D165" s="171" t="str">
        <f t="shared" si="1"/>
        <v>QR-112</v>
      </c>
      <c r="F165" s="91" t="s">
        <v>205</v>
      </c>
      <c r="G165" s="170" t="str">
        <f t="shared" si="2"/>
        <v>QR-112&gt;Adidas</v>
      </c>
    </row>
    <row r="166">
      <c r="A166" s="91">
        <v>3.0</v>
      </c>
      <c r="B166" s="91" t="s">
        <v>3848</v>
      </c>
      <c r="C166" s="91" t="s">
        <v>2736</v>
      </c>
      <c r="D166" s="171" t="str">
        <f t="shared" si="1"/>
        <v>QR-112</v>
      </c>
      <c r="F166" s="91" t="s">
        <v>1278</v>
      </c>
      <c r="G166" s="170" t="str">
        <f t="shared" si="2"/>
        <v>QR-112&gt;Louis Vuitton</v>
      </c>
    </row>
    <row r="167">
      <c r="A167" s="91">
        <v>3.0</v>
      </c>
      <c r="B167" s="91" t="s">
        <v>3848</v>
      </c>
      <c r="C167" s="91" t="s">
        <v>2745</v>
      </c>
      <c r="D167" s="171" t="str">
        <f t="shared" si="1"/>
        <v>QR-203</v>
      </c>
      <c r="F167" s="91" t="s">
        <v>682</v>
      </c>
      <c r="G167" s="170" t="str">
        <f t="shared" si="2"/>
        <v>QR-203&gt;Beymen</v>
      </c>
    </row>
    <row r="168">
      <c r="A168" s="91">
        <v>3.0</v>
      </c>
      <c r="B168" s="91" t="s">
        <v>3848</v>
      </c>
      <c r="C168" s="91" t="s">
        <v>2745</v>
      </c>
      <c r="D168" s="171" t="str">
        <f t="shared" si="1"/>
        <v>QR-203</v>
      </c>
      <c r="F168" s="91" t="s">
        <v>485</v>
      </c>
      <c r="G168" s="170" t="str">
        <f t="shared" si="2"/>
        <v>QR-203&gt;Watsons</v>
      </c>
    </row>
    <row r="169">
      <c r="A169" s="91">
        <v>3.0</v>
      </c>
      <c r="B169" s="91" t="s">
        <v>3848</v>
      </c>
      <c r="C169" s="91" t="s">
        <v>2685</v>
      </c>
      <c r="D169" s="171" t="str">
        <f t="shared" si="1"/>
        <v>QR006</v>
      </c>
      <c r="F169" s="91" t="s">
        <v>326</v>
      </c>
      <c r="G169" s="170" t="str">
        <f t="shared" si="2"/>
        <v>QR006&gt;Massimo Dutti</v>
      </c>
    </row>
    <row r="170">
      <c r="A170" s="91">
        <v>3.0</v>
      </c>
      <c r="B170" s="91" t="s">
        <v>474</v>
      </c>
      <c r="C170" s="91"/>
      <c r="D170" s="171" t="str">
        <f t="shared" si="1"/>
        <v>Zara</v>
      </c>
      <c r="F170" s="91" t="s">
        <v>1603</v>
      </c>
      <c r="G170" s="170" t="str">
        <f t="shared" si="2"/>
        <v>Zara&gt;Eataly</v>
      </c>
    </row>
    <row r="171">
      <c r="A171" s="91">
        <v>3.0</v>
      </c>
      <c r="B171" s="91" t="s">
        <v>474</v>
      </c>
      <c r="C171" s="91"/>
      <c r="D171" s="171" t="str">
        <f t="shared" si="1"/>
        <v>Zara</v>
      </c>
      <c r="F171" s="91" t="s">
        <v>216</v>
      </c>
      <c r="G171" s="170" t="str">
        <f t="shared" si="2"/>
        <v>Zara&gt;Mavi</v>
      </c>
    </row>
    <row r="172">
      <c r="A172" s="91">
        <v>3.0</v>
      </c>
      <c r="B172" s="91" t="s">
        <v>1325</v>
      </c>
      <c r="C172" s="91"/>
      <c r="D172" s="171" t="str">
        <f t="shared" si="1"/>
        <v>Balmain</v>
      </c>
      <c r="F172" s="91" t="s">
        <v>1626</v>
      </c>
      <c r="G172" s="170" t="str">
        <f t="shared" si="2"/>
        <v>Balmain&gt;Funloft</v>
      </c>
    </row>
    <row r="173">
      <c r="A173" s="91">
        <v>3.0</v>
      </c>
      <c r="B173" s="91" t="s">
        <v>3850</v>
      </c>
      <c r="C173" s="91"/>
      <c r="D173" s="171" t="str">
        <f t="shared" si="1"/>
        <v>Beymen(Tommy Hilfiger yanı)</v>
      </c>
      <c r="F173" s="91" t="s">
        <v>474</v>
      </c>
      <c r="G173" s="170" t="str">
        <f t="shared" si="2"/>
        <v>Beymen(Tommy Hilfiger yanı)&gt;Zara</v>
      </c>
    </row>
    <row r="174">
      <c r="A174" s="91">
        <v>3.0</v>
      </c>
      <c r="B174" s="91" t="s">
        <v>521</v>
      </c>
      <c r="C174" s="91"/>
      <c r="D174" s="171" t="str">
        <f t="shared" si="1"/>
        <v>Calzedonia</v>
      </c>
      <c r="F174" s="91" t="s">
        <v>1603</v>
      </c>
      <c r="G174" s="170" t="str">
        <f t="shared" si="2"/>
        <v>Calzedonia&gt;Eataly</v>
      </c>
    </row>
    <row r="175">
      <c r="A175" s="91">
        <v>3.0</v>
      </c>
      <c r="B175" s="91" t="s">
        <v>509</v>
      </c>
      <c r="C175" s="91"/>
      <c r="D175" s="171" t="str">
        <f t="shared" si="1"/>
        <v>Intimissimi</v>
      </c>
      <c r="F175" s="91" t="s">
        <v>1165</v>
      </c>
      <c r="G175" s="170" t="str">
        <f t="shared" si="2"/>
        <v>Intimissimi&gt;Tiffany &amp; Co.</v>
      </c>
    </row>
    <row r="176">
      <c r="A176" s="91">
        <v>3.0</v>
      </c>
      <c r="B176" s="91" t="s">
        <v>3847</v>
      </c>
      <c r="C176" s="91" t="s">
        <v>2712</v>
      </c>
      <c r="D176" s="171" t="str">
        <f t="shared" si="1"/>
        <v>QR-104</v>
      </c>
      <c r="F176" s="91" t="s">
        <v>205</v>
      </c>
      <c r="G176" s="170" t="str">
        <f t="shared" si="2"/>
        <v>QR-104&gt;Adidas</v>
      </c>
    </row>
    <row r="177">
      <c r="A177" s="91">
        <v>3.0</v>
      </c>
      <c r="B177" s="91" t="s">
        <v>3847</v>
      </c>
      <c r="C177" s="91" t="s">
        <v>2712</v>
      </c>
      <c r="D177" s="171" t="str">
        <f t="shared" si="1"/>
        <v>QR-104</v>
      </c>
      <c r="F177" s="91" t="s">
        <v>1708</v>
      </c>
      <c r="G177" s="170" t="str">
        <f t="shared" si="2"/>
        <v>QR-104&gt;Chakra</v>
      </c>
    </row>
    <row r="178">
      <c r="A178" s="91">
        <v>3.0</v>
      </c>
      <c r="B178" s="91" t="s">
        <v>3847</v>
      </c>
      <c r="C178" s="91" t="s">
        <v>2712</v>
      </c>
      <c r="D178" s="171" t="str">
        <f t="shared" si="1"/>
        <v>QR-104</v>
      </c>
      <c r="F178" s="91" t="s">
        <v>356</v>
      </c>
      <c r="G178" s="170" t="str">
        <f t="shared" si="2"/>
        <v>QR-104&gt;Columbia</v>
      </c>
    </row>
    <row r="179">
      <c r="A179" s="91">
        <v>3.0</v>
      </c>
      <c r="B179" s="91" t="s">
        <v>3847</v>
      </c>
      <c r="C179" s="91" t="s">
        <v>2712</v>
      </c>
      <c r="D179" s="171" t="str">
        <f t="shared" si="1"/>
        <v>QR-104</v>
      </c>
      <c r="F179" s="91" t="s">
        <v>424</v>
      </c>
      <c r="G179" s="170" t="str">
        <f t="shared" si="2"/>
        <v>QR-104&gt;Pembecida</v>
      </c>
    </row>
    <row r="180">
      <c r="A180" s="91">
        <v>3.0</v>
      </c>
      <c r="B180" s="91" t="s">
        <v>3847</v>
      </c>
      <c r="C180" s="91" t="s">
        <v>2736</v>
      </c>
      <c r="D180" s="171" t="str">
        <f t="shared" si="1"/>
        <v>QR-112</v>
      </c>
      <c r="F180" s="91" t="s">
        <v>1009</v>
      </c>
      <c r="G180" s="170" t="str">
        <f t="shared" si="2"/>
        <v>QR-112&gt;Welldone</v>
      </c>
    </row>
    <row r="181">
      <c r="A181" s="91">
        <v>3.0</v>
      </c>
      <c r="B181" s="91" t="s">
        <v>3847</v>
      </c>
      <c r="C181" s="91" t="s">
        <v>2745</v>
      </c>
      <c r="D181" s="171" t="str">
        <f t="shared" si="1"/>
        <v>QR-203</v>
      </c>
      <c r="F181" s="91" t="s">
        <v>1352</v>
      </c>
      <c r="G181" s="170" t="str">
        <f t="shared" si="2"/>
        <v>QR-203&gt;Isokyo</v>
      </c>
    </row>
    <row r="182">
      <c r="A182" s="91">
        <v>3.0</v>
      </c>
      <c r="B182" s="91" t="s">
        <v>3847</v>
      </c>
      <c r="C182" s="91" t="s">
        <v>2745</v>
      </c>
      <c r="D182" s="171" t="str">
        <f t="shared" si="1"/>
        <v>QR-203</v>
      </c>
      <c r="F182" s="91" t="s">
        <v>1076</v>
      </c>
      <c r="G182" s="170" t="str">
        <f t="shared" si="2"/>
        <v>QR-203&gt;SushiCo</v>
      </c>
    </row>
    <row r="183">
      <c r="A183" s="91">
        <v>3.0</v>
      </c>
      <c r="B183" s="91" t="s">
        <v>3847</v>
      </c>
      <c r="C183" s="91" t="s">
        <v>2745</v>
      </c>
      <c r="D183" s="171" t="str">
        <f t="shared" si="1"/>
        <v>QR-203</v>
      </c>
      <c r="F183" s="91" t="s">
        <v>676</v>
      </c>
      <c r="G183" s="170" t="str">
        <f t="shared" si="2"/>
        <v>QR-203&gt;Tommy Hilfiger</v>
      </c>
    </row>
    <row r="184">
      <c r="A184" s="91">
        <v>3.0</v>
      </c>
      <c r="B184" s="91" t="s">
        <v>3847</v>
      </c>
      <c r="C184" s="91" t="s">
        <v>2757</v>
      </c>
      <c r="D184" s="171" t="str">
        <f t="shared" si="1"/>
        <v>QR-301</v>
      </c>
      <c r="F184" s="91" t="s">
        <v>326</v>
      </c>
      <c r="G184" s="170" t="str">
        <f t="shared" si="2"/>
        <v>QR-301&gt;Massimo Dutti</v>
      </c>
    </row>
    <row r="185">
      <c r="A185" s="91">
        <v>3.0</v>
      </c>
      <c r="B185" s="91" t="s">
        <v>3847</v>
      </c>
      <c r="C185" s="91" t="s">
        <v>2677</v>
      </c>
      <c r="D185" s="171" t="str">
        <f t="shared" si="1"/>
        <v>QR003</v>
      </c>
      <c r="F185" s="91" t="s">
        <v>418</v>
      </c>
      <c r="G185" s="170" t="str">
        <f t="shared" si="2"/>
        <v>QR003&gt;Dyson</v>
      </c>
    </row>
    <row r="186">
      <c r="A186" s="91">
        <v>3.0</v>
      </c>
      <c r="B186" s="91" t="s">
        <v>3847</v>
      </c>
      <c r="C186" s="91" t="s">
        <v>2677</v>
      </c>
      <c r="D186" s="171" t="str">
        <f t="shared" si="1"/>
        <v>QR003</v>
      </c>
      <c r="F186" s="91" t="s">
        <v>143</v>
      </c>
      <c r="G186" s="170" t="str">
        <f t="shared" si="2"/>
        <v>QR003&gt;Paribu Cineverse</v>
      </c>
    </row>
    <row r="187">
      <c r="A187" s="91">
        <v>3.0</v>
      </c>
      <c r="B187" s="91" t="s">
        <v>3061</v>
      </c>
      <c r="C187" s="91"/>
      <c r="D187" s="171" t="str">
        <f t="shared" si="1"/>
        <v>Masjid</v>
      </c>
      <c r="F187" s="91" t="s">
        <v>3061</v>
      </c>
      <c r="G187" s="170" t="str">
        <f t="shared" si="2"/>
        <v>Masjid&gt;Masjid</v>
      </c>
    </row>
    <row r="188">
      <c r="A188" s="91">
        <v>3.0</v>
      </c>
      <c r="B188" s="91" t="s">
        <v>216</v>
      </c>
      <c r="C188" s="91"/>
      <c r="D188" s="171" t="str">
        <f t="shared" si="1"/>
        <v>Mavi</v>
      </c>
      <c r="F188" s="91" t="s">
        <v>173</v>
      </c>
      <c r="G188" s="170" t="str">
        <f t="shared" si="2"/>
        <v>Mavi&gt;Skechers</v>
      </c>
    </row>
    <row r="189">
      <c r="A189" s="91">
        <v>3.0</v>
      </c>
      <c r="B189" s="91" t="s">
        <v>1047</v>
      </c>
      <c r="C189" s="91"/>
      <c r="D189" s="171" t="str">
        <f t="shared" si="1"/>
        <v>Rolex</v>
      </c>
      <c r="F189" s="91" t="s">
        <v>1603</v>
      </c>
      <c r="G189" s="170" t="str">
        <f t="shared" si="2"/>
        <v>Rolex&gt;Eataly</v>
      </c>
    </row>
    <row r="190">
      <c r="A190" s="91">
        <v>3.0</v>
      </c>
      <c r="B190" s="91" t="s">
        <v>533</v>
      </c>
      <c r="C190" s="91"/>
      <c r="D190" s="171" t="str">
        <f t="shared" si="1"/>
        <v>Sevil Parfümeri</v>
      </c>
      <c r="F190" s="91" t="s">
        <v>1059</v>
      </c>
      <c r="G190" s="170" t="str">
        <f t="shared" si="2"/>
        <v>Sevil Parfümeri&gt;BigChefs</v>
      </c>
    </row>
    <row r="191">
      <c r="A191" s="91">
        <v>3.0</v>
      </c>
      <c r="B191" s="91" t="s">
        <v>1053</v>
      </c>
      <c r="C191" s="91"/>
      <c r="D191" s="171" t="str">
        <f t="shared" si="1"/>
        <v>Valentino</v>
      </c>
      <c r="F191" s="91" t="s">
        <v>1536</v>
      </c>
      <c r="G191" s="170" t="str">
        <f t="shared" si="2"/>
        <v>Valentino&gt;Macrocenter</v>
      </c>
    </row>
    <row r="192">
      <c r="A192" s="91">
        <v>3.0</v>
      </c>
      <c r="B192" s="91" t="s">
        <v>823</v>
      </c>
      <c r="C192" s="91"/>
      <c r="D192" s="171" t="str">
        <f t="shared" si="1"/>
        <v>Yargıcı</v>
      </c>
      <c r="F192" s="91" t="s">
        <v>267</v>
      </c>
      <c r="G192" s="170" t="str">
        <f t="shared" si="2"/>
        <v>Yargıcı&gt;H&amp;M</v>
      </c>
    </row>
    <row r="193">
      <c r="A193" s="91">
        <v>3.0</v>
      </c>
      <c r="B193" s="91" t="s">
        <v>3848</v>
      </c>
      <c r="C193" s="91" t="s">
        <v>2712</v>
      </c>
      <c r="D193" s="171" t="str">
        <f t="shared" si="1"/>
        <v>QR-104</v>
      </c>
      <c r="F193" s="91" t="s">
        <v>777</v>
      </c>
      <c r="G193" s="170" t="str">
        <f t="shared" si="2"/>
        <v>QR-104&gt;COS</v>
      </c>
    </row>
    <row r="194">
      <c r="A194" s="91">
        <v>3.0</v>
      </c>
      <c r="B194" s="91" t="s">
        <v>3848</v>
      </c>
      <c r="C194" s="91" t="s">
        <v>2712</v>
      </c>
      <c r="D194" s="171" t="str">
        <f t="shared" si="1"/>
        <v>QR-104</v>
      </c>
      <c r="F194" s="91" t="s">
        <v>3327</v>
      </c>
      <c r="G194" s="170" t="str">
        <f t="shared" si="2"/>
        <v>QR-104&gt;Entrance Levazım</v>
      </c>
    </row>
    <row r="195">
      <c r="A195" s="91">
        <v>3.0</v>
      </c>
      <c r="B195" s="91" t="s">
        <v>3848</v>
      </c>
      <c r="C195" s="91" t="s">
        <v>2712</v>
      </c>
      <c r="D195" s="171" t="str">
        <f t="shared" si="1"/>
        <v>QR-104</v>
      </c>
      <c r="F195" s="91" t="s">
        <v>955</v>
      </c>
      <c r="G195" s="170" t="str">
        <f t="shared" si="2"/>
        <v>QR-104&gt;Global Blue (Beymen)</v>
      </c>
    </row>
    <row r="196">
      <c r="A196" s="91">
        <v>3.0</v>
      </c>
      <c r="B196" s="91" t="s">
        <v>3848</v>
      </c>
      <c r="C196" s="91" t="s">
        <v>2712</v>
      </c>
      <c r="D196" s="171" t="str">
        <f t="shared" si="1"/>
        <v>QR-104</v>
      </c>
      <c r="F196" s="91" t="s">
        <v>1065</v>
      </c>
      <c r="G196" s="170" t="str">
        <f t="shared" si="2"/>
        <v>QR-104&gt;Günaydın Kasap &amp; Steakhouse</v>
      </c>
    </row>
    <row r="197">
      <c r="A197" s="91">
        <v>3.0</v>
      </c>
      <c r="B197" s="91" t="s">
        <v>3848</v>
      </c>
      <c r="C197" s="91" t="s">
        <v>2712</v>
      </c>
      <c r="D197" s="171" t="str">
        <f t="shared" si="1"/>
        <v>QR-104</v>
      </c>
      <c r="F197" s="91" t="s">
        <v>1215</v>
      </c>
      <c r="G197" s="170" t="str">
        <f t="shared" si="2"/>
        <v>QR-104&gt;Panerai</v>
      </c>
    </row>
    <row r="198">
      <c r="A198" s="91">
        <v>3.0</v>
      </c>
      <c r="B198" s="91" t="s">
        <v>3848</v>
      </c>
      <c r="C198" s="91" t="s">
        <v>2712</v>
      </c>
      <c r="D198" s="171" t="str">
        <f t="shared" si="1"/>
        <v>QR-104</v>
      </c>
      <c r="F198" s="91" t="s">
        <v>173</v>
      </c>
      <c r="G198" s="170" t="str">
        <f t="shared" si="2"/>
        <v>QR-104&gt;Skechers</v>
      </c>
    </row>
    <row r="199">
      <c r="A199" s="91">
        <v>3.0</v>
      </c>
      <c r="B199" s="91" t="s">
        <v>3848</v>
      </c>
      <c r="C199" s="91" t="s">
        <v>2712</v>
      </c>
      <c r="D199" s="171" t="str">
        <f t="shared" si="1"/>
        <v>QR-104</v>
      </c>
      <c r="F199" s="91" t="s">
        <v>2903</v>
      </c>
      <c r="G199" s="170" t="str">
        <f t="shared" si="2"/>
        <v>QR-104&gt;Taxi</v>
      </c>
    </row>
    <row r="200">
      <c r="A200" s="91">
        <v>3.0</v>
      </c>
      <c r="B200" s="91" t="s">
        <v>3848</v>
      </c>
      <c r="C200" s="91" t="s">
        <v>2724</v>
      </c>
      <c r="D200" s="171" t="str">
        <f t="shared" si="1"/>
        <v>QR-108</v>
      </c>
      <c r="F200" s="91" t="s">
        <v>3852</v>
      </c>
      <c r="G200" s="170" t="str">
        <f t="shared" si="2"/>
        <v>QR-108&gt;WC</v>
      </c>
    </row>
    <row r="201">
      <c r="A201" s="91">
        <v>3.0</v>
      </c>
      <c r="B201" s="91" t="s">
        <v>3848</v>
      </c>
      <c r="C201" s="91" t="s">
        <v>2736</v>
      </c>
      <c r="D201" s="171" t="str">
        <f t="shared" si="1"/>
        <v>QR-112</v>
      </c>
      <c r="F201" s="91" t="s">
        <v>777</v>
      </c>
      <c r="G201" s="170" t="str">
        <f t="shared" si="2"/>
        <v>QR-112&gt;COS</v>
      </c>
    </row>
    <row r="202">
      <c r="A202" s="91">
        <v>3.0</v>
      </c>
      <c r="B202" s="91" t="s">
        <v>3848</v>
      </c>
      <c r="C202" s="91" t="s">
        <v>2736</v>
      </c>
      <c r="D202" s="171" t="str">
        <f t="shared" si="1"/>
        <v>QR-112</v>
      </c>
      <c r="F202" s="91" t="s">
        <v>1536</v>
      </c>
      <c r="G202" s="170" t="str">
        <f t="shared" si="2"/>
        <v>QR-112&gt;Macrocenter</v>
      </c>
    </row>
    <row r="203">
      <c r="A203" s="91">
        <v>3.0</v>
      </c>
      <c r="B203" s="91" t="s">
        <v>3848</v>
      </c>
      <c r="C203" s="91" t="s">
        <v>2736</v>
      </c>
      <c r="D203" s="171" t="str">
        <f t="shared" si="1"/>
        <v>QR-112</v>
      </c>
      <c r="F203" s="91" t="s">
        <v>1159</v>
      </c>
      <c r="G203" s="170" t="str">
        <f t="shared" si="2"/>
        <v>QR-112&gt;Moncler</v>
      </c>
    </row>
    <row r="204">
      <c r="A204" s="91">
        <v>3.0</v>
      </c>
      <c r="B204" s="91" t="s">
        <v>3848</v>
      </c>
      <c r="C204" s="91" t="s">
        <v>2745</v>
      </c>
      <c r="D204" s="171" t="str">
        <f t="shared" si="1"/>
        <v>QR-203</v>
      </c>
      <c r="F204" s="91" t="s">
        <v>823</v>
      </c>
      <c r="G204" s="170" t="str">
        <f t="shared" si="2"/>
        <v>QR-203&gt;Yargıcı</v>
      </c>
    </row>
    <row r="205">
      <c r="A205" s="91">
        <v>3.0</v>
      </c>
      <c r="B205" s="91" t="s">
        <v>3848</v>
      </c>
      <c r="C205" s="91" t="s">
        <v>2760</v>
      </c>
      <c r="D205" s="171" t="str">
        <f t="shared" si="1"/>
        <v>QR-302</v>
      </c>
      <c r="F205" s="91" t="s">
        <v>1296</v>
      </c>
      <c r="G205" s="170" t="str">
        <f t="shared" si="2"/>
        <v>QR-302&gt;Parle</v>
      </c>
    </row>
    <row r="206">
      <c r="A206" s="91">
        <v>3.0</v>
      </c>
      <c r="B206" s="91" t="s">
        <v>3848</v>
      </c>
      <c r="C206" s="91" t="s">
        <v>2682</v>
      </c>
      <c r="D206" s="171" t="str">
        <f t="shared" si="1"/>
        <v>QR005</v>
      </c>
      <c r="F206" s="91" t="s">
        <v>474</v>
      </c>
      <c r="G206" s="170" t="str">
        <f t="shared" si="2"/>
        <v>QR005&gt;Zara</v>
      </c>
    </row>
    <row r="207">
      <c r="A207" s="91">
        <v>3.0</v>
      </c>
      <c r="B207" s="91" t="s">
        <v>3848</v>
      </c>
      <c r="C207" s="91" t="s">
        <v>2685</v>
      </c>
      <c r="D207" s="171" t="str">
        <f t="shared" si="1"/>
        <v>QR006</v>
      </c>
      <c r="F207" s="91" t="s">
        <v>1364</v>
      </c>
      <c r="G207" s="170" t="str">
        <f t="shared" si="2"/>
        <v>QR006&gt;Sabit Akkaya Hair Stylist</v>
      </c>
    </row>
    <row r="208">
      <c r="A208" s="91">
        <v>3.0</v>
      </c>
      <c r="B208" s="91" t="s">
        <v>1423</v>
      </c>
      <c r="C208" s="91"/>
      <c r="D208" s="171" t="str">
        <f t="shared" si="1"/>
        <v>Chanel</v>
      </c>
      <c r="F208" s="91" t="s">
        <v>1662</v>
      </c>
      <c r="G208" s="170" t="str">
        <f t="shared" si="2"/>
        <v>Chanel&gt;1290SQM</v>
      </c>
    </row>
    <row r="209">
      <c r="A209" s="91">
        <v>3.0</v>
      </c>
      <c r="B209" s="91" t="s">
        <v>515</v>
      </c>
      <c r="C209" s="91"/>
      <c r="D209" s="171" t="str">
        <f t="shared" si="1"/>
        <v>Falconeri</v>
      </c>
      <c r="F209" s="91" t="s">
        <v>1059</v>
      </c>
      <c r="G209" s="170" t="str">
        <f t="shared" si="2"/>
        <v>Falconeri&gt;BigChefs</v>
      </c>
    </row>
    <row r="210">
      <c r="A210" s="91">
        <v>3.0</v>
      </c>
      <c r="B210" s="91" t="s">
        <v>765</v>
      </c>
      <c r="C210" s="91"/>
      <c r="D210" s="171" t="str">
        <f t="shared" si="1"/>
        <v>Gant</v>
      </c>
      <c r="F210" s="91" t="s">
        <v>3854</v>
      </c>
      <c r="G210" s="170" t="str">
        <f t="shared" si="2"/>
        <v>Gant&gt;Pharmacy</v>
      </c>
    </row>
    <row r="211">
      <c r="A211" s="91">
        <v>3.0</v>
      </c>
      <c r="B211" s="91" t="s">
        <v>267</v>
      </c>
      <c r="C211" s="91"/>
      <c r="D211" s="171" t="str">
        <f t="shared" si="1"/>
        <v>H&amp;M</v>
      </c>
      <c r="F211" s="91" t="s">
        <v>682</v>
      </c>
      <c r="G211" s="170" t="str">
        <f t="shared" si="2"/>
        <v>H&amp;M&gt;Beymen</v>
      </c>
    </row>
    <row r="212">
      <c r="A212" s="91">
        <v>3.0</v>
      </c>
      <c r="B212" s="91" t="s">
        <v>3847</v>
      </c>
      <c r="C212" s="91" t="s">
        <v>2712</v>
      </c>
      <c r="D212" s="171" t="str">
        <f t="shared" si="1"/>
        <v>QR-104</v>
      </c>
      <c r="F212" s="91" t="s">
        <v>2277</v>
      </c>
      <c r="G212" s="170" t="str">
        <f t="shared" si="2"/>
        <v>QR-104&gt;Memorial Wellness</v>
      </c>
    </row>
    <row r="213">
      <c r="A213" s="91">
        <v>3.0</v>
      </c>
      <c r="B213" s="91" t="s">
        <v>3847</v>
      </c>
      <c r="C213" s="91" t="s">
        <v>2712</v>
      </c>
      <c r="D213" s="171" t="str">
        <f t="shared" si="1"/>
        <v>QR-104</v>
      </c>
      <c r="F213" s="91" t="s">
        <v>2070</v>
      </c>
      <c r="G213" s="170" t="str">
        <f t="shared" si="2"/>
        <v>QR-104&gt;Sagaza</v>
      </c>
    </row>
    <row r="214">
      <c r="A214" s="91">
        <v>3.0</v>
      </c>
      <c r="B214" s="91" t="s">
        <v>3847</v>
      </c>
      <c r="C214" s="91" t="s">
        <v>2724</v>
      </c>
      <c r="D214" s="171" t="str">
        <f t="shared" si="1"/>
        <v>QR-108</v>
      </c>
      <c r="F214" s="91" t="s">
        <v>1031</v>
      </c>
      <c r="G214" s="170" t="str">
        <f t="shared" si="2"/>
        <v>QR-108&gt;Happy Moon's</v>
      </c>
    </row>
    <row r="215">
      <c r="A215" s="91">
        <v>3.0</v>
      </c>
      <c r="B215" s="91" t="s">
        <v>3847</v>
      </c>
      <c r="C215" s="91" t="s">
        <v>2736</v>
      </c>
      <c r="D215" s="171" t="str">
        <f t="shared" si="1"/>
        <v>QR-112</v>
      </c>
      <c r="F215" s="91" t="s">
        <v>563</v>
      </c>
      <c r="G215" s="170" t="str">
        <f t="shared" si="2"/>
        <v>QR-112&gt;Popeyes</v>
      </c>
    </row>
    <row r="216">
      <c r="A216" s="91">
        <v>3.0</v>
      </c>
      <c r="B216" s="91" t="s">
        <v>3847</v>
      </c>
      <c r="C216" s="91" t="s">
        <v>2677</v>
      </c>
      <c r="D216" s="171" t="str">
        <f t="shared" si="1"/>
        <v>QR003</v>
      </c>
      <c r="F216" s="91" t="s">
        <v>2804</v>
      </c>
      <c r="G216" s="170" t="str">
        <f t="shared" si="2"/>
        <v>QR003&gt;Garanti BBVA (ATM)</v>
      </c>
    </row>
    <row r="217">
      <c r="A217" s="91">
        <v>3.0</v>
      </c>
      <c r="B217" s="91" t="s">
        <v>1530</v>
      </c>
      <c r="C217" s="91"/>
      <c r="D217" s="171" t="str">
        <f t="shared" si="1"/>
        <v>Linens</v>
      </c>
      <c r="F217" s="91" t="s">
        <v>474</v>
      </c>
      <c r="G217" s="170" t="str">
        <f t="shared" si="2"/>
        <v>Linens&gt;Zara</v>
      </c>
    </row>
    <row r="218">
      <c r="A218" s="91">
        <v>3.0</v>
      </c>
      <c r="B218" s="91" t="s">
        <v>630</v>
      </c>
      <c r="C218" s="91"/>
      <c r="D218" s="171" t="str">
        <f t="shared" si="1"/>
        <v>McDonald's</v>
      </c>
      <c r="F218" s="91" t="s">
        <v>3134</v>
      </c>
      <c r="G218" s="170" t="str">
        <f t="shared" si="2"/>
        <v>McDonald's&gt;Giriş Zincirlikuyu</v>
      </c>
    </row>
    <row r="219">
      <c r="A219" s="91">
        <v>3.0</v>
      </c>
      <c r="B219" s="91" t="s">
        <v>1112</v>
      </c>
      <c r="C219" s="91"/>
      <c r="D219" s="171" t="str">
        <f t="shared" si="1"/>
        <v>Prada</v>
      </c>
      <c r="F219" s="91" t="s">
        <v>3849</v>
      </c>
      <c r="G219" s="170" t="str">
        <f t="shared" si="2"/>
        <v>Prada&gt;Prayer Room</v>
      </c>
    </row>
    <row r="220">
      <c r="A220" s="91">
        <v>3.0</v>
      </c>
      <c r="B220" s="91" t="s">
        <v>806</v>
      </c>
      <c r="C220" s="91"/>
      <c r="D220" s="171" t="str">
        <f t="shared" si="1"/>
        <v>Remzi Kitabevi</v>
      </c>
      <c r="F220" s="91" t="s">
        <v>2870</v>
      </c>
      <c r="G220" s="170" t="str">
        <f t="shared" si="2"/>
        <v>Remzi Kitabevi&gt;Mescit</v>
      </c>
    </row>
    <row r="221">
      <c r="A221" s="91">
        <v>3.0</v>
      </c>
      <c r="B221" s="91" t="s">
        <v>1053</v>
      </c>
      <c r="C221" s="91"/>
      <c r="D221" s="171" t="str">
        <f t="shared" si="1"/>
        <v>Valentino</v>
      </c>
      <c r="F221" s="91" t="s">
        <v>1076</v>
      </c>
      <c r="G221" s="170" t="str">
        <f t="shared" si="2"/>
        <v>Valentino&gt;SushiCo</v>
      </c>
    </row>
    <row r="222">
      <c r="A222" s="91">
        <v>3.0</v>
      </c>
      <c r="B222" s="91" t="s">
        <v>2048</v>
      </c>
      <c r="C222" s="91"/>
      <c r="D222" s="171" t="str">
        <f t="shared" si="1"/>
        <v>Walkers Market</v>
      </c>
      <c r="F222" s="91" t="s">
        <v>2132</v>
      </c>
      <c r="G222" s="170" t="str">
        <f t="shared" si="2"/>
        <v>Walkers Market&gt;Vakkorama Cafe</v>
      </c>
    </row>
    <row r="223">
      <c r="A223" s="91">
        <v>3.0</v>
      </c>
      <c r="B223" s="91" t="s">
        <v>3848</v>
      </c>
      <c r="C223" s="91" t="s">
        <v>2712</v>
      </c>
      <c r="D223" s="171" t="str">
        <f t="shared" si="1"/>
        <v>QR-104</v>
      </c>
      <c r="F223" s="91" t="s">
        <v>2877</v>
      </c>
      <c r="G223" s="170" t="str">
        <f t="shared" si="2"/>
        <v>QR-104&gt;Oniki Hukuk Bürosu</v>
      </c>
    </row>
    <row r="224">
      <c r="A224" s="91">
        <v>3.0</v>
      </c>
      <c r="B224" s="91" t="s">
        <v>3848</v>
      </c>
      <c r="C224" s="91" t="s">
        <v>2727</v>
      </c>
      <c r="D224" s="171" t="str">
        <f t="shared" si="1"/>
        <v>QR-109</v>
      </c>
      <c r="F224" s="91" t="s">
        <v>3855</v>
      </c>
      <c r="G224" s="170" t="str">
        <f t="shared" si="2"/>
        <v>QR-109&gt;Cinema</v>
      </c>
    </row>
    <row r="225">
      <c r="A225" s="91">
        <v>3.0</v>
      </c>
      <c r="B225" s="91" t="s">
        <v>3848</v>
      </c>
      <c r="C225" s="91" t="s">
        <v>2736</v>
      </c>
      <c r="D225" s="171" t="str">
        <f t="shared" si="1"/>
        <v>QR-112</v>
      </c>
      <c r="F225" s="91" t="s">
        <v>2816</v>
      </c>
      <c r="G225" s="170" t="str">
        <f t="shared" si="2"/>
        <v>QR-112&gt;_x0010_0 Pub</v>
      </c>
    </row>
    <row r="226">
      <c r="A226" s="91">
        <v>3.0</v>
      </c>
      <c r="B226" s="91" t="s">
        <v>3848</v>
      </c>
      <c r="C226" s="91" t="s">
        <v>2745</v>
      </c>
      <c r="D226" s="171" t="str">
        <f t="shared" si="1"/>
        <v>QR-203</v>
      </c>
      <c r="F226" s="91" t="s">
        <v>1076</v>
      </c>
      <c r="G226" s="170" t="str">
        <f t="shared" si="2"/>
        <v>QR-203&gt;SushiCo</v>
      </c>
    </row>
    <row r="227">
      <c r="A227" s="91">
        <v>3.0</v>
      </c>
      <c r="B227" s="91" t="s">
        <v>3848</v>
      </c>
      <c r="C227" s="91" t="s">
        <v>2745</v>
      </c>
      <c r="D227" s="171" t="str">
        <f t="shared" si="1"/>
        <v>QR-203</v>
      </c>
      <c r="F227" s="91" t="s">
        <v>937</v>
      </c>
      <c r="G227" s="170" t="str">
        <f t="shared" si="2"/>
        <v>QR-203&gt;Universal Conselor</v>
      </c>
    </row>
    <row r="228">
      <c r="A228" s="91">
        <v>3.0</v>
      </c>
      <c r="B228" s="91" t="s">
        <v>3848</v>
      </c>
      <c r="C228" s="91" t="s">
        <v>2677</v>
      </c>
      <c r="D228" s="171" t="str">
        <f t="shared" si="1"/>
        <v>QR003</v>
      </c>
      <c r="F228" s="91" t="s">
        <v>143</v>
      </c>
      <c r="G228" s="170" t="str">
        <f t="shared" si="2"/>
        <v>QR003&gt;Paribu Cineverse</v>
      </c>
    </row>
    <row r="229">
      <c r="A229" s="91">
        <v>3.0</v>
      </c>
      <c r="B229" s="91" t="s">
        <v>3848</v>
      </c>
      <c r="C229" s="91" t="s">
        <v>970</v>
      </c>
      <c r="D229" s="171" t="str">
        <f t="shared" si="1"/>
        <v>atm001</v>
      </c>
      <c r="F229" s="91" t="s">
        <v>2801</v>
      </c>
      <c r="G229" s="170" t="str">
        <f t="shared" si="2"/>
        <v>atm001&gt;Akbank (ATM)</v>
      </c>
    </row>
    <row r="230">
      <c r="A230" s="91">
        <v>3.0</v>
      </c>
      <c r="B230" s="91" t="s">
        <v>474</v>
      </c>
      <c r="C230" s="91"/>
      <c r="D230" s="171" t="str">
        <f t="shared" si="1"/>
        <v>Zara</v>
      </c>
      <c r="F230" s="91" t="s">
        <v>658</v>
      </c>
      <c r="G230" s="170" t="str">
        <f t="shared" si="2"/>
        <v>Zara&gt;Pandora</v>
      </c>
    </row>
    <row r="231">
      <c r="A231" s="91">
        <v>2.0</v>
      </c>
      <c r="B231" s="91" t="s">
        <v>3856</v>
      </c>
      <c r="C231" s="91"/>
      <c r="D231" s="171" t="str">
        <f t="shared" si="1"/>
        <v>Akbank (ATM)(ATM)</v>
      </c>
      <c r="F231" s="91" t="s">
        <v>2843</v>
      </c>
      <c r="G231" s="170" t="str">
        <f t="shared" si="2"/>
        <v>Akbank (ATM)(ATM)&gt;ATM</v>
      </c>
    </row>
    <row r="232">
      <c r="A232" s="91">
        <v>2.0</v>
      </c>
      <c r="B232" s="91" t="s">
        <v>3856</v>
      </c>
      <c r="C232" s="91"/>
      <c r="D232" s="171" t="str">
        <f t="shared" si="1"/>
        <v>Akbank (ATM)(ATM)</v>
      </c>
      <c r="F232" s="91" t="s">
        <v>2801</v>
      </c>
      <c r="G232" s="170" t="str">
        <f t="shared" si="2"/>
        <v>Akbank (ATM)(ATM)&gt;Akbank (ATM)</v>
      </c>
    </row>
    <row r="233">
      <c r="A233" s="91">
        <v>2.0</v>
      </c>
      <c r="B233" s="91" t="s">
        <v>1088</v>
      </c>
      <c r="C233" s="91"/>
      <c r="D233" s="171" t="str">
        <f t="shared" si="1"/>
        <v>Balenciaga</v>
      </c>
      <c r="F233" s="91" t="s">
        <v>1536</v>
      </c>
      <c r="G233" s="170" t="str">
        <f t="shared" si="2"/>
        <v>Balenciaga&gt;Macrocenter</v>
      </c>
    </row>
    <row r="234">
      <c r="A234" s="91">
        <v>2.0</v>
      </c>
      <c r="B234" s="91" t="s">
        <v>569</v>
      </c>
      <c r="C234" s="91"/>
      <c r="D234" s="171" t="str">
        <f t="shared" si="1"/>
        <v>Burger King</v>
      </c>
      <c r="F234" s="91" t="s">
        <v>3402</v>
      </c>
      <c r="G234" s="170" t="str">
        <f t="shared" si="2"/>
        <v>Burger King&gt;Tuvalet</v>
      </c>
    </row>
    <row r="235">
      <c r="A235" s="91">
        <v>2.0</v>
      </c>
      <c r="B235" s="91" t="s">
        <v>728</v>
      </c>
      <c r="C235" s="91"/>
      <c r="D235" s="171" t="str">
        <f t="shared" si="1"/>
        <v>Calvin Klein Jeans</v>
      </c>
      <c r="F235" s="91" t="s">
        <v>2349</v>
      </c>
      <c r="G235" s="170" t="str">
        <f t="shared" si="2"/>
        <v>Calvin Klein Jeans&gt;Togg Deneyim Merkezi</v>
      </c>
    </row>
    <row r="236">
      <c r="A236" s="91">
        <v>2.0</v>
      </c>
      <c r="B236" s="91" t="s">
        <v>521</v>
      </c>
      <c r="C236" s="91"/>
      <c r="D236" s="171" t="str">
        <f t="shared" si="1"/>
        <v>Calzedonia</v>
      </c>
      <c r="F236" s="91" t="s">
        <v>1548</v>
      </c>
      <c r="G236" s="170" t="str">
        <f t="shared" si="2"/>
        <v>Calzedonia&gt;Toyzz Shop</v>
      </c>
    </row>
    <row r="237">
      <c r="A237" s="91">
        <v>2.0</v>
      </c>
      <c r="B237" s="91" t="s">
        <v>1579</v>
      </c>
      <c r="C237" s="91"/>
      <c r="D237" s="171" t="str">
        <f t="shared" si="1"/>
        <v>D&amp;R</v>
      </c>
      <c r="F237" s="91" t="s">
        <v>1579</v>
      </c>
      <c r="G237" s="170" t="str">
        <f t="shared" si="2"/>
        <v>D&amp;R&gt;D&amp;R</v>
      </c>
    </row>
    <row r="238">
      <c r="A238" s="91">
        <v>2.0</v>
      </c>
      <c r="B238" s="91" t="s">
        <v>740</v>
      </c>
      <c r="C238" s="91"/>
      <c r="D238" s="171" t="str">
        <f t="shared" si="1"/>
        <v>Diesel</v>
      </c>
      <c r="F238" s="91" t="s">
        <v>297</v>
      </c>
      <c r="G238" s="170" t="str">
        <f t="shared" si="2"/>
        <v>Diesel&gt;Camper</v>
      </c>
    </row>
    <row r="239">
      <c r="A239" s="91">
        <v>2.0</v>
      </c>
      <c r="B239" s="91" t="s">
        <v>740</v>
      </c>
      <c r="C239" s="91"/>
      <c r="D239" s="171" t="str">
        <f t="shared" si="1"/>
        <v>Diesel</v>
      </c>
      <c r="F239" s="91" t="s">
        <v>474</v>
      </c>
      <c r="G239" s="170" t="str">
        <f t="shared" si="2"/>
        <v>Diesel&gt;Zara</v>
      </c>
    </row>
    <row r="240">
      <c r="A240" s="91">
        <v>2.0</v>
      </c>
      <c r="B240" s="91" t="s">
        <v>1094</v>
      </c>
      <c r="C240" s="91"/>
      <c r="D240" s="171" t="str">
        <f t="shared" si="1"/>
        <v>Dolce &amp; Gabbana</v>
      </c>
      <c r="F240" s="91" t="s">
        <v>1031</v>
      </c>
      <c r="G240" s="170" t="str">
        <f t="shared" si="2"/>
        <v>Dolce &amp; Gabbana&gt;Happy Moon's</v>
      </c>
    </row>
    <row r="241">
      <c r="A241" s="91">
        <v>2.0</v>
      </c>
      <c r="B241" s="91" t="s">
        <v>1603</v>
      </c>
      <c r="C241" s="91"/>
      <c r="D241" s="171" t="str">
        <f t="shared" si="1"/>
        <v>Eataly</v>
      </c>
      <c r="F241" s="91" t="s">
        <v>1536</v>
      </c>
      <c r="G241" s="170" t="str">
        <f t="shared" si="2"/>
        <v>Eataly&gt;Macrocenter</v>
      </c>
    </row>
    <row r="242">
      <c r="A242" s="91">
        <v>2.0</v>
      </c>
      <c r="B242" s="91" t="s">
        <v>515</v>
      </c>
      <c r="C242" s="91"/>
      <c r="D242" s="171" t="str">
        <f t="shared" si="1"/>
        <v>Falconeri</v>
      </c>
      <c r="F242" s="91" t="s">
        <v>1603</v>
      </c>
      <c r="G242" s="170" t="str">
        <f t="shared" si="2"/>
        <v>Falconeri&gt;Eataly</v>
      </c>
    </row>
    <row r="243">
      <c r="A243" s="91">
        <v>2.0</v>
      </c>
      <c r="B243" s="91" t="s">
        <v>515</v>
      </c>
      <c r="C243" s="91"/>
      <c r="D243" s="171" t="str">
        <f t="shared" si="1"/>
        <v>Falconeri</v>
      </c>
      <c r="F243" s="91" t="s">
        <v>1296</v>
      </c>
      <c r="G243" s="170" t="str">
        <f t="shared" si="2"/>
        <v>Falconeri&gt;Parle</v>
      </c>
    </row>
    <row r="244">
      <c r="A244" s="91">
        <v>2.0</v>
      </c>
      <c r="B244" s="91" t="s">
        <v>515</v>
      </c>
      <c r="C244" s="91"/>
      <c r="D244" s="171" t="str">
        <f t="shared" si="1"/>
        <v>Falconeri</v>
      </c>
      <c r="F244" s="91" t="s">
        <v>1668</v>
      </c>
      <c r="G244" s="170" t="str">
        <f t="shared" si="2"/>
        <v>Falconeri&gt;Zula</v>
      </c>
    </row>
    <row r="245">
      <c r="A245" s="91">
        <v>2.0</v>
      </c>
      <c r="B245" s="91" t="s">
        <v>509</v>
      </c>
      <c r="C245" s="91"/>
      <c r="D245" s="171" t="str">
        <f t="shared" si="1"/>
        <v>Intimissimi</v>
      </c>
      <c r="F245" s="91" t="s">
        <v>682</v>
      </c>
      <c r="G245" s="170" t="str">
        <f t="shared" si="2"/>
        <v>Intimissimi&gt;Beymen</v>
      </c>
    </row>
    <row r="246">
      <c r="A246" s="91">
        <v>2.0</v>
      </c>
      <c r="B246" s="91" t="s">
        <v>509</v>
      </c>
      <c r="C246" s="91"/>
      <c r="D246" s="171" t="str">
        <f t="shared" si="1"/>
        <v>Intimissimi</v>
      </c>
      <c r="F246" s="91" t="s">
        <v>549</v>
      </c>
      <c r="G246" s="170" t="str">
        <f t="shared" si="2"/>
        <v>Intimissimi&gt;Caffe Nero</v>
      </c>
    </row>
    <row r="247">
      <c r="A247" s="91">
        <v>2.0</v>
      </c>
      <c r="B247" s="91" t="s">
        <v>509</v>
      </c>
      <c r="C247" s="91"/>
      <c r="D247" s="171" t="str">
        <f t="shared" si="1"/>
        <v>Intimissimi</v>
      </c>
      <c r="F247" s="91" t="s">
        <v>1536</v>
      </c>
      <c r="G247" s="170" t="str">
        <f t="shared" si="2"/>
        <v>Intimissimi&gt;Macrocenter</v>
      </c>
    </row>
    <row r="248">
      <c r="A248" s="91">
        <v>2.0</v>
      </c>
      <c r="B248" s="91" t="s">
        <v>3847</v>
      </c>
      <c r="C248" s="91" t="s">
        <v>843</v>
      </c>
      <c r="D248" s="171" t="str">
        <f t="shared" si="1"/>
        <v>ID-166</v>
      </c>
      <c r="F248" s="91" t="s">
        <v>3305</v>
      </c>
      <c r="G248" s="170" t="str">
        <f t="shared" si="2"/>
        <v>ID-166&gt;Eczane</v>
      </c>
    </row>
    <row r="249">
      <c r="A249" s="91">
        <v>2.0</v>
      </c>
      <c r="B249" s="91" t="s">
        <v>3847</v>
      </c>
      <c r="C249" s="91" t="s">
        <v>2712</v>
      </c>
      <c r="D249" s="171" t="str">
        <f t="shared" si="1"/>
        <v>QR-104</v>
      </c>
      <c r="F249" s="91" t="s">
        <v>2816</v>
      </c>
      <c r="G249" s="170" t="str">
        <f t="shared" si="2"/>
        <v>QR-104&gt;_x0010_0 Pub</v>
      </c>
    </row>
    <row r="250">
      <c r="A250" s="91">
        <v>2.0</v>
      </c>
      <c r="B250" s="91" t="s">
        <v>3847</v>
      </c>
      <c r="C250" s="91" t="s">
        <v>2712</v>
      </c>
      <c r="D250" s="171" t="str">
        <f t="shared" si="1"/>
        <v>QR-104</v>
      </c>
      <c r="F250" s="91" t="s">
        <v>3138</v>
      </c>
      <c r="G250" s="170" t="str">
        <f t="shared" si="2"/>
        <v>QR-104&gt;Akbank (Şube)</v>
      </c>
    </row>
    <row r="251">
      <c r="A251" s="91">
        <v>2.0</v>
      </c>
      <c r="B251" s="91" t="s">
        <v>3847</v>
      </c>
      <c r="C251" s="91" t="s">
        <v>2712</v>
      </c>
      <c r="D251" s="171" t="str">
        <f t="shared" si="1"/>
        <v>QR-104</v>
      </c>
      <c r="F251" s="91" t="s">
        <v>705</v>
      </c>
      <c r="G251" s="170" t="str">
        <f t="shared" si="2"/>
        <v>QR-104&gt;Atasay</v>
      </c>
    </row>
    <row r="252">
      <c r="A252" s="91">
        <v>2.0</v>
      </c>
      <c r="B252" s="91" t="s">
        <v>3847</v>
      </c>
      <c r="C252" s="91" t="s">
        <v>2712</v>
      </c>
      <c r="D252" s="171" t="str">
        <f t="shared" si="1"/>
        <v>QR-104</v>
      </c>
      <c r="F252" s="91" t="s">
        <v>1100</v>
      </c>
      <c r="G252" s="170" t="str">
        <f t="shared" si="2"/>
        <v>QR-104&gt;Burberry</v>
      </c>
    </row>
    <row r="253">
      <c r="A253" s="91">
        <v>2.0</v>
      </c>
      <c r="B253" s="91" t="s">
        <v>3847</v>
      </c>
      <c r="C253" s="91" t="s">
        <v>2712</v>
      </c>
      <c r="D253" s="171" t="str">
        <f t="shared" si="1"/>
        <v>QR-104</v>
      </c>
      <c r="F253" s="91" t="s">
        <v>2921</v>
      </c>
      <c r="G253" s="170" t="str">
        <f t="shared" si="2"/>
        <v>QR-104&gt;Halkbank (ATM)</v>
      </c>
    </row>
    <row r="254">
      <c r="A254" s="91">
        <v>2.0</v>
      </c>
      <c r="B254" s="91" t="s">
        <v>3847</v>
      </c>
      <c r="C254" s="91" t="s">
        <v>2712</v>
      </c>
      <c r="D254" s="171" t="str">
        <f t="shared" si="1"/>
        <v>QR-104</v>
      </c>
      <c r="F254" s="91" t="s">
        <v>1673</v>
      </c>
      <c r="G254" s="170" t="str">
        <f t="shared" si="2"/>
        <v>QR-104&gt;JBL</v>
      </c>
    </row>
    <row r="255">
      <c r="A255" s="91">
        <v>2.0</v>
      </c>
      <c r="B255" s="91" t="s">
        <v>3847</v>
      </c>
      <c r="C255" s="91" t="s">
        <v>2712</v>
      </c>
      <c r="D255" s="171" t="str">
        <f t="shared" si="1"/>
        <v>QR-104</v>
      </c>
      <c r="F255" s="91" t="s">
        <v>1530</v>
      </c>
      <c r="G255" s="170" t="str">
        <f t="shared" si="2"/>
        <v>QR-104&gt;Linens</v>
      </c>
    </row>
    <row r="256">
      <c r="A256" s="91">
        <v>2.0</v>
      </c>
      <c r="B256" s="91" t="s">
        <v>3847</v>
      </c>
      <c r="C256" s="91" t="s">
        <v>2712</v>
      </c>
      <c r="D256" s="171" t="str">
        <f t="shared" si="1"/>
        <v>QR-104</v>
      </c>
      <c r="F256" s="91" t="s">
        <v>658</v>
      </c>
      <c r="G256" s="170" t="str">
        <f t="shared" si="2"/>
        <v>QR-104&gt;Pandora</v>
      </c>
    </row>
    <row r="257">
      <c r="A257" s="91">
        <v>2.0</v>
      </c>
      <c r="B257" s="91" t="s">
        <v>3847</v>
      </c>
      <c r="C257" s="91" t="s">
        <v>2712</v>
      </c>
      <c r="D257" s="171" t="str">
        <f t="shared" si="1"/>
        <v>QR-104</v>
      </c>
      <c r="F257" s="91" t="s">
        <v>503</v>
      </c>
      <c r="G257" s="170" t="str">
        <f t="shared" si="2"/>
        <v>QR-104&gt;Plus Kitchen</v>
      </c>
    </row>
    <row r="258">
      <c r="A258" s="91">
        <v>2.0</v>
      </c>
      <c r="B258" s="91" t="s">
        <v>3847</v>
      </c>
      <c r="C258" s="91" t="s">
        <v>2712</v>
      </c>
      <c r="D258" s="171" t="str">
        <f t="shared" si="1"/>
        <v>QR-104</v>
      </c>
      <c r="F258" s="91" t="s">
        <v>1047</v>
      </c>
      <c r="G258" s="170" t="str">
        <f t="shared" si="2"/>
        <v>QR-104&gt;Rolex</v>
      </c>
    </row>
    <row r="259">
      <c r="A259" s="91">
        <v>2.0</v>
      </c>
      <c r="B259" s="91" t="s">
        <v>3847</v>
      </c>
      <c r="C259" s="91" t="s">
        <v>2712</v>
      </c>
      <c r="D259" s="171" t="str">
        <f t="shared" si="1"/>
        <v>QR-104</v>
      </c>
      <c r="F259" s="91" t="s">
        <v>3857</v>
      </c>
      <c r="G259" s="170" t="str">
        <f t="shared" si="2"/>
        <v>QR-104&gt;Sinema</v>
      </c>
    </row>
    <row r="260">
      <c r="A260" s="91">
        <v>2.0</v>
      </c>
      <c r="B260" s="91" t="s">
        <v>3847</v>
      </c>
      <c r="C260" s="91" t="s">
        <v>2712</v>
      </c>
      <c r="D260" s="171" t="str">
        <f t="shared" si="1"/>
        <v>QR-104</v>
      </c>
      <c r="F260" s="91" t="s">
        <v>2343</v>
      </c>
      <c r="G260" s="170" t="str">
        <f t="shared" si="2"/>
        <v>QR-104&gt;Zanzibar</v>
      </c>
    </row>
    <row r="261">
      <c r="A261" s="91">
        <v>2.0</v>
      </c>
      <c r="B261" s="91" t="s">
        <v>3847</v>
      </c>
      <c r="C261" s="91" t="s">
        <v>2712</v>
      </c>
      <c r="D261" s="171" t="str">
        <f t="shared" si="1"/>
        <v>QR-104</v>
      </c>
      <c r="F261" s="91" t="s">
        <v>3122</v>
      </c>
      <c r="G261" s="170" t="str">
        <f t="shared" si="2"/>
        <v>QR-104&gt;Zorlu PSM Meydan Katı</v>
      </c>
    </row>
    <row r="262">
      <c r="A262" s="91">
        <v>2.0</v>
      </c>
      <c r="B262" s="91" t="s">
        <v>3847</v>
      </c>
      <c r="C262" s="91" t="s">
        <v>2724</v>
      </c>
      <c r="D262" s="171" t="str">
        <f t="shared" si="1"/>
        <v>QR-108</v>
      </c>
      <c r="F262" s="91" t="s">
        <v>3783</v>
      </c>
      <c r="G262" s="170" t="str">
        <f t="shared" si="2"/>
        <v>QR-108&gt;PSM</v>
      </c>
    </row>
    <row r="263">
      <c r="A263" s="91">
        <v>2.0</v>
      </c>
      <c r="B263" s="91" t="s">
        <v>3847</v>
      </c>
      <c r="C263" s="91" t="s">
        <v>2736</v>
      </c>
      <c r="D263" s="171" t="str">
        <f t="shared" si="1"/>
        <v>QR-112</v>
      </c>
      <c r="F263" s="91" t="s">
        <v>1059</v>
      </c>
      <c r="G263" s="170" t="str">
        <f t="shared" si="2"/>
        <v>QR-112&gt;BigChefs</v>
      </c>
    </row>
    <row r="264">
      <c r="A264" s="91">
        <v>2.0</v>
      </c>
      <c r="B264" s="91" t="s">
        <v>3847</v>
      </c>
      <c r="C264" s="91" t="s">
        <v>2736</v>
      </c>
      <c r="D264" s="171" t="str">
        <f t="shared" si="1"/>
        <v>QR-112</v>
      </c>
      <c r="F264" s="91" t="s">
        <v>267</v>
      </c>
      <c r="G264" s="170" t="str">
        <f t="shared" si="2"/>
        <v>QR-112&gt;H&amp;M</v>
      </c>
    </row>
    <row r="265">
      <c r="A265" s="91">
        <v>2.0</v>
      </c>
      <c r="B265" s="91" t="s">
        <v>3847</v>
      </c>
      <c r="C265" s="91" t="s">
        <v>2745</v>
      </c>
      <c r="D265" s="171" t="str">
        <f t="shared" si="1"/>
        <v>QR-203</v>
      </c>
      <c r="F265" s="91" t="s">
        <v>569</v>
      </c>
      <c r="G265" s="170" t="str">
        <f t="shared" si="2"/>
        <v>QR-203&gt;Burger King</v>
      </c>
    </row>
    <row r="266">
      <c r="A266" s="91">
        <v>2.0</v>
      </c>
      <c r="B266" s="91" t="s">
        <v>3847</v>
      </c>
      <c r="C266" s="91" t="s">
        <v>2745</v>
      </c>
      <c r="D266" s="171" t="str">
        <f t="shared" si="1"/>
        <v>QR-203</v>
      </c>
      <c r="F266" s="91" t="s">
        <v>1031</v>
      </c>
      <c r="G266" s="170" t="str">
        <f t="shared" si="2"/>
        <v>QR-203&gt;Happy Moon's</v>
      </c>
    </row>
    <row r="267">
      <c r="A267" s="91">
        <v>2.0</v>
      </c>
      <c r="B267" s="91" t="s">
        <v>3847</v>
      </c>
      <c r="C267" s="91" t="s">
        <v>2745</v>
      </c>
      <c r="D267" s="171" t="str">
        <f t="shared" si="1"/>
        <v>QR-203</v>
      </c>
      <c r="F267" s="91" t="s">
        <v>3402</v>
      </c>
      <c r="G267" s="170" t="str">
        <f t="shared" si="2"/>
        <v>QR-203&gt;Tuvalet</v>
      </c>
    </row>
    <row r="268">
      <c r="A268" s="91">
        <v>2.0</v>
      </c>
      <c r="B268" s="91" t="s">
        <v>3847</v>
      </c>
      <c r="C268" s="91" t="s">
        <v>2745</v>
      </c>
      <c r="D268" s="171" t="str">
        <f t="shared" si="1"/>
        <v>QR-203</v>
      </c>
      <c r="F268" s="91" t="s">
        <v>2132</v>
      </c>
      <c r="G268" s="170" t="str">
        <f t="shared" si="2"/>
        <v>QR-203&gt;Vakkorama Cafe</v>
      </c>
    </row>
    <row r="269">
      <c r="A269" s="91">
        <v>2.0</v>
      </c>
      <c r="B269" s="91" t="s">
        <v>3847</v>
      </c>
      <c r="C269" s="91" t="s">
        <v>2745</v>
      </c>
      <c r="D269" s="171" t="str">
        <f t="shared" si="1"/>
        <v>QR-203</v>
      </c>
      <c r="F269" s="91" t="s">
        <v>1009</v>
      </c>
      <c r="G269" s="170" t="str">
        <f t="shared" si="2"/>
        <v>QR-203&gt;Welldone</v>
      </c>
    </row>
    <row r="270">
      <c r="A270" s="91">
        <v>2.0</v>
      </c>
      <c r="B270" s="91" t="s">
        <v>3847</v>
      </c>
      <c r="C270" s="91" t="s">
        <v>2757</v>
      </c>
      <c r="D270" s="171" t="str">
        <f t="shared" si="1"/>
        <v>QR-301</v>
      </c>
      <c r="F270" s="91" t="s">
        <v>1603</v>
      </c>
      <c r="G270" s="170" t="str">
        <f t="shared" si="2"/>
        <v>QR-301&gt;Eataly</v>
      </c>
    </row>
    <row r="271">
      <c r="A271" s="91">
        <v>2.0</v>
      </c>
      <c r="B271" s="91" t="s">
        <v>3847</v>
      </c>
      <c r="C271" s="91" t="s">
        <v>2757</v>
      </c>
      <c r="D271" s="171" t="str">
        <f t="shared" si="1"/>
        <v>QR-301</v>
      </c>
      <c r="F271" s="91" t="s">
        <v>1031</v>
      </c>
      <c r="G271" s="170" t="str">
        <f t="shared" si="2"/>
        <v>QR-301&gt;Happy Moon's</v>
      </c>
    </row>
    <row r="272">
      <c r="A272" s="91">
        <v>2.0</v>
      </c>
      <c r="B272" s="91" t="s">
        <v>3847</v>
      </c>
      <c r="C272" s="91" t="s">
        <v>2757</v>
      </c>
      <c r="D272" s="171" t="str">
        <f t="shared" si="1"/>
        <v>QR-301</v>
      </c>
      <c r="F272" s="91" t="s">
        <v>2870</v>
      </c>
      <c r="G272" s="170" t="str">
        <f t="shared" si="2"/>
        <v>QR-301&gt;Mescit</v>
      </c>
    </row>
    <row r="273">
      <c r="A273" s="91">
        <v>2.0</v>
      </c>
      <c r="B273" s="91" t="s">
        <v>3847</v>
      </c>
      <c r="C273" s="91" t="s">
        <v>2757</v>
      </c>
      <c r="D273" s="171" t="str">
        <f t="shared" si="1"/>
        <v>QR-301</v>
      </c>
      <c r="F273" s="91" t="s">
        <v>1296</v>
      </c>
      <c r="G273" s="170" t="str">
        <f t="shared" si="2"/>
        <v>QR-301&gt;Parle</v>
      </c>
    </row>
    <row r="274">
      <c r="A274" s="91">
        <v>2.0</v>
      </c>
      <c r="B274" s="91" t="s">
        <v>3847</v>
      </c>
      <c r="C274" s="91" t="s">
        <v>2757</v>
      </c>
      <c r="D274" s="171" t="str">
        <f t="shared" si="1"/>
        <v>QR-301</v>
      </c>
      <c r="F274" s="91" t="s">
        <v>3402</v>
      </c>
      <c r="G274" s="170" t="str">
        <f t="shared" si="2"/>
        <v>QR-301&gt;Tuvalet</v>
      </c>
    </row>
    <row r="275">
      <c r="A275" s="91">
        <v>2.0</v>
      </c>
      <c r="B275" s="91" t="s">
        <v>3847</v>
      </c>
      <c r="C275" s="91" t="s">
        <v>2757</v>
      </c>
      <c r="D275" s="171" t="str">
        <f t="shared" si="1"/>
        <v>QR-301</v>
      </c>
      <c r="F275" s="91" t="s">
        <v>250</v>
      </c>
      <c r="G275" s="170" t="str">
        <f t="shared" si="2"/>
        <v>QR-301&gt;Victoria's Secret</v>
      </c>
    </row>
    <row r="276">
      <c r="A276" s="91">
        <v>2.0</v>
      </c>
      <c r="B276" s="91" t="s">
        <v>3847</v>
      </c>
      <c r="C276" s="91" t="s">
        <v>2757</v>
      </c>
      <c r="D276" s="171" t="str">
        <f t="shared" si="1"/>
        <v>QR-301</v>
      </c>
      <c r="F276" s="91" t="s">
        <v>1692</v>
      </c>
      <c r="G276" s="170" t="str">
        <f t="shared" si="2"/>
        <v>QR-301&gt;Voi Coffee Company</v>
      </c>
    </row>
    <row r="277">
      <c r="A277" s="91">
        <v>2.0</v>
      </c>
      <c r="B277" s="91" t="s">
        <v>3847</v>
      </c>
      <c r="C277" s="91" t="s">
        <v>2757</v>
      </c>
      <c r="D277" s="171" t="str">
        <f t="shared" si="1"/>
        <v>QR-301</v>
      </c>
      <c r="F277" s="91" t="s">
        <v>2343</v>
      </c>
      <c r="G277" s="170" t="str">
        <f t="shared" si="2"/>
        <v>QR-301&gt;Zanzibar</v>
      </c>
    </row>
    <row r="278">
      <c r="A278" s="91">
        <v>2.0</v>
      </c>
      <c r="B278" s="91" t="s">
        <v>3847</v>
      </c>
      <c r="C278" s="91" t="s">
        <v>2757</v>
      </c>
      <c r="D278" s="171" t="str">
        <f t="shared" si="1"/>
        <v>QR-301</v>
      </c>
      <c r="F278" s="91" t="s">
        <v>474</v>
      </c>
      <c r="G278" s="170" t="str">
        <f t="shared" si="2"/>
        <v>QR-301&gt;Zara</v>
      </c>
    </row>
    <row r="279">
      <c r="A279" s="91">
        <v>2.0</v>
      </c>
      <c r="B279" s="91" t="s">
        <v>3847</v>
      </c>
      <c r="C279" s="91" t="s">
        <v>2760</v>
      </c>
      <c r="D279" s="171" t="str">
        <f t="shared" si="1"/>
        <v>QR-302</v>
      </c>
      <c r="F279" s="91" t="s">
        <v>569</v>
      </c>
      <c r="G279" s="170" t="str">
        <f t="shared" si="2"/>
        <v>QR-302&gt;Burger King</v>
      </c>
    </row>
    <row r="280">
      <c r="A280" s="91">
        <v>2.0</v>
      </c>
      <c r="B280" s="91" t="s">
        <v>3847</v>
      </c>
      <c r="C280" s="91" t="s">
        <v>2760</v>
      </c>
      <c r="D280" s="171" t="str">
        <f t="shared" si="1"/>
        <v>QR-302</v>
      </c>
      <c r="F280" s="91" t="s">
        <v>267</v>
      </c>
      <c r="G280" s="170" t="str">
        <f t="shared" si="2"/>
        <v>QR-302&gt;H&amp;M</v>
      </c>
    </row>
    <row r="281">
      <c r="A281" s="91">
        <v>2.0</v>
      </c>
      <c r="B281" s="91" t="s">
        <v>3847</v>
      </c>
      <c r="C281" s="91" t="s">
        <v>2760</v>
      </c>
      <c r="D281" s="171" t="str">
        <f t="shared" si="1"/>
        <v>QR-302</v>
      </c>
      <c r="F281" s="91" t="s">
        <v>1009</v>
      </c>
      <c r="G281" s="170" t="str">
        <f t="shared" si="2"/>
        <v>QR-302&gt;Welldone</v>
      </c>
    </row>
    <row r="282">
      <c r="A282" s="91">
        <v>2.0</v>
      </c>
      <c r="B282" s="91" t="s">
        <v>3847</v>
      </c>
      <c r="C282" s="91" t="s">
        <v>2677</v>
      </c>
      <c r="D282" s="171" t="str">
        <f t="shared" si="1"/>
        <v>QR003</v>
      </c>
      <c r="F282" s="91" t="s">
        <v>94</v>
      </c>
      <c r="G282" s="170" t="str">
        <f t="shared" si="2"/>
        <v>QR003&gt;MediaMarkt</v>
      </c>
    </row>
    <row r="283">
      <c r="A283" s="91">
        <v>2.0</v>
      </c>
      <c r="B283" s="91" t="s">
        <v>3847</v>
      </c>
      <c r="C283" s="91" t="s">
        <v>2677</v>
      </c>
      <c r="D283" s="171" t="str">
        <f t="shared" si="1"/>
        <v>QR003</v>
      </c>
      <c r="F283" s="91" t="s">
        <v>181</v>
      </c>
      <c r="G283" s="170" t="str">
        <f t="shared" si="2"/>
        <v>QR003&gt;Starbucks</v>
      </c>
    </row>
    <row r="284">
      <c r="A284" s="91">
        <v>2.0</v>
      </c>
      <c r="B284" s="91" t="s">
        <v>3847</v>
      </c>
      <c r="C284" s="91" t="s">
        <v>2685</v>
      </c>
      <c r="D284" s="171" t="str">
        <f t="shared" si="1"/>
        <v>QR006</v>
      </c>
      <c r="F284" s="91" t="s">
        <v>211</v>
      </c>
      <c r="G284" s="170" t="str">
        <f t="shared" si="2"/>
        <v>QR006&gt;Asics</v>
      </c>
    </row>
    <row r="285">
      <c r="A285" s="91">
        <v>2.0</v>
      </c>
      <c r="B285" s="91" t="s">
        <v>3847</v>
      </c>
      <c r="C285" s="91" t="s">
        <v>2685</v>
      </c>
      <c r="D285" s="171" t="str">
        <f t="shared" si="1"/>
        <v>QR006</v>
      </c>
      <c r="F285" s="91" t="s">
        <v>474</v>
      </c>
      <c r="G285" s="170" t="str">
        <f t="shared" si="2"/>
        <v>QR006&gt;Zara</v>
      </c>
    </row>
    <row r="286">
      <c r="A286" s="91">
        <v>2.0</v>
      </c>
      <c r="B286" s="91" t="s">
        <v>3847</v>
      </c>
      <c r="C286" s="91" t="s">
        <v>2685</v>
      </c>
      <c r="D286" s="171" t="str">
        <f t="shared" si="1"/>
        <v>QR006</v>
      </c>
      <c r="F286" s="91" t="s">
        <v>1668</v>
      </c>
      <c r="G286" s="170" t="str">
        <f t="shared" si="2"/>
        <v>QR006&gt;Zula</v>
      </c>
    </row>
    <row r="287">
      <c r="A287" s="91">
        <v>2.0</v>
      </c>
      <c r="B287" s="91" t="s">
        <v>315</v>
      </c>
      <c r="C287" s="91"/>
      <c r="D287" s="171" t="str">
        <f t="shared" si="1"/>
        <v>Mango</v>
      </c>
      <c r="F287" s="91" t="s">
        <v>3849</v>
      </c>
      <c r="G287" s="170" t="str">
        <f t="shared" si="2"/>
        <v>Mango&gt;Prayer Room</v>
      </c>
    </row>
    <row r="288">
      <c r="A288" s="91">
        <v>2.0</v>
      </c>
      <c r="B288" s="91" t="s">
        <v>216</v>
      </c>
      <c r="C288" s="91"/>
      <c r="D288" s="171" t="str">
        <f t="shared" si="1"/>
        <v>Mavi</v>
      </c>
      <c r="F288" s="91" t="s">
        <v>267</v>
      </c>
      <c r="G288" s="170" t="str">
        <f t="shared" si="2"/>
        <v>Mavi&gt;H&amp;M</v>
      </c>
    </row>
    <row r="289">
      <c r="A289" s="91">
        <v>2.0</v>
      </c>
      <c r="B289" s="91" t="s">
        <v>1560</v>
      </c>
      <c r="C289" s="91"/>
      <c r="D289" s="171" t="str">
        <f t="shared" si="1"/>
        <v>Miele</v>
      </c>
      <c r="F289" s="91" t="s">
        <v>1626</v>
      </c>
      <c r="G289" s="170" t="str">
        <f t="shared" si="2"/>
        <v>Miele&gt;Funloft</v>
      </c>
    </row>
    <row r="290">
      <c r="A290" s="91">
        <v>2.0</v>
      </c>
      <c r="B290" s="91" t="s">
        <v>1331</v>
      </c>
      <c r="C290" s="91"/>
      <c r="D290" s="171" t="str">
        <f t="shared" si="1"/>
        <v>Miu Miu</v>
      </c>
      <c r="F290" s="91" t="s">
        <v>1603</v>
      </c>
      <c r="G290" s="170" t="str">
        <f t="shared" si="2"/>
        <v>Miu Miu&gt;Eataly</v>
      </c>
    </row>
    <row r="291">
      <c r="A291" s="91">
        <v>2.0</v>
      </c>
      <c r="B291" s="91" t="s">
        <v>3783</v>
      </c>
      <c r="C291" s="91"/>
      <c r="D291" s="171" t="str">
        <f t="shared" si="1"/>
        <v>PSM</v>
      </c>
      <c r="F291" s="91" t="s">
        <v>3305</v>
      </c>
      <c r="G291" s="170" t="str">
        <f t="shared" si="2"/>
        <v>PSM&gt;Eczane</v>
      </c>
    </row>
    <row r="292">
      <c r="A292" s="91">
        <v>2.0</v>
      </c>
      <c r="B292" s="91" t="s">
        <v>658</v>
      </c>
      <c r="C292" s="91"/>
      <c r="D292" s="171" t="str">
        <f t="shared" si="1"/>
        <v>Pandora</v>
      </c>
      <c r="F292" s="91" t="s">
        <v>699</v>
      </c>
      <c r="G292" s="170" t="str">
        <f t="shared" si="2"/>
        <v>Pandora&gt;Cup of Joy</v>
      </c>
    </row>
    <row r="293">
      <c r="A293" s="91">
        <v>2.0</v>
      </c>
      <c r="B293" s="91" t="s">
        <v>658</v>
      </c>
      <c r="C293" s="91"/>
      <c r="D293" s="171" t="str">
        <f t="shared" si="1"/>
        <v>Pandora</v>
      </c>
      <c r="F293" s="91" t="s">
        <v>485</v>
      </c>
      <c r="G293" s="170" t="str">
        <f t="shared" si="2"/>
        <v>Pandora&gt;Watsons</v>
      </c>
    </row>
    <row r="294">
      <c r="A294" s="91">
        <v>2.0</v>
      </c>
      <c r="B294" s="91" t="s">
        <v>658</v>
      </c>
      <c r="C294" s="91"/>
      <c r="D294" s="171" t="str">
        <f t="shared" si="1"/>
        <v>Pandora</v>
      </c>
      <c r="F294" s="91" t="s">
        <v>474</v>
      </c>
      <c r="G294" s="170" t="str">
        <f t="shared" si="2"/>
        <v>Pandora&gt;Zara</v>
      </c>
    </row>
    <row r="295">
      <c r="A295" s="91">
        <v>2.0</v>
      </c>
      <c r="B295" s="91" t="s">
        <v>1296</v>
      </c>
      <c r="C295" s="91"/>
      <c r="D295" s="171" t="str">
        <f t="shared" si="1"/>
        <v>Parle</v>
      </c>
      <c r="F295" s="91" t="s">
        <v>1603</v>
      </c>
      <c r="G295" s="170" t="str">
        <f t="shared" si="2"/>
        <v>Parle&gt;Eataly</v>
      </c>
    </row>
    <row r="296">
      <c r="A296" s="91">
        <v>2.0</v>
      </c>
      <c r="B296" s="91" t="s">
        <v>261</v>
      </c>
      <c r="C296" s="91"/>
      <c r="D296" s="171" t="str">
        <f t="shared" si="1"/>
        <v>Penti</v>
      </c>
      <c r="F296" s="91" t="s">
        <v>181</v>
      </c>
      <c r="G296" s="170" t="str">
        <f t="shared" si="2"/>
        <v>Penti&gt;Starbucks</v>
      </c>
    </row>
    <row r="297">
      <c r="A297" s="91">
        <v>2.0</v>
      </c>
      <c r="B297" s="91" t="s">
        <v>711</v>
      </c>
      <c r="C297" s="91"/>
      <c r="D297" s="171" t="str">
        <f t="shared" si="1"/>
        <v>Pinko</v>
      </c>
      <c r="F297" s="91" t="s">
        <v>474</v>
      </c>
      <c r="G297" s="170" t="str">
        <f t="shared" si="2"/>
        <v>Pinko&gt;Zara</v>
      </c>
    </row>
    <row r="298">
      <c r="A298" s="91">
        <v>2.0</v>
      </c>
      <c r="B298" s="91" t="s">
        <v>722</v>
      </c>
      <c r="C298" s="91"/>
      <c r="D298" s="171" t="str">
        <f t="shared" si="1"/>
        <v>Ramsey</v>
      </c>
      <c r="F298" s="91" t="s">
        <v>173</v>
      </c>
      <c r="G298" s="170" t="str">
        <f t="shared" si="2"/>
        <v>Ramsey&gt;Skechers</v>
      </c>
    </row>
    <row r="299">
      <c r="A299" s="91">
        <v>2.0</v>
      </c>
      <c r="B299" s="91" t="s">
        <v>722</v>
      </c>
      <c r="C299" s="91"/>
      <c r="D299" s="171" t="str">
        <f t="shared" si="1"/>
        <v>Ramsey</v>
      </c>
      <c r="F299" s="91" t="s">
        <v>474</v>
      </c>
      <c r="G299" s="170" t="str">
        <f t="shared" si="2"/>
        <v>Ramsey&gt;Zara</v>
      </c>
    </row>
    <row r="300">
      <c r="A300" s="91">
        <v>2.0</v>
      </c>
      <c r="B300" s="91" t="s">
        <v>806</v>
      </c>
      <c r="C300" s="91"/>
      <c r="D300" s="171" t="str">
        <f t="shared" si="1"/>
        <v>Remzi Kitabevi</v>
      </c>
      <c r="F300" s="91" t="s">
        <v>399</v>
      </c>
      <c r="G300" s="170" t="str">
        <f t="shared" si="2"/>
        <v>Remzi Kitabevi&gt;Apple</v>
      </c>
    </row>
    <row r="301">
      <c r="A301" s="91">
        <v>2.0</v>
      </c>
      <c r="B301" s="91" t="s">
        <v>806</v>
      </c>
      <c r="C301" s="91"/>
      <c r="D301" s="171" t="str">
        <f t="shared" si="1"/>
        <v>Remzi Kitabevi</v>
      </c>
      <c r="F301" s="91" t="s">
        <v>1536</v>
      </c>
      <c r="G301" s="170" t="str">
        <f t="shared" si="2"/>
        <v>Remzi Kitabevi&gt;Macrocenter</v>
      </c>
    </row>
    <row r="302">
      <c r="A302" s="91">
        <v>2.0</v>
      </c>
      <c r="B302" s="91" t="s">
        <v>193</v>
      </c>
      <c r="C302" s="91"/>
      <c r="D302" s="171" t="str">
        <f t="shared" si="1"/>
        <v>Sephora</v>
      </c>
      <c r="F302" s="91" t="s">
        <v>267</v>
      </c>
      <c r="G302" s="170" t="str">
        <f t="shared" si="2"/>
        <v>Sephora&gt;H&amp;M</v>
      </c>
    </row>
    <row r="303">
      <c r="A303" s="91">
        <v>2.0</v>
      </c>
      <c r="B303" s="91" t="s">
        <v>193</v>
      </c>
      <c r="C303" s="91"/>
      <c r="D303" s="171" t="str">
        <f t="shared" si="1"/>
        <v>Sephora</v>
      </c>
      <c r="F303" s="91" t="s">
        <v>181</v>
      </c>
      <c r="G303" s="170" t="str">
        <f t="shared" si="2"/>
        <v>Sephora&gt;Starbucks</v>
      </c>
    </row>
    <row r="304">
      <c r="A304" s="91">
        <v>2.0</v>
      </c>
      <c r="B304" s="91" t="s">
        <v>533</v>
      </c>
      <c r="C304" s="91"/>
      <c r="D304" s="171" t="str">
        <f t="shared" si="1"/>
        <v>Sevil Parfümeri</v>
      </c>
      <c r="F304" s="91" t="s">
        <v>2249</v>
      </c>
      <c r="G304" s="170" t="str">
        <f t="shared" si="2"/>
        <v>Sevil Parfümeri&gt;KFC</v>
      </c>
    </row>
    <row r="305">
      <c r="A305" s="91">
        <v>2.0</v>
      </c>
      <c r="B305" s="91" t="s">
        <v>533</v>
      </c>
      <c r="C305" s="91"/>
      <c r="D305" s="171" t="str">
        <f t="shared" si="1"/>
        <v>Sevil Parfümeri</v>
      </c>
      <c r="F305" s="91" t="s">
        <v>1536</v>
      </c>
      <c r="G305" s="170" t="str">
        <f t="shared" si="2"/>
        <v>Sevil Parfümeri&gt;Macrocenter</v>
      </c>
    </row>
    <row r="306">
      <c r="A306" s="91">
        <v>2.0</v>
      </c>
      <c r="B306" s="91" t="s">
        <v>533</v>
      </c>
      <c r="C306" s="91"/>
      <c r="D306" s="171" t="str">
        <f t="shared" si="1"/>
        <v>Sevil Parfümeri</v>
      </c>
      <c r="F306" s="91" t="s">
        <v>1668</v>
      </c>
      <c r="G306" s="170" t="str">
        <f t="shared" si="2"/>
        <v>Sevil Parfümeri&gt;Zula</v>
      </c>
    </row>
    <row r="307">
      <c r="A307" s="91">
        <v>2.0</v>
      </c>
      <c r="B307" s="91" t="s">
        <v>173</v>
      </c>
      <c r="C307" s="91"/>
      <c r="D307" s="171" t="str">
        <f t="shared" si="1"/>
        <v>Skechers</v>
      </c>
      <c r="F307" s="91" t="s">
        <v>399</v>
      </c>
      <c r="G307" s="170" t="str">
        <f t="shared" si="2"/>
        <v>Skechers&gt;Apple</v>
      </c>
    </row>
    <row r="308">
      <c r="A308" s="91">
        <v>2.0</v>
      </c>
      <c r="B308" s="91" t="s">
        <v>173</v>
      </c>
      <c r="C308" s="91"/>
      <c r="D308" s="171" t="str">
        <f t="shared" si="1"/>
        <v>Skechers</v>
      </c>
      <c r="F308" s="91" t="s">
        <v>474</v>
      </c>
      <c r="G308" s="170" t="str">
        <f t="shared" si="2"/>
        <v>Skechers&gt;Zara</v>
      </c>
    </row>
    <row r="309">
      <c r="A309" s="91">
        <v>2.0</v>
      </c>
      <c r="B309" s="91" t="s">
        <v>1026</v>
      </c>
      <c r="C309" s="91"/>
      <c r="D309" s="171" t="str">
        <f t="shared" si="1"/>
        <v>Tod's</v>
      </c>
      <c r="F309" s="91" t="s">
        <v>474</v>
      </c>
      <c r="G309" s="170" t="str">
        <f t="shared" si="2"/>
        <v>Tod's&gt;Zara</v>
      </c>
    </row>
    <row r="310">
      <c r="A310" s="91">
        <v>2.0</v>
      </c>
      <c r="B310" s="91" t="s">
        <v>279</v>
      </c>
      <c r="C310" s="91"/>
      <c r="D310" s="171" t="str">
        <f t="shared" si="1"/>
        <v>Twist</v>
      </c>
      <c r="F310" s="91" t="s">
        <v>181</v>
      </c>
      <c r="G310" s="170" t="str">
        <f t="shared" si="2"/>
        <v>Twist&gt;Starbucks</v>
      </c>
    </row>
    <row r="311">
      <c r="A311" s="91">
        <v>2.0</v>
      </c>
      <c r="B311" s="91" t="s">
        <v>1009</v>
      </c>
      <c r="C311" s="91"/>
      <c r="D311" s="171" t="str">
        <f t="shared" si="1"/>
        <v>Welldone</v>
      </c>
      <c r="F311" s="91" t="s">
        <v>399</v>
      </c>
      <c r="G311" s="170" t="str">
        <f t="shared" si="2"/>
        <v>Welldone&gt;Apple</v>
      </c>
    </row>
    <row r="312">
      <c r="A312" s="91">
        <v>2.0</v>
      </c>
      <c r="B312" s="91" t="s">
        <v>823</v>
      </c>
      <c r="C312" s="91"/>
      <c r="D312" s="171" t="str">
        <f t="shared" si="1"/>
        <v>Yargıcı</v>
      </c>
      <c r="F312" s="91" t="s">
        <v>399</v>
      </c>
      <c r="G312" s="170" t="str">
        <f t="shared" si="2"/>
        <v>Yargıcı&gt;Apple</v>
      </c>
    </row>
    <row r="313">
      <c r="A313" s="91">
        <v>2.0</v>
      </c>
      <c r="B313" s="91" t="s">
        <v>823</v>
      </c>
      <c r="C313" s="91"/>
      <c r="D313" s="171" t="str">
        <f t="shared" si="1"/>
        <v>Yargıcı</v>
      </c>
      <c r="F313" s="91" t="s">
        <v>682</v>
      </c>
      <c r="G313" s="170" t="str">
        <f t="shared" si="2"/>
        <v>Yargıcı&gt;Beymen</v>
      </c>
    </row>
    <row r="314">
      <c r="A314" s="91">
        <v>2.0</v>
      </c>
      <c r="B314" s="91" t="s">
        <v>823</v>
      </c>
      <c r="C314" s="91"/>
      <c r="D314" s="171" t="str">
        <f t="shared" si="1"/>
        <v>Yargıcı</v>
      </c>
      <c r="F314" s="91" t="s">
        <v>1579</v>
      </c>
      <c r="G314" s="170" t="str">
        <f t="shared" si="2"/>
        <v>Yargıcı&gt;D&amp;R</v>
      </c>
    </row>
    <row r="315">
      <c r="A315" s="91">
        <v>2.0</v>
      </c>
      <c r="B315" s="91" t="s">
        <v>823</v>
      </c>
      <c r="C315" s="91"/>
      <c r="D315" s="171" t="str">
        <f t="shared" si="1"/>
        <v>Yargıcı</v>
      </c>
      <c r="F315" s="91" t="s">
        <v>315</v>
      </c>
      <c r="G315" s="170" t="str">
        <f t="shared" si="2"/>
        <v>Yargıcı&gt;Mango</v>
      </c>
    </row>
    <row r="316">
      <c r="A316" s="91">
        <v>2.0</v>
      </c>
      <c r="B316" s="91" t="s">
        <v>823</v>
      </c>
      <c r="C316" s="91"/>
      <c r="D316" s="171" t="str">
        <f t="shared" si="1"/>
        <v>Yargıcı</v>
      </c>
      <c r="F316" s="91" t="s">
        <v>216</v>
      </c>
      <c r="G316" s="170" t="str">
        <f t="shared" si="2"/>
        <v>Yargıcı&gt;Mavi</v>
      </c>
    </row>
    <row r="317">
      <c r="A317" s="91">
        <v>2.0</v>
      </c>
      <c r="B317" s="91" t="s">
        <v>823</v>
      </c>
      <c r="C317" s="91"/>
      <c r="D317" s="171" t="str">
        <f t="shared" si="1"/>
        <v>Yargıcı</v>
      </c>
      <c r="F317" s="91" t="s">
        <v>1076</v>
      </c>
      <c r="G317" s="170" t="str">
        <f t="shared" si="2"/>
        <v>Yargıcı&gt;SushiCo</v>
      </c>
    </row>
    <row r="318">
      <c r="A318" s="91">
        <v>2.0</v>
      </c>
      <c r="B318" s="91" t="s">
        <v>823</v>
      </c>
      <c r="C318" s="91"/>
      <c r="D318" s="171" t="str">
        <f t="shared" si="1"/>
        <v>Yargıcı</v>
      </c>
      <c r="F318" s="91" t="s">
        <v>1542</v>
      </c>
      <c r="G318" s="170" t="str">
        <f t="shared" si="2"/>
        <v>Yargıcı&gt;Vestel</v>
      </c>
    </row>
    <row r="319">
      <c r="A319" s="91">
        <v>2.0</v>
      </c>
      <c r="B319" s="91" t="s">
        <v>3848</v>
      </c>
      <c r="C319" s="91" t="s">
        <v>2712</v>
      </c>
      <c r="D319" s="171" t="str">
        <f t="shared" si="1"/>
        <v>QR-104</v>
      </c>
      <c r="F319" s="91" t="s">
        <v>399</v>
      </c>
      <c r="G319" s="170" t="str">
        <f t="shared" si="2"/>
        <v>QR-104&gt;Apple</v>
      </c>
    </row>
    <row r="320">
      <c r="A320" s="91">
        <v>2.0</v>
      </c>
      <c r="B320" s="91" t="s">
        <v>3848</v>
      </c>
      <c r="C320" s="91" t="s">
        <v>2712</v>
      </c>
      <c r="D320" s="171" t="str">
        <f t="shared" si="1"/>
        <v>QR-104</v>
      </c>
      <c r="F320" s="91" t="s">
        <v>1418</v>
      </c>
      <c r="G320" s="170" t="str">
        <f t="shared" si="2"/>
        <v>QR-104&gt;Bottega Veneta</v>
      </c>
    </row>
    <row r="321">
      <c r="A321" s="91">
        <v>2.0</v>
      </c>
      <c r="B321" s="91" t="s">
        <v>3848</v>
      </c>
      <c r="C321" s="91" t="s">
        <v>2712</v>
      </c>
      <c r="D321" s="171" t="str">
        <f t="shared" si="1"/>
        <v>QR-104</v>
      </c>
      <c r="F321" s="91" t="s">
        <v>1423</v>
      </c>
      <c r="G321" s="170" t="str">
        <f t="shared" si="2"/>
        <v>QR-104&gt;Chanel</v>
      </c>
    </row>
    <row r="322">
      <c r="A322" s="91">
        <v>2.0</v>
      </c>
      <c r="B322" s="91" t="s">
        <v>3848</v>
      </c>
      <c r="C322" s="91" t="s">
        <v>2712</v>
      </c>
      <c r="D322" s="171" t="str">
        <f t="shared" si="1"/>
        <v>QR-104</v>
      </c>
      <c r="F322" s="91" t="s">
        <v>3858</v>
      </c>
      <c r="G322" s="170" t="str">
        <f t="shared" si="2"/>
        <v>QR-104&gt;Information Desk</v>
      </c>
    </row>
    <row r="323">
      <c r="A323" s="91">
        <v>2.0</v>
      </c>
      <c r="B323" s="91" t="s">
        <v>3848</v>
      </c>
      <c r="C323" s="91" t="s">
        <v>2712</v>
      </c>
      <c r="D323" s="171" t="str">
        <f t="shared" si="1"/>
        <v>QR-104</v>
      </c>
      <c r="F323" s="91" t="s">
        <v>368</v>
      </c>
      <c r="G323" s="170" t="str">
        <f t="shared" si="2"/>
        <v>QR-104&gt;Levi's</v>
      </c>
    </row>
    <row r="324">
      <c r="A324" s="91">
        <v>2.0</v>
      </c>
      <c r="B324" s="91" t="s">
        <v>3848</v>
      </c>
      <c r="C324" s="91" t="s">
        <v>2712</v>
      </c>
      <c r="D324" s="171" t="str">
        <f t="shared" si="1"/>
        <v>QR-104</v>
      </c>
      <c r="F324" s="91" t="s">
        <v>1278</v>
      </c>
      <c r="G324" s="170" t="str">
        <f t="shared" si="2"/>
        <v>QR-104&gt;Louis Vuitton</v>
      </c>
    </row>
    <row r="325">
      <c r="A325" s="91">
        <v>2.0</v>
      </c>
      <c r="B325" s="91" t="s">
        <v>3848</v>
      </c>
      <c r="C325" s="91" t="s">
        <v>2712</v>
      </c>
      <c r="D325" s="171" t="str">
        <f t="shared" si="1"/>
        <v>QR-104</v>
      </c>
      <c r="F325" s="91" t="s">
        <v>2427</v>
      </c>
      <c r="G325" s="170" t="str">
        <f t="shared" si="2"/>
        <v>QR-104&gt;MAC Mars Athletic Club</v>
      </c>
    </row>
    <row r="326">
      <c r="A326" s="91">
        <v>2.0</v>
      </c>
      <c r="B326" s="91" t="s">
        <v>3848</v>
      </c>
      <c r="C326" s="91" t="s">
        <v>2712</v>
      </c>
      <c r="D326" s="171" t="str">
        <f t="shared" si="1"/>
        <v>QR-104</v>
      </c>
      <c r="F326" s="91" t="s">
        <v>315</v>
      </c>
      <c r="G326" s="170" t="str">
        <f t="shared" si="2"/>
        <v>QR-104&gt;Mango</v>
      </c>
    </row>
    <row r="327">
      <c r="A327" s="91">
        <v>2.0</v>
      </c>
      <c r="B327" s="91" t="s">
        <v>3848</v>
      </c>
      <c r="C327" s="91" t="s">
        <v>2712</v>
      </c>
      <c r="D327" s="171" t="str">
        <f t="shared" si="1"/>
        <v>QR-104</v>
      </c>
      <c r="F327" s="91" t="s">
        <v>3859</v>
      </c>
      <c r="G327" s="170" t="str">
        <f t="shared" si="2"/>
        <v>QR-104&gt;Metro&lt;br&gt;Metrobus</v>
      </c>
    </row>
    <row r="328">
      <c r="A328" s="91">
        <v>2.0</v>
      </c>
      <c r="B328" s="91" t="s">
        <v>3848</v>
      </c>
      <c r="C328" s="91" t="s">
        <v>2712</v>
      </c>
      <c r="D328" s="171" t="str">
        <f t="shared" si="1"/>
        <v>QR-104</v>
      </c>
      <c r="F328" s="91" t="s">
        <v>3783</v>
      </c>
      <c r="G328" s="170" t="str">
        <f t="shared" si="2"/>
        <v>QR-104&gt;PSM</v>
      </c>
    </row>
    <row r="329">
      <c r="A329" s="91">
        <v>2.0</v>
      </c>
      <c r="B329" s="91" t="s">
        <v>3848</v>
      </c>
      <c r="C329" s="91" t="s">
        <v>2712</v>
      </c>
      <c r="D329" s="171" t="str">
        <f t="shared" si="1"/>
        <v>QR-104</v>
      </c>
      <c r="F329" s="91" t="s">
        <v>658</v>
      </c>
      <c r="G329" s="170" t="str">
        <f t="shared" si="2"/>
        <v>QR-104&gt;Pandora</v>
      </c>
    </row>
    <row r="330">
      <c r="A330" s="91">
        <v>2.0</v>
      </c>
      <c r="B330" s="91" t="s">
        <v>3848</v>
      </c>
      <c r="C330" s="91" t="s">
        <v>2712</v>
      </c>
      <c r="D330" s="171" t="str">
        <f t="shared" si="1"/>
        <v>QR-104</v>
      </c>
      <c r="F330" s="91" t="s">
        <v>3854</v>
      </c>
      <c r="G330" s="170" t="str">
        <f t="shared" si="2"/>
        <v>QR-104&gt;Pharmacy</v>
      </c>
    </row>
    <row r="331">
      <c r="A331" s="91">
        <v>2.0</v>
      </c>
      <c r="B331" s="91" t="s">
        <v>3848</v>
      </c>
      <c r="C331" s="91" t="s">
        <v>2712</v>
      </c>
      <c r="D331" s="171" t="str">
        <f t="shared" si="1"/>
        <v>QR-104</v>
      </c>
      <c r="F331" s="91" t="s">
        <v>2834</v>
      </c>
      <c r="G331" s="170" t="str">
        <f t="shared" si="2"/>
        <v>QR-104&gt;Pharmacy Zorlu Center</v>
      </c>
    </row>
    <row r="332">
      <c r="A332" s="91">
        <v>2.0</v>
      </c>
      <c r="B332" s="91" t="s">
        <v>3848</v>
      </c>
      <c r="C332" s="91" t="s">
        <v>2712</v>
      </c>
      <c r="D332" s="171" t="str">
        <f t="shared" si="1"/>
        <v>QR-104</v>
      </c>
      <c r="F332" s="91" t="s">
        <v>1345</v>
      </c>
      <c r="G332" s="170" t="str">
        <f t="shared" si="2"/>
        <v>QR-104&gt;Raffles Istanbul</v>
      </c>
    </row>
    <row r="333">
      <c r="A333" s="91">
        <v>2.0</v>
      </c>
      <c r="B333" s="91" t="s">
        <v>3848</v>
      </c>
      <c r="C333" s="91" t="s">
        <v>2712</v>
      </c>
      <c r="D333" s="171" t="str">
        <f t="shared" si="1"/>
        <v>QR-104</v>
      </c>
      <c r="F333" s="91" t="s">
        <v>806</v>
      </c>
      <c r="G333" s="170" t="str">
        <f t="shared" si="2"/>
        <v>QR-104&gt;Remzi Kitabevi</v>
      </c>
    </row>
    <row r="334">
      <c r="A334" s="91">
        <v>2.0</v>
      </c>
      <c r="B334" s="91" t="s">
        <v>3848</v>
      </c>
      <c r="C334" s="91" t="s">
        <v>2724</v>
      </c>
      <c r="D334" s="171" t="str">
        <f t="shared" si="1"/>
        <v>QR-108</v>
      </c>
      <c r="F334" s="91" t="s">
        <v>474</v>
      </c>
      <c r="G334" s="170" t="str">
        <f t="shared" si="2"/>
        <v>QR-108&gt;Zara</v>
      </c>
    </row>
    <row r="335">
      <c r="A335" s="91">
        <v>2.0</v>
      </c>
      <c r="B335" s="91" t="s">
        <v>3848</v>
      </c>
      <c r="C335" s="91" t="s">
        <v>2736</v>
      </c>
      <c r="D335" s="171" t="str">
        <f t="shared" si="1"/>
        <v>QR-112</v>
      </c>
      <c r="F335" s="91" t="s">
        <v>1423</v>
      </c>
      <c r="G335" s="170" t="str">
        <f t="shared" si="2"/>
        <v>QR-112&gt;Chanel</v>
      </c>
    </row>
    <row r="336">
      <c r="A336" s="91">
        <v>2.0</v>
      </c>
      <c r="B336" s="91" t="s">
        <v>3848</v>
      </c>
      <c r="C336" s="91" t="s">
        <v>2736</v>
      </c>
      <c r="D336" s="171" t="str">
        <f t="shared" si="1"/>
        <v>QR-112</v>
      </c>
      <c r="F336" s="91" t="s">
        <v>543</v>
      </c>
      <c r="G336" s="170" t="str">
        <f t="shared" si="2"/>
        <v>QR-112&gt;Divarese</v>
      </c>
    </row>
    <row r="337">
      <c r="A337" s="91">
        <v>2.0</v>
      </c>
      <c r="B337" s="91" t="s">
        <v>3848</v>
      </c>
      <c r="C337" s="91" t="s">
        <v>2736</v>
      </c>
      <c r="D337" s="171" t="str">
        <f t="shared" si="1"/>
        <v>QR-112</v>
      </c>
      <c r="F337" s="91" t="s">
        <v>1573</v>
      </c>
      <c r="G337" s="170" t="str">
        <f t="shared" si="2"/>
        <v>QR-112&gt;English Home</v>
      </c>
    </row>
    <row r="338">
      <c r="A338" s="91">
        <v>2.0</v>
      </c>
      <c r="B338" s="91" t="s">
        <v>3848</v>
      </c>
      <c r="C338" s="91" t="s">
        <v>2736</v>
      </c>
      <c r="D338" s="171" t="str">
        <f t="shared" si="1"/>
        <v>QR-112</v>
      </c>
      <c r="F338" s="91" t="s">
        <v>1337</v>
      </c>
      <c r="G338" s="170" t="str">
        <f t="shared" si="2"/>
        <v>QR-112&gt;Godiva</v>
      </c>
    </row>
    <row r="339">
      <c r="A339" s="91">
        <v>2.0</v>
      </c>
      <c r="B339" s="91" t="s">
        <v>3848</v>
      </c>
      <c r="C339" s="91" t="s">
        <v>2736</v>
      </c>
      <c r="D339" s="171" t="str">
        <f t="shared" si="1"/>
        <v>QR-112</v>
      </c>
      <c r="F339" s="91" t="s">
        <v>630</v>
      </c>
      <c r="G339" s="170" t="str">
        <f t="shared" si="2"/>
        <v>QR-112&gt;McDonald's</v>
      </c>
    </row>
    <row r="340">
      <c r="A340" s="91">
        <v>2.0</v>
      </c>
      <c r="B340" s="91" t="s">
        <v>3848</v>
      </c>
      <c r="C340" s="91" t="s">
        <v>2736</v>
      </c>
      <c r="D340" s="171" t="str">
        <f t="shared" si="1"/>
        <v>QR-112</v>
      </c>
      <c r="F340" s="91" t="s">
        <v>3851</v>
      </c>
      <c r="G340" s="170" t="str">
        <f t="shared" si="2"/>
        <v>QR-112&gt;Park Area</v>
      </c>
    </row>
    <row r="341">
      <c r="A341" s="91">
        <v>2.0</v>
      </c>
      <c r="B341" s="91" t="s">
        <v>3848</v>
      </c>
      <c r="C341" s="91" t="s">
        <v>2736</v>
      </c>
      <c r="D341" s="171" t="str">
        <f t="shared" si="1"/>
        <v>QR-112</v>
      </c>
      <c r="F341" s="91" t="s">
        <v>1020</v>
      </c>
      <c r="G341" s="170" t="str">
        <f t="shared" si="2"/>
        <v>QR-112&gt;Vakko</v>
      </c>
    </row>
    <row r="342">
      <c r="A342" s="91">
        <v>2.0</v>
      </c>
      <c r="B342" s="91" t="s">
        <v>3848</v>
      </c>
      <c r="C342" s="91" t="s">
        <v>2736</v>
      </c>
      <c r="D342" s="171" t="str">
        <f t="shared" si="1"/>
        <v>QR-112</v>
      </c>
      <c r="F342" s="91" t="s">
        <v>1668</v>
      </c>
      <c r="G342" s="170" t="str">
        <f t="shared" si="2"/>
        <v>QR-112&gt;Zula</v>
      </c>
    </row>
    <row r="343">
      <c r="A343" s="91">
        <v>2.0</v>
      </c>
      <c r="B343" s="91" t="s">
        <v>3848</v>
      </c>
      <c r="C343" s="91" t="s">
        <v>2745</v>
      </c>
      <c r="D343" s="171" t="str">
        <f t="shared" si="1"/>
        <v>QR-203</v>
      </c>
      <c r="F343" s="91" t="s">
        <v>549</v>
      </c>
      <c r="G343" s="170" t="str">
        <f t="shared" si="2"/>
        <v>QR-203&gt;Caffe Nero</v>
      </c>
    </row>
    <row r="344">
      <c r="A344" s="91">
        <v>2.0</v>
      </c>
      <c r="B344" s="91" t="s">
        <v>3848</v>
      </c>
      <c r="C344" s="91" t="s">
        <v>2745</v>
      </c>
      <c r="D344" s="171" t="str">
        <f t="shared" si="1"/>
        <v>QR-203</v>
      </c>
      <c r="F344" s="91" t="s">
        <v>699</v>
      </c>
      <c r="G344" s="170" t="str">
        <f t="shared" si="2"/>
        <v>QR-203&gt;Cup of Joy</v>
      </c>
    </row>
    <row r="345">
      <c r="A345" s="91">
        <v>2.0</v>
      </c>
      <c r="B345" s="91" t="s">
        <v>3848</v>
      </c>
      <c r="C345" s="91" t="s">
        <v>2745</v>
      </c>
      <c r="D345" s="171" t="str">
        <f t="shared" si="1"/>
        <v>QR-203</v>
      </c>
      <c r="F345" s="91" t="s">
        <v>1626</v>
      </c>
      <c r="G345" s="170" t="str">
        <f t="shared" si="2"/>
        <v>QR-203&gt;Funloft</v>
      </c>
    </row>
    <row r="346">
      <c r="A346" s="91">
        <v>2.0</v>
      </c>
      <c r="B346" s="91" t="s">
        <v>3848</v>
      </c>
      <c r="C346" s="91" t="s">
        <v>2745</v>
      </c>
      <c r="D346" s="171" t="str">
        <f t="shared" si="1"/>
        <v>QR-203</v>
      </c>
      <c r="F346" s="91" t="s">
        <v>267</v>
      </c>
      <c r="G346" s="170" t="str">
        <f t="shared" si="2"/>
        <v>QR-203&gt;H&amp;M</v>
      </c>
    </row>
    <row r="347">
      <c r="A347" s="91">
        <v>2.0</v>
      </c>
      <c r="B347" s="91" t="s">
        <v>3848</v>
      </c>
      <c r="C347" s="91" t="s">
        <v>2745</v>
      </c>
      <c r="D347" s="171" t="str">
        <f t="shared" si="1"/>
        <v>QR-203</v>
      </c>
      <c r="F347" s="91" t="s">
        <v>1278</v>
      </c>
      <c r="G347" s="170" t="str">
        <f t="shared" si="2"/>
        <v>QR-203&gt;Louis Vuitton</v>
      </c>
    </row>
    <row r="348">
      <c r="A348" s="91">
        <v>2.0</v>
      </c>
      <c r="B348" s="91" t="s">
        <v>3848</v>
      </c>
      <c r="C348" s="91" t="s">
        <v>2745</v>
      </c>
      <c r="D348" s="171" t="str">
        <f t="shared" si="1"/>
        <v>QR-203</v>
      </c>
      <c r="F348" s="91" t="s">
        <v>94</v>
      </c>
      <c r="G348" s="170" t="str">
        <f t="shared" si="2"/>
        <v>QR-203&gt;MediaMarkt</v>
      </c>
    </row>
    <row r="349">
      <c r="A349" s="91">
        <v>2.0</v>
      </c>
      <c r="B349" s="91" t="s">
        <v>3848</v>
      </c>
      <c r="C349" s="91" t="s">
        <v>2745</v>
      </c>
      <c r="D349" s="171" t="str">
        <f t="shared" si="1"/>
        <v>QR-203</v>
      </c>
      <c r="F349" s="91" t="s">
        <v>3854</v>
      </c>
      <c r="G349" s="170" t="str">
        <f t="shared" si="2"/>
        <v>QR-203&gt;Pharmacy</v>
      </c>
    </row>
    <row r="350">
      <c r="A350" s="91">
        <v>2.0</v>
      </c>
      <c r="B350" s="91" t="s">
        <v>3848</v>
      </c>
      <c r="C350" s="91" t="s">
        <v>2745</v>
      </c>
      <c r="D350" s="171" t="str">
        <f t="shared" si="1"/>
        <v>QR-203</v>
      </c>
      <c r="F350" s="91" t="s">
        <v>2834</v>
      </c>
      <c r="G350" s="170" t="str">
        <f t="shared" si="2"/>
        <v>QR-203&gt;Pharmacy Zorlu Center</v>
      </c>
    </row>
    <row r="351">
      <c r="A351" s="91">
        <v>2.0</v>
      </c>
      <c r="B351" s="91" t="s">
        <v>3848</v>
      </c>
      <c r="C351" s="91" t="s">
        <v>2745</v>
      </c>
      <c r="D351" s="171" t="str">
        <f t="shared" si="1"/>
        <v>QR-203</v>
      </c>
      <c r="F351" s="91" t="s">
        <v>3849</v>
      </c>
      <c r="G351" s="170" t="str">
        <f t="shared" si="2"/>
        <v>QR-203&gt;Prayer Room</v>
      </c>
    </row>
    <row r="352">
      <c r="A352" s="91">
        <v>2.0</v>
      </c>
      <c r="B352" s="91" t="s">
        <v>3848</v>
      </c>
      <c r="C352" s="91" t="s">
        <v>2745</v>
      </c>
      <c r="D352" s="171" t="str">
        <f t="shared" si="1"/>
        <v>QR-203</v>
      </c>
      <c r="F352" s="91" t="s">
        <v>1165</v>
      </c>
      <c r="G352" s="170" t="str">
        <f t="shared" si="2"/>
        <v>QR-203&gt;Tiffany &amp; Co.</v>
      </c>
    </row>
    <row r="353">
      <c r="A353" s="91">
        <v>2.0</v>
      </c>
      <c r="B353" s="91" t="s">
        <v>3848</v>
      </c>
      <c r="C353" s="91" t="s">
        <v>2745</v>
      </c>
      <c r="D353" s="171" t="str">
        <f t="shared" si="1"/>
        <v>QR-203</v>
      </c>
      <c r="F353" s="91" t="s">
        <v>1020</v>
      </c>
      <c r="G353" s="170" t="str">
        <f t="shared" si="2"/>
        <v>QR-203&gt;Vakko</v>
      </c>
    </row>
    <row r="354">
      <c r="A354" s="91">
        <v>2.0</v>
      </c>
      <c r="B354" s="91" t="s">
        <v>3848</v>
      </c>
      <c r="C354" s="91" t="s">
        <v>2757</v>
      </c>
      <c r="D354" s="171" t="str">
        <f t="shared" si="1"/>
        <v>QR-301</v>
      </c>
      <c r="F354" s="91" t="s">
        <v>3335</v>
      </c>
      <c r="G354" s="170" t="str">
        <f t="shared" si="2"/>
        <v>QR-301&gt;ARN Game</v>
      </c>
    </row>
    <row r="355">
      <c r="A355" s="91">
        <v>2.0</v>
      </c>
      <c r="B355" s="91" t="s">
        <v>3848</v>
      </c>
      <c r="C355" s="91" t="s">
        <v>2757</v>
      </c>
      <c r="D355" s="171" t="str">
        <f t="shared" si="1"/>
        <v>QR-301</v>
      </c>
      <c r="F355" s="91" t="s">
        <v>399</v>
      </c>
      <c r="G355" s="170" t="str">
        <f t="shared" si="2"/>
        <v>QR-301&gt;Apple</v>
      </c>
    </row>
    <row r="356">
      <c r="A356" s="91">
        <v>2.0</v>
      </c>
      <c r="B356" s="91" t="s">
        <v>3848</v>
      </c>
      <c r="C356" s="91" t="s">
        <v>2757</v>
      </c>
      <c r="D356" s="171" t="str">
        <f t="shared" si="1"/>
        <v>QR-301</v>
      </c>
      <c r="F356" s="91" t="s">
        <v>3852</v>
      </c>
      <c r="G356" s="170" t="str">
        <f t="shared" si="2"/>
        <v>QR-301&gt;WC</v>
      </c>
    </row>
    <row r="357">
      <c r="A357" s="91">
        <v>2.0</v>
      </c>
      <c r="B357" s="91" t="s">
        <v>3848</v>
      </c>
      <c r="C357" s="91" t="s">
        <v>2760</v>
      </c>
      <c r="D357" s="171" t="str">
        <f t="shared" si="1"/>
        <v>QR-302</v>
      </c>
      <c r="F357" s="91" t="s">
        <v>2108</v>
      </c>
      <c r="G357" s="170" t="str">
        <f t="shared" si="2"/>
        <v>QR-302&gt;Riceteria</v>
      </c>
    </row>
    <row r="358">
      <c r="A358" s="91">
        <v>2.0</v>
      </c>
      <c r="B358" s="91" t="s">
        <v>3848</v>
      </c>
      <c r="C358" s="91" t="s">
        <v>2760</v>
      </c>
      <c r="D358" s="171" t="str">
        <f t="shared" si="1"/>
        <v>QR-302</v>
      </c>
      <c r="F358" s="91" t="s">
        <v>1009</v>
      </c>
      <c r="G358" s="170" t="str">
        <f t="shared" si="2"/>
        <v>QR-302&gt;Welldone</v>
      </c>
    </row>
    <row r="359">
      <c r="A359" s="91">
        <v>2.0</v>
      </c>
      <c r="B359" s="91" t="s">
        <v>3848</v>
      </c>
      <c r="C359" s="91" t="s">
        <v>2679</v>
      </c>
      <c r="D359" s="171" t="str">
        <f t="shared" si="1"/>
        <v>QR004</v>
      </c>
      <c r="F359" s="91" t="s">
        <v>3852</v>
      </c>
      <c r="G359" s="170" t="str">
        <f t="shared" si="2"/>
        <v>QR004&gt;WC</v>
      </c>
    </row>
    <row r="360">
      <c r="A360" s="91">
        <v>2.0</v>
      </c>
      <c r="B360" s="91" t="s">
        <v>3848</v>
      </c>
      <c r="C360" s="91" t="s">
        <v>2682</v>
      </c>
      <c r="D360" s="171" t="str">
        <f t="shared" si="1"/>
        <v>QR005</v>
      </c>
      <c r="F360" s="91" t="s">
        <v>94</v>
      </c>
      <c r="G360" s="170" t="str">
        <f t="shared" si="2"/>
        <v>QR005&gt;MediaMarkt</v>
      </c>
    </row>
    <row r="361">
      <c r="A361" s="91">
        <v>2.0</v>
      </c>
      <c r="B361" s="91" t="s">
        <v>3848</v>
      </c>
      <c r="C361" s="91" t="s">
        <v>2685</v>
      </c>
      <c r="D361" s="171" t="str">
        <f t="shared" si="1"/>
        <v>QR006</v>
      </c>
      <c r="F361" s="91" t="s">
        <v>205</v>
      </c>
      <c r="G361" s="170" t="str">
        <f t="shared" si="2"/>
        <v>QR006&gt;Adidas</v>
      </c>
    </row>
    <row r="362">
      <c r="A362" s="91">
        <v>2.0</v>
      </c>
      <c r="B362" s="91" t="s">
        <v>3848</v>
      </c>
      <c r="C362" s="91" t="s">
        <v>2685</v>
      </c>
      <c r="D362" s="171" t="str">
        <f t="shared" si="1"/>
        <v>QR006</v>
      </c>
      <c r="F362" s="91" t="s">
        <v>3035</v>
      </c>
      <c r="G362" s="170" t="str">
        <f t="shared" si="2"/>
        <v>QR006&gt;Exchange Zor</v>
      </c>
    </row>
    <row r="363">
      <c r="A363" s="91">
        <v>2.0</v>
      </c>
      <c r="B363" s="91" t="s">
        <v>3848</v>
      </c>
      <c r="C363" s="91" t="s">
        <v>2685</v>
      </c>
      <c r="D363" s="171" t="str">
        <f t="shared" si="1"/>
        <v>QR006</v>
      </c>
      <c r="F363" s="91" t="s">
        <v>267</v>
      </c>
      <c r="G363" s="170" t="str">
        <f t="shared" si="2"/>
        <v>QR006&gt;H&amp;M</v>
      </c>
    </row>
    <row r="364">
      <c r="A364" s="91">
        <v>2.0</v>
      </c>
      <c r="B364" s="91" t="s">
        <v>3848</v>
      </c>
      <c r="C364" s="91" t="s">
        <v>2685</v>
      </c>
      <c r="D364" s="171" t="str">
        <f t="shared" si="1"/>
        <v>QR006</v>
      </c>
      <c r="F364" s="91" t="s">
        <v>368</v>
      </c>
      <c r="G364" s="170" t="str">
        <f t="shared" si="2"/>
        <v>QR006&gt;Levi's</v>
      </c>
    </row>
    <row r="365">
      <c r="A365" s="91">
        <v>2.0</v>
      </c>
      <c r="B365" s="91" t="s">
        <v>3848</v>
      </c>
      <c r="C365" s="91" t="s">
        <v>2685</v>
      </c>
      <c r="D365" s="171" t="str">
        <f t="shared" si="1"/>
        <v>QR006</v>
      </c>
      <c r="F365" s="91" t="s">
        <v>630</v>
      </c>
      <c r="G365" s="170" t="str">
        <f t="shared" si="2"/>
        <v>QR006&gt;McDonald's</v>
      </c>
    </row>
    <row r="366">
      <c r="A366" s="91">
        <v>2.0</v>
      </c>
      <c r="B366" s="91" t="s">
        <v>3848</v>
      </c>
      <c r="C366" s="91" t="s">
        <v>2685</v>
      </c>
      <c r="D366" s="171" t="str">
        <f t="shared" si="1"/>
        <v>QR006</v>
      </c>
      <c r="F366" s="91" t="s">
        <v>3851</v>
      </c>
      <c r="G366" s="170" t="str">
        <f t="shared" si="2"/>
        <v>QR006&gt;Park Area</v>
      </c>
    </row>
    <row r="367">
      <c r="A367" s="91">
        <v>2.0</v>
      </c>
      <c r="B367" s="91" t="s">
        <v>3848</v>
      </c>
      <c r="C367" s="91" t="s">
        <v>2685</v>
      </c>
      <c r="D367" s="171" t="str">
        <f t="shared" si="1"/>
        <v>QR006</v>
      </c>
      <c r="F367" s="91" t="s">
        <v>2325</v>
      </c>
      <c r="G367" s="170" t="str">
        <f t="shared" si="2"/>
        <v>QR006&gt;Superstep</v>
      </c>
    </row>
    <row r="368">
      <c r="A368" s="91">
        <v>2.0</v>
      </c>
      <c r="B368" s="91" t="s">
        <v>3848</v>
      </c>
      <c r="C368" s="91" t="s">
        <v>2685</v>
      </c>
      <c r="D368" s="171" t="str">
        <f t="shared" si="1"/>
        <v>QR006</v>
      </c>
      <c r="F368" s="91" t="s">
        <v>2914</v>
      </c>
      <c r="G368" s="170" t="str">
        <f t="shared" si="2"/>
        <v>QR006&gt;Zor Exchange</v>
      </c>
    </row>
    <row r="369">
      <c r="A369" s="91">
        <v>2.0</v>
      </c>
      <c r="B369" s="91" t="s">
        <v>303</v>
      </c>
      <c r="C369" s="91"/>
      <c r="D369" s="171" t="str">
        <f t="shared" si="1"/>
        <v>Yves Rocher</v>
      </c>
      <c r="F369" s="91" t="s">
        <v>1603</v>
      </c>
      <c r="G369" s="170" t="str">
        <f t="shared" si="2"/>
        <v>Yves Rocher&gt;Eataly</v>
      </c>
    </row>
    <row r="370">
      <c r="A370" s="91">
        <v>2.0</v>
      </c>
      <c r="B370" s="91" t="s">
        <v>474</v>
      </c>
      <c r="C370" s="91"/>
      <c r="D370" s="171" t="str">
        <f t="shared" si="1"/>
        <v>Zara</v>
      </c>
      <c r="F370" s="91" t="s">
        <v>2804</v>
      </c>
      <c r="G370" s="170" t="str">
        <f t="shared" si="2"/>
        <v>Zara&gt;Garanti BBVA (ATM)</v>
      </c>
    </row>
    <row r="371">
      <c r="A371" s="91">
        <v>2.0</v>
      </c>
      <c r="B371" s="91" t="s">
        <v>474</v>
      </c>
      <c r="C371" s="91"/>
      <c r="D371" s="171" t="str">
        <f t="shared" si="1"/>
        <v>Zara</v>
      </c>
      <c r="F371" s="91" t="s">
        <v>771</v>
      </c>
      <c r="G371" s="170" t="str">
        <f t="shared" si="2"/>
        <v>Zara&gt;Lacoste</v>
      </c>
    </row>
    <row r="372">
      <c r="A372" s="91">
        <v>2.0</v>
      </c>
      <c r="B372" s="91" t="s">
        <v>474</v>
      </c>
      <c r="C372" s="91"/>
      <c r="D372" s="171" t="str">
        <f t="shared" si="1"/>
        <v>Zara</v>
      </c>
      <c r="F372" s="91" t="s">
        <v>1554</v>
      </c>
      <c r="G372" s="170" t="str">
        <f t="shared" si="2"/>
        <v>Zara&gt;Paşabahçe Mağazaları</v>
      </c>
    </row>
    <row r="373">
      <c r="A373" s="91">
        <v>2.0</v>
      </c>
      <c r="B373" s="91" t="s">
        <v>474</v>
      </c>
      <c r="C373" s="91"/>
      <c r="D373" s="171" t="str">
        <f t="shared" si="1"/>
        <v>Zara</v>
      </c>
      <c r="F373" s="91" t="s">
        <v>491</v>
      </c>
      <c r="G373" s="170" t="str">
        <f t="shared" si="2"/>
        <v>Zara&gt;Turkcell</v>
      </c>
    </row>
    <row r="374">
      <c r="A374" s="91">
        <v>2.0</v>
      </c>
      <c r="B374" s="91" t="s">
        <v>474</v>
      </c>
      <c r="C374" s="91"/>
      <c r="D374" s="171" t="str">
        <f t="shared" si="1"/>
        <v>Zara</v>
      </c>
      <c r="F374" s="91" t="s">
        <v>871</v>
      </c>
      <c r="G374" s="170" t="str">
        <f t="shared" si="2"/>
        <v>Zara&gt;Zara Home</v>
      </c>
    </row>
    <row r="375">
      <c r="A375" s="91">
        <v>2.0</v>
      </c>
      <c r="B375" s="91" t="s">
        <v>1668</v>
      </c>
      <c r="C375" s="91"/>
      <c r="D375" s="171" t="str">
        <f t="shared" si="1"/>
        <v>Zula</v>
      </c>
      <c r="F375" s="91" t="s">
        <v>3783</v>
      </c>
      <c r="G375" s="170" t="str">
        <f t="shared" si="2"/>
        <v>Zula&gt;PSM</v>
      </c>
    </row>
    <row r="376">
      <c r="A376" s="91">
        <v>2.0</v>
      </c>
      <c r="B376" s="91" t="s">
        <v>1668</v>
      </c>
      <c r="C376" s="91"/>
      <c r="D376" s="171" t="str">
        <f t="shared" si="1"/>
        <v>Zula</v>
      </c>
      <c r="F376" s="91" t="s">
        <v>1668</v>
      </c>
      <c r="G376" s="170" t="str">
        <f t="shared" si="2"/>
        <v>Zula&gt;Zula</v>
      </c>
    </row>
    <row r="377">
      <c r="A377" s="91">
        <v>2.0</v>
      </c>
      <c r="B377" s="91" t="s">
        <v>1585</v>
      </c>
      <c r="C377" s="91"/>
      <c r="D377" s="171" t="str">
        <f t="shared" si="1"/>
        <v>Any</v>
      </c>
      <c r="F377" s="91" t="s">
        <v>1009</v>
      </c>
      <c r="G377" s="170" t="str">
        <f t="shared" si="2"/>
        <v>Any&gt;Welldone</v>
      </c>
    </row>
    <row r="378">
      <c r="A378" s="91">
        <v>2.0</v>
      </c>
      <c r="B378" s="91" t="s">
        <v>3850</v>
      </c>
      <c r="C378" s="91"/>
      <c r="D378" s="171" t="str">
        <f t="shared" si="1"/>
        <v>Beymen(Tommy Hilfiger yanı)</v>
      </c>
      <c r="F378" s="91" t="s">
        <v>1536</v>
      </c>
      <c r="G378" s="170" t="str">
        <f t="shared" si="2"/>
        <v>Beymen(Tommy Hilfiger yanı)&gt;Macrocenter</v>
      </c>
    </row>
    <row r="379">
      <c r="A379" s="91">
        <v>2.0</v>
      </c>
      <c r="B379" s="91" t="s">
        <v>1059</v>
      </c>
      <c r="C379" s="91"/>
      <c r="D379" s="171" t="str">
        <f t="shared" si="1"/>
        <v>BigChefs</v>
      </c>
      <c r="F379" s="91" t="s">
        <v>1597</v>
      </c>
      <c r="G379" s="170" t="str">
        <f t="shared" si="2"/>
        <v>BigChefs&gt;Harman Kardon</v>
      </c>
    </row>
    <row r="380">
      <c r="A380" s="91">
        <v>2.0</v>
      </c>
      <c r="B380" s="91" t="s">
        <v>652</v>
      </c>
      <c r="C380" s="91"/>
      <c r="D380" s="171" t="str">
        <f t="shared" si="1"/>
        <v>Bobbi Brown</v>
      </c>
      <c r="F380" s="91" t="s">
        <v>1548</v>
      </c>
      <c r="G380" s="170" t="str">
        <f t="shared" si="2"/>
        <v>Bobbi Brown&gt;Toyzz Shop</v>
      </c>
    </row>
    <row r="381">
      <c r="A381" s="91">
        <v>2.0</v>
      </c>
      <c r="B381" s="91" t="s">
        <v>1100</v>
      </c>
      <c r="C381" s="91"/>
      <c r="D381" s="171" t="str">
        <f t="shared" si="1"/>
        <v>Burberry</v>
      </c>
      <c r="F381" s="91" t="s">
        <v>1337</v>
      </c>
      <c r="G381" s="170" t="str">
        <f t="shared" si="2"/>
        <v>Burberry&gt;Godiva</v>
      </c>
    </row>
    <row r="382">
      <c r="A382" s="91">
        <v>2.0</v>
      </c>
      <c r="B382" s="91" t="s">
        <v>1100</v>
      </c>
      <c r="C382" s="91"/>
      <c r="D382" s="171" t="str">
        <f t="shared" si="1"/>
        <v>Burberry</v>
      </c>
      <c r="F382" s="91" t="s">
        <v>3860</v>
      </c>
      <c r="G382" s="170" t="str">
        <f t="shared" si="2"/>
        <v>Burberry&gt;Raffles İstanbul</v>
      </c>
    </row>
    <row r="383">
      <c r="A383" s="91">
        <v>2.0</v>
      </c>
      <c r="B383" s="91" t="s">
        <v>777</v>
      </c>
      <c r="C383" s="91"/>
      <c r="D383" s="171" t="str">
        <f t="shared" si="1"/>
        <v>COS</v>
      </c>
      <c r="F383" s="91" t="s">
        <v>1673</v>
      </c>
      <c r="G383" s="170" t="str">
        <f t="shared" si="2"/>
        <v>COS&gt;JBL</v>
      </c>
    </row>
    <row r="384">
      <c r="A384" s="91">
        <v>2.0</v>
      </c>
      <c r="B384" s="91" t="s">
        <v>777</v>
      </c>
      <c r="C384" s="91"/>
      <c r="D384" s="171" t="str">
        <f t="shared" si="1"/>
        <v>COS</v>
      </c>
      <c r="F384" s="91" t="s">
        <v>3594</v>
      </c>
      <c r="G384" s="170" t="str">
        <f t="shared" si="2"/>
        <v>COS&gt;Tiffany</v>
      </c>
    </row>
    <row r="385">
      <c r="A385" s="91">
        <v>2.0</v>
      </c>
      <c r="B385" s="91" t="s">
        <v>549</v>
      </c>
      <c r="C385" s="91"/>
      <c r="D385" s="171" t="str">
        <f t="shared" si="1"/>
        <v>Caffe Nero</v>
      </c>
      <c r="F385" s="91" t="s">
        <v>728</v>
      </c>
      <c r="G385" s="170" t="str">
        <f t="shared" si="2"/>
        <v>Caffe Nero&gt;Calvin Klein Jeans</v>
      </c>
    </row>
    <row r="386">
      <c r="A386" s="91">
        <v>2.0</v>
      </c>
      <c r="B386" s="91" t="s">
        <v>549</v>
      </c>
      <c r="C386" s="91"/>
      <c r="D386" s="171" t="str">
        <f t="shared" si="1"/>
        <v>Caffe Nero</v>
      </c>
      <c r="F386" s="91" t="s">
        <v>2834</v>
      </c>
      <c r="G386" s="170" t="str">
        <f t="shared" si="2"/>
        <v>Caffe Nero&gt;Pharmacy Zorlu Center</v>
      </c>
    </row>
    <row r="387">
      <c r="A387" s="91">
        <v>2.0</v>
      </c>
      <c r="B387" s="91" t="s">
        <v>521</v>
      </c>
      <c r="C387" s="91"/>
      <c r="D387" s="171" t="str">
        <f t="shared" si="1"/>
        <v>Calzedonia</v>
      </c>
      <c r="F387" s="91" t="s">
        <v>309</v>
      </c>
      <c r="G387" s="170" t="str">
        <f t="shared" si="2"/>
        <v>Calzedonia&gt;MAC</v>
      </c>
    </row>
    <row r="388">
      <c r="A388" s="91">
        <v>2.0</v>
      </c>
      <c r="B388" s="91" t="s">
        <v>1708</v>
      </c>
      <c r="C388" s="91"/>
      <c r="D388" s="171" t="str">
        <f t="shared" si="1"/>
        <v>Chakra</v>
      </c>
      <c r="F388" s="91" t="s">
        <v>871</v>
      </c>
      <c r="G388" s="170" t="str">
        <f t="shared" si="2"/>
        <v>Chakra&gt;Zara Home</v>
      </c>
    </row>
    <row r="389">
      <c r="A389" s="91">
        <v>2.0</v>
      </c>
      <c r="B389" s="91" t="s">
        <v>356</v>
      </c>
      <c r="C389" s="91"/>
      <c r="D389" s="171" t="str">
        <f t="shared" si="1"/>
        <v>Columbia</v>
      </c>
      <c r="F389" s="91" t="s">
        <v>173</v>
      </c>
      <c r="G389" s="170" t="str">
        <f t="shared" si="2"/>
        <v>Columbia&gt;Skechers</v>
      </c>
    </row>
    <row r="390">
      <c r="A390" s="91">
        <v>2.0</v>
      </c>
      <c r="B390" s="91" t="s">
        <v>1579</v>
      </c>
      <c r="C390" s="91"/>
      <c r="D390" s="171" t="str">
        <f t="shared" si="1"/>
        <v>D&amp;R</v>
      </c>
      <c r="F390" s="91" t="s">
        <v>1141</v>
      </c>
      <c r="G390" s="170" t="str">
        <f t="shared" si="2"/>
        <v>D&amp;R&gt;Morini</v>
      </c>
    </row>
    <row r="391">
      <c r="A391" s="91">
        <v>2.0</v>
      </c>
      <c r="B391" s="91" t="s">
        <v>1579</v>
      </c>
      <c r="C391" s="91"/>
      <c r="D391" s="171" t="str">
        <f t="shared" si="1"/>
        <v>D&amp;R</v>
      </c>
      <c r="F391" s="91" t="s">
        <v>1009</v>
      </c>
      <c r="G391" s="170" t="str">
        <f t="shared" si="2"/>
        <v>D&amp;R&gt;Welldone</v>
      </c>
    </row>
    <row r="392">
      <c r="A392" s="91">
        <v>2.0</v>
      </c>
      <c r="B392" s="91" t="s">
        <v>157</v>
      </c>
      <c r="C392" s="91"/>
      <c r="D392" s="171" t="str">
        <f t="shared" si="1"/>
        <v>Dagi</v>
      </c>
      <c r="F392" s="91" t="s">
        <v>1668</v>
      </c>
      <c r="G392" s="170" t="str">
        <f t="shared" si="2"/>
        <v>Dagi&gt;Zula</v>
      </c>
    </row>
    <row r="393">
      <c r="A393" s="91">
        <v>2.0</v>
      </c>
      <c r="B393" s="91" t="s">
        <v>1603</v>
      </c>
      <c r="C393" s="91"/>
      <c r="D393" s="171" t="str">
        <f t="shared" si="1"/>
        <v>Eataly</v>
      </c>
      <c r="F393" s="91" t="s">
        <v>1112</v>
      </c>
      <c r="G393" s="170" t="str">
        <f t="shared" si="2"/>
        <v>Eataly&gt;Prada</v>
      </c>
    </row>
    <row r="394">
      <c r="A394" s="91">
        <v>2.0</v>
      </c>
      <c r="B394" s="91" t="s">
        <v>1147</v>
      </c>
      <c r="C394" s="91"/>
      <c r="D394" s="171" t="str">
        <f t="shared" si="1"/>
        <v>Fauchon Paris</v>
      </c>
      <c r="F394" s="91" t="s">
        <v>2917</v>
      </c>
      <c r="G394" s="170" t="str">
        <f t="shared" si="2"/>
        <v>Fauchon Paris&gt;Otopark</v>
      </c>
    </row>
    <row r="395">
      <c r="A395" s="91">
        <v>2.0</v>
      </c>
      <c r="B395" s="91" t="s">
        <v>765</v>
      </c>
      <c r="C395" s="91"/>
      <c r="D395" s="171" t="str">
        <f t="shared" si="1"/>
        <v>Gant</v>
      </c>
      <c r="F395" s="91" t="s">
        <v>533</v>
      </c>
      <c r="G395" s="170" t="str">
        <f t="shared" si="2"/>
        <v>Gant&gt;Sevil Parfümeri</v>
      </c>
    </row>
    <row r="396">
      <c r="A396" s="91">
        <v>2.0</v>
      </c>
      <c r="B396" s="91" t="s">
        <v>1003</v>
      </c>
      <c r="C396" s="91"/>
      <c r="D396" s="171" t="str">
        <f t="shared" si="1"/>
        <v>Golden Goose</v>
      </c>
      <c r="F396" s="91" t="s">
        <v>3852</v>
      </c>
      <c r="G396" s="170" t="str">
        <f t="shared" si="2"/>
        <v>Golden Goose&gt;WC</v>
      </c>
    </row>
    <row r="397">
      <c r="A397" s="91">
        <v>2.0</v>
      </c>
      <c r="B397" s="91" t="s">
        <v>646</v>
      </c>
      <c r="C397" s="91"/>
      <c r="D397" s="171" t="str">
        <f t="shared" si="1"/>
        <v>Green Salads</v>
      </c>
      <c r="F397" s="91" t="s">
        <v>3854</v>
      </c>
      <c r="G397" s="170" t="str">
        <f t="shared" si="2"/>
        <v>Green Salads&gt;Pharmacy</v>
      </c>
    </row>
    <row r="398">
      <c r="A398" s="91">
        <v>2.0</v>
      </c>
      <c r="B398" s="91" t="s">
        <v>1314</v>
      </c>
      <c r="C398" s="91"/>
      <c r="D398" s="171" t="str">
        <f t="shared" si="1"/>
        <v>Gucci</v>
      </c>
      <c r="F398" s="91" t="s">
        <v>1626</v>
      </c>
      <c r="G398" s="170" t="str">
        <f t="shared" si="2"/>
        <v>Gucci&gt;Funloft</v>
      </c>
    </row>
    <row r="399">
      <c r="A399" s="91">
        <v>2.0</v>
      </c>
      <c r="B399" s="91" t="s">
        <v>509</v>
      </c>
      <c r="C399" s="91"/>
      <c r="D399" s="171" t="str">
        <f t="shared" si="1"/>
        <v>Intimissimi</v>
      </c>
      <c r="F399" s="91" t="s">
        <v>993</v>
      </c>
      <c r="G399" s="170" t="str">
        <f t="shared" si="2"/>
        <v>Intimissimi&gt;Vakkorama</v>
      </c>
    </row>
    <row r="400">
      <c r="A400" s="91">
        <v>2.0</v>
      </c>
      <c r="B400" s="91" t="s">
        <v>2249</v>
      </c>
      <c r="C400" s="91"/>
      <c r="D400" s="171" t="str">
        <f t="shared" si="1"/>
        <v>KFC</v>
      </c>
      <c r="F400" s="91" t="s">
        <v>279</v>
      </c>
      <c r="G400" s="170" t="str">
        <f t="shared" si="2"/>
        <v>KFC&gt;Twist</v>
      </c>
    </row>
    <row r="401">
      <c r="A401" s="91">
        <v>2.0</v>
      </c>
      <c r="B401" s="91" t="s">
        <v>3847</v>
      </c>
      <c r="C401" s="91" t="s">
        <v>2712</v>
      </c>
      <c r="D401" s="171" t="str">
        <f t="shared" si="1"/>
        <v>QR-104</v>
      </c>
      <c r="F401" s="91" t="s">
        <v>2843</v>
      </c>
      <c r="G401" s="170" t="str">
        <f t="shared" si="2"/>
        <v>QR-104&gt;ATM</v>
      </c>
    </row>
    <row r="402">
      <c r="A402" s="91">
        <v>2.0</v>
      </c>
      <c r="B402" s="91" t="s">
        <v>3847</v>
      </c>
      <c r="C402" s="91" t="s">
        <v>2712</v>
      </c>
      <c r="D402" s="171" t="str">
        <f t="shared" si="1"/>
        <v>QR-104</v>
      </c>
      <c r="F402" s="91" t="s">
        <v>479</v>
      </c>
      <c r="G402" s="170" t="str">
        <f t="shared" si="2"/>
        <v>QR-104&gt;Bakırkazan</v>
      </c>
    </row>
    <row r="403">
      <c r="A403" s="91">
        <v>2.0</v>
      </c>
      <c r="B403" s="91" t="s">
        <v>3847</v>
      </c>
      <c r="C403" s="91" t="s">
        <v>2712</v>
      </c>
      <c r="D403" s="171" t="str">
        <f t="shared" si="1"/>
        <v>QR-104</v>
      </c>
      <c r="F403" s="91" t="s">
        <v>1015</v>
      </c>
      <c r="G403" s="170" t="str">
        <f t="shared" si="2"/>
        <v>QR-104&gt;Crossing</v>
      </c>
    </row>
    <row r="404">
      <c r="A404" s="91">
        <v>2.0</v>
      </c>
      <c r="B404" s="91" t="s">
        <v>3847</v>
      </c>
      <c r="C404" s="91" t="s">
        <v>2712</v>
      </c>
      <c r="D404" s="171" t="str">
        <f t="shared" si="1"/>
        <v>QR-104</v>
      </c>
      <c r="F404" s="91" t="s">
        <v>1003</v>
      </c>
      <c r="G404" s="170" t="str">
        <f t="shared" si="2"/>
        <v>QR-104&gt;Golden Goose</v>
      </c>
    </row>
    <row r="405">
      <c r="A405" s="91">
        <v>2.0</v>
      </c>
      <c r="B405" s="91" t="s">
        <v>3847</v>
      </c>
      <c r="C405" s="91" t="s">
        <v>2712</v>
      </c>
      <c r="D405" s="171" t="str">
        <f t="shared" si="1"/>
        <v>QR-104</v>
      </c>
      <c r="F405" s="91" t="s">
        <v>1380</v>
      </c>
      <c r="G405" s="170" t="str">
        <f t="shared" si="2"/>
        <v>QR-104&gt;Nespresso</v>
      </c>
    </row>
    <row r="406">
      <c r="A406" s="91">
        <v>2.0</v>
      </c>
      <c r="B406" s="91" t="s">
        <v>3847</v>
      </c>
      <c r="C406" s="91" t="s">
        <v>2712</v>
      </c>
      <c r="D406" s="171" t="str">
        <f t="shared" si="1"/>
        <v>QR-104</v>
      </c>
      <c r="F406" s="91" t="s">
        <v>2877</v>
      </c>
      <c r="G406" s="170" t="str">
        <f t="shared" si="2"/>
        <v>QR-104&gt;Oniki Hukuk Bürosu</v>
      </c>
    </row>
    <row r="407">
      <c r="A407" s="91">
        <v>2.0</v>
      </c>
      <c r="B407" s="91" t="s">
        <v>3847</v>
      </c>
      <c r="C407" s="91" t="s">
        <v>2712</v>
      </c>
      <c r="D407" s="171" t="str">
        <f t="shared" si="1"/>
        <v>QR-104</v>
      </c>
      <c r="F407" s="91" t="s">
        <v>3545</v>
      </c>
      <c r="G407" s="170" t="str">
        <f t="shared" si="2"/>
        <v>QR-104&gt;Saat</v>
      </c>
    </row>
    <row r="408">
      <c r="A408" s="91">
        <v>2.0</v>
      </c>
      <c r="B408" s="91" t="s">
        <v>3847</v>
      </c>
      <c r="C408" s="91" t="s">
        <v>2712</v>
      </c>
      <c r="D408" s="171" t="str">
        <f t="shared" si="1"/>
        <v>QR-104</v>
      </c>
      <c r="F408" s="91" t="s">
        <v>1678</v>
      </c>
      <c r="G408" s="170" t="str">
        <f t="shared" si="2"/>
        <v>QR-104&gt;Vakko Home</v>
      </c>
    </row>
    <row r="409">
      <c r="A409" s="91">
        <v>2.0</v>
      </c>
      <c r="B409" s="91" t="s">
        <v>3847</v>
      </c>
      <c r="C409" s="91" t="s">
        <v>2712</v>
      </c>
      <c r="D409" s="171" t="str">
        <f t="shared" si="1"/>
        <v>QR-104</v>
      </c>
      <c r="F409" s="91" t="s">
        <v>1687</v>
      </c>
      <c r="G409" s="170" t="str">
        <f t="shared" si="2"/>
        <v>QR-104&gt;Vakko Wedding</v>
      </c>
    </row>
    <row r="410">
      <c r="A410" s="91">
        <v>2.0</v>
      </c>
      <c r="B410" s="91" t="s">
        <v>3847</v>
      </c>
      <c r="C410" s="91" t="s">
        <v>2727</v>
      </c>
      <c r="D410" s="171" t="str">
        <f t="shared" si="1"/>
        <v>QR-109</v>
      </c>
      <c r="F410" s="91" t="s">
        <v>497</v>
      </c>
      <c r="G410" s="170" t="str">
        <f t="shared" si="2"/>
        <v>QR-109&gt;Tobacco Shop</v>
      </c>
    </row>
    <row r="411">
      <c r="A411" s="91">
        <v>2.0</v>
      </c>
      <c r="B411" s="91" t="s">
        <v>3847</v>
      </c>
      <c r="C411" s="91" t="s">
        <v>2736</v>
      </c>
      <c r="D411" s="171" t="str">
        <f t="shared" si="1"/>
        <v>QR-112</v>
      </c>
      <c r="F411" s="91" t="s">
        <v>3783</v>
      </c>
      <c r="G411" s="170" t="str">
        <f t="shared" si="2"/>
        <v>QR-112&gt;PSM</v>
      </c>
    </row>
    <row r="412">
      <c r="A412" s="91">
        <v>2.0</v>
      </c>
      <c r="B412" s="91" t="s">
        <v>3847</v>
      </c>
      <c r="C412" s="91" t="s">
        <v>2736</v>
      </c>
      <c r="D412" s="171" t="str">
        <f t="shared" si="1"/>
        <v>QR-112</v>
      </c>
      <c r="F412" s="91" t="s">
        <v>722</v>
      </c>
      <c r="G412" s="170" t="str">
        <f t="shared" si="2"/>
        <v>QR-112&gt;Ramsey</v>
      </c>
    </row>
    <row r="413">
      <c r="A413" s="91">
        <v>2.0</v>
      </c>
      <c r="B413" s="91" t="s">
        <v>3847</v>
      </c>
      <c r="C413" s="91" t="s">
        <v>2745</v>
      </c>
      <c r="D413" s="171" t="str">
        <f t="shared" si="1"/>
        <v>QR-203</v>
      </c>
      <c r="F413" s="91" t="s">
        <v>1141</v>
      </c>
      <c r="G413" s="170" t="str">
        <f t="shared" si="2"/>
        <v>QR-203&gt;Morini</v>
      </c>
    </row>
    <row r="414">
      <c r="A414" s="91">
        <v>2.0</v>
      </c>
      <c r="B414" s="91" t="s">
        <v>3847</v>
      </c>
      <c r="C414" s="91" t="s">
        <v>2745</v>
      </c>
      <c r="D414" s="171" t="str">
        <f t="shared" si="1"/>
        <v>QR-203</v>
      </c>
      <c r="F414" s="91" t="s">
        <v>497</v>
      </c>
      <c r="G414" s="170" t="str">
        <f t="shared" si="2"/>
        <v>QR-203&gt;Tobacco Shop</v>
      </c>
    </row>
    <row r="415">
      <c r="A415" s="91">
        <v>2.0</v>
      </c>
      <c r="B415" s="91" t="s">
        <v>3847</v>
      </c>
      <c r="C415" s="91" t="s">
        <v>2757</v>
      </c>
      <c r="D415" s="171" t="str">
        <f t="shared" si="1"/>
        <v>QR-301</v>
      </c>
      <c r="F415" s="91" t="s">
        <v>222</v>
      </c>
      <c r="G415" s="170" t="str">
        <f t="shared" si="2"/>
        <v>QR-301&gt;Gap</v>
      </c>
    </row>
    <row r="416">
      <c r="A416" s="91">
        <v>2.0</v>
      </c>
      <c r="B416" s="91" t="s">
        <v>3847</v>
      </c>
      <c r="C416" s="91" t="s">
        <v>2760</v>
      </c>
      <c r="D416" s="171" t="str">
        <f t="shared" si="1"/>
        <v>QR-302</v>
      </c>
      <c r="F416" s="91" t="s">
        <v>2427</v>
      </c>
      <c r="G416" s="170" t="str">
        <f t="shared" si="2"/>
        <v>QR-302&gt;MAC Mars Athletic Club</v>
      </c>
    </row>
    <row r="417">
      <c r="A417" s="91">
        <v>2.0</v>
      </c>
      <c r="B417" s="91" t="s">
        <v>3847</v>
      </c>
      <c r="C417" s="91" t="s">
        <v>2760</v>
      </c>
      <c r="D417" s="171" t="str">
        <f t="shared" si="1"/>
        <v>QR-302</v>
      </c>
      <c r="F417" s="91" t="s">
        <v>1696</v>
      </c>
      <c r="G417" s="170" t="str">
        <f t="shared" si="2"/>
        <v>QR-302&gt;MOC</v>
      </c>
    </row>
    <row r="418">
      <c r="A418" s="91">
        <v>2.0</v>
      </c>
      <c r="B418" s="91" t="s">
        <v>3847</v>
      </c>
      <c r="C418" s="91" t="s">
        <v>2760</v>
      </c>
      <c r="D418" s="171" t="str">
        <f t="shared" si="1"/>
        <v>QR-302</v>
      </c>
      <c r="F418" s="91" t="s">
        <v>2870</v>
      </c>
      <c r="G418" s="170" t="str">
        <f t="shared" si="2"/>
        <v>QR-302&gt;Mescit</v>
      </c>
    </row>
    <row r="419">
      <c r="A419" s="91">
        <v>2.0</v>
      </c>
      <c r="B419" s="91" t="s">
        <v>3847</v>
      </c>
      <c r="C419" s="91" t="s">
        <v>2685</v>
      </c>
      <c r="D419" s="171" t="str">
        <f t="shared" si="1"/>
        <v>QR006</v>
      </c>
      <c r="F419" s="91" t="s">
        <v>1015</v>
      </c>
      <c r="G419" s="170" t="str">
        <f t="shared" si="2"/>
        <v>QR006&gt;Crossing</v>
      </c>
    </row>
    <row r="420">
      <c r="A420" s="91">
        <v>2.0</v>
      </c>
      <c r="B420" s="91" t="s">
        <v>3847</v>
      </c>
      <c r="C420" s="91" t="s">
        <v>2685</v>
      </c>
      <c r="D420" s="171" t="str">
        <f t="shared" si="1"/>
        <v>QR006</v>
      </c>
      <c r="F420" s="91" t="s">
        <v>1207</v>
      </c>
      <c r="G420" s="170" t="str">
        <f t="shared" si="2"/>
        <v>QR006&gt;Greenwich</v>
      </c>
    </row>
    <row r="421">
      <c r="A421" s="91">
        <v>2.0</v>
      </c>
      <c r="B421" s="91" t="s">
        <v>3847</v>
      </c>
      <c r="C421" s="91" t="s">
        <v>2685</v>
      </c>
      <c r="D421" s="171" t="str">
        <f t="shared" si="1"/>
        <v>QR006</v>
      </c>
      <c r="F421" s="91" t="s">
        <v>1345</v>
      </c>
      <c r="G421" s="170" t="str">
        <f t="shared" si="2"/>
        <v>QR006&gt;Raffles Istanbul</v>
      </c>
    </row>
    <row r="422">
      <c r="A422" s="91">
        <v>2.0</v>
      </c>
      <c r="B422" s="91" t="s">
        <v>771</v>
      </c>
      <c r="C422" s="91"/>
      <c r="D422" s="171" t="str">
        <f t="shared" si="1"/>
        <v>Lacoste</v>
      </c>
      <c r="F422" s="91" t="s">
        <v>1290</v>
      </c>
      <c r="G422" s="170" t="str">
        <f t="shared" si="2"/>
        <v>Lacoste&gt;Dior</v>
      </c>
    </row>
    <row r="423">
      <c r="A423" s="91">
        <v>2.0</v>
      </c>
      <c r="B423" s="91" t="s">
        <v>771</v>
      </c>
      <c r="C423" s="91"/>
      <c r="D423" s="171" t="str">
        <f t="shared" si="1"/>
        <v>Lacoste</v>
      </c>
      <c r="F423" s="91" t="s">
        <v>3851</v>
      </c>
      <c r="G423" s="170" t="str">
        <f t="shared" si="2"/>
        <v>Lacoste&gt;Park Area</v>
      </c>
    </row>
    <row r="424">
      <c r="A424" s="91">
        <v>2.0</v>
      </c>
      <c r="B424" s="91" t="s">
        <v>1278</v>
      </c>
      <c r="C424" s="91"/>
      <c r="D424" s="171" t="str">
        <f t="shared" si="1"/>
        <v>Louis Vuitton</v>
      </c>
      <c r="F424" s="91" t="s">
        <v>1278</v>
      </c>
      <c r="G424" s="170" t="str">
        <f t="shared" si="2"/>
        <v>Louis Vuitton&gt;Louis Vuitton</v>
      </c>
    </row>
    <row r="425">
      <c r="A425" s="91">
        <v>2.0</v>
      </c>
      <c r="B425" s="91" t="s">
        <v>788</v>
      </c>
      <c r="C425" s="91"/>
      <c r="D425" s="171" t="str">
        <f t="shared" si="1"/>
        <v>Mapa</v>
      </c>
      <c r="F425" s="91" t="s">
        <v>3305</v>
      </c>
      <c r="G425" s="170" t="str">
        <f t="shared" si="2"/>
        <v>Mapa&gt;Eczane</v>
      </c>
    </row>
    <row r="426">
      <c r="A426" s="91">
        <v>2.0</v>
      </c>
      <c r="B426" s="91" t="s">
        <v>3861</v>
      </c>
      <c r="C426" s="91"/>
      <c r="D426" s="171" t="str">
        <f t="shared" si="1"/>
        <v>MediaMarkt(Paribu Cineverse yanı)</v>
      </c>
      <c r="F426" s="91" t="s">
        <v>2804</v>
      </c>
      <c r="G426" s="170" t="str">
        <f t="shared" si="2"/>
        <v>MediaMarkt(Paribu Cineverse yanı)&gt;Garanti BBVA (ATM)</v>
      </c>
    </row>
    <row r="427">
      <c r="A427" s="91">
        <v>2.0</v>
      </c>
      <c r="B427" s="91" t="s">
        <v>3486</v>
      </c>
      <c r="C427" s="91"/>
      <c r="D427" s="171" t="str">
        <f t="shared" si="1"/>
        <v>Otopark Giriş Zincirlikuyu</v>
      </c>
      <c r="F427" s="91" t="s">
        <v>2249</v>
      </c>
      <c r="G427" s="170" t="str">
        <f t="shared" si="2"/>
        <v>Otopark Giriş Zincirlikuyu&gt;KFC</v>
      </c>
    </row>
    <row r="428">
      <c r="A428" s="91">
        <v>2.0</v>
      </c>
      <c r="B428" s="91" t="s">
        <v>503</v>
      </c>
      <c r="C428" s="91"/>
      <c r="D428" s="171" t="str">
        <f t="shared" si="1"/>
        <v>Plus Kitchen</v>
      </c>
      <c r="F428" s="91" t="s">
        <v>410</v>
      </c>
      <c r="G428" s="170" t="str">
        <f t="shared" si="2"/>
        <v>Plus Kitchen&gt;Touche</v>
      </c>
    </row>
    <row r="429">
      <c r="A429" s="91">
        <v>2.0</v>
      </c>
      <c r="B429" s="91" t="s">
        <v>722</v>
      </c>
      <c r="C429" s="91"/>
      <c r="D429" s="171" t="str">
        <f t="shared" si="1"/>
        <v>Ramsey</v>
      </c>
      <c r="F429" s="91" t="s">
        <v>1141</v>
      </c>
      <c r="G429" s="170" t="str">
        <f t="shared" si="2"/>
        <v>Ramsey&gt;Morini</v>
      </c>
    </row>
    <row r="430">
      <c r="A430" s="91">
        <v>2.0</v>
      </c>
      <c r="B430" s="91" t="s">
        <v>722</v>
      </c>
      <c r="C430" s="91"/>
      <c r="D430" s="171" t="str">
        <f t="shared" si="1"/>
        <v>Ramsey</v>
      </c>
      <c r="F430" s="91" t="s">
        <v>1053</v>
      </c>
      <c r="G430" s="170" t="str">
        <f t="shared" si="2"/>
        <v>Ramsey&gt;Valentino</v>
      </c>
    </row>
    <row r="431">
      <c r="A431" s="91">
        <v>2.0</v>
      </c>
      <c r="B431" s="91" t="s">
        <v>337</v>
      </c>
      <c r="C431" s="91"/>
      <c r="D431" s="171" t="str">
        <f t="shared" si="1"/>
        <v>Saat &amp; Saat</v>
      </c>
      <c r="F431" s="91" t="s">
        <v>1668</v>
      </c>
      <c r="G431" s="170" t="str">
        <f t="shared" si="2"/>
        <v>Saat &amp; Saat&gt;Zula</v>
      </c>
    </row>
    <row r="432">
      <c r="A432" s="91">
        <v>2.0</v>
      </c>
      <c r="B432" s="91" t="s">
        <v>533</v>
      </c>
      <c r="C432" s="91"/>
      <c r="D432" s="171" t="str">
        <f t="shared" si="1"/>
        <v>Sevil Parfümeri</v>
      </c>
      <c r="F432" s="91" t="s">
        <v>181</v>
      </c>
      <c r="G432" s="170" t="str">
        <f t="shared" si="2"/>
        <v>Sevil Parfümeri&gt;Starbucks</v>
      </c>
    </row>
    <row r="433">
      <c r="A433" s="91">
        <v>2.0</v>
      </c>
      <c r="B433" s="91" t="s">
        <v>173</v>
      </c>
      <c r="C433" s="91"/>
      <c r="D433" s="171" t="str">
        <f t="shared" si="1"/>
        <v>Skechers</v>
      </c>
      <c r="F433" s="91" t="s">
        <v>1548</v>
      </c>
      <c r="G433" s="170" t="str">
        <f t="shared" si="2"/>
        <v>Skechers&gt;Toyzz Shop</v>
      </c>
    </row>
    <row r="434">
      <c r="A434" s="91">
        <v>2.0</v>
      </c>
      <c r="B434" s="91" t="s">
        <v>343</v>
      </c>
      <c r="C434" s="91"/>
      <c r="D434" s="171" t="str">
        <f t="shared" si="1"/>
        <v>Sneaks Up</v>
      </c>
      <c r="F434" s="91" t="s">
        <v>1603</v>
      </c>
      <c r="G434" s="170" t="str">
        <f t="shared" si="2"/>
        <v>Sneaks Up&gt;Eataly</v>
      </c>
    </row>
    <row r="435">
      <c r="A435" s="91">
        <v>2.0</v>
      </c>
      <c r="B435" s="91" t="s">
        <v>181</v>
      </c>
      <c r="C435" s="91"/>
      <c r="D435" s="171" t="str">
        <f t="shared" si="1"/>
        <v>Starbucks</v>
      </c>
      <c r="F435" s="91" t="s">
        <v>3637</v>
      </c>
      <c r="G435" s="170" t="str">
        <f t="shared" si="2"/>
        <v>Starbucks&gt;Bob Vale Park (Levazım/Beymen)</v>
      </c>
    </row>
    <row r="436">
      <c r="A436" s="91">
        <v>2.0</v>
      </c>
      <c r="B436" s="91" t="s">
        <v>181</v>
      </c>
      <c r="C436" s="91"/>
      <c r="D436" s="171" t="str">
        <f t="shared" si="1"/>
        <v>Starbucks</v>
      </c>
      <c r="F436" s="91" t="s">
        <v>1579</v>
      </c>
      <c r="G436" s="170" t="str">
        <f t="shared" si="2"/>
        <v>Starbucks&gt;D&amp;R</v>
      </c>
    </row>
    <row r="437">
      <c r="A437" s="91">
        <v>2.0</v>
      </c>
      <c r="B437" s="91" t="s">
        <v>181</v>
      </c>
      <c r="C437" s="91"/>
      <c r="D437" s="171" t="str">
        <f t="shared" si="1"/>
        <v>Starbucks</v>
      </c>
      <c r="F437" s="91" t="s">
        <v>771</v>
      </c>
      <c r="G437" s="170" t="str">
        <f t="shared" si="2"/>
        <v>Starbucks&gt;Lacoste</v>
      </c>
    </row>
    <row r="438">
      <c r="A438" s="91">
        <v>2.0</v>
      </c>
      <c r="B438" s="91" t="s">
        <v>1076</v>
      </c>
      <c r="C438" s="91"/>
      <c r="D438" s="171" t="str">
        <f t="shared" si="1"/>
        <v>SushiCo</v>
      </c>
      <c r="F438" s="91" t="s">
        <v>474</v>
      </c>
      <c r="G438" s="170" t="str">
        <f t="shared" si="2"/>
        <v>SushiCo&gt;Zara</v>
      </c>
    </row>
    <row r="439">
      <c r="A439" s="91">
        <v>2.0</v>
      </c>
      <c r="B439" s="91" t="s">
        <v>2799</v>
      </c>
      <c r="C439" s="91"/>
      <c r="D439" s="171" t="str">
        <f t="shared" si="1"/>
        <v>Tax Free Zone (Info Desk)</v>
      </c>
      <c r="F439" s="91" t="s">
        <v>3851</v>
      </c>
      <c r="G439" s="170" t="str">
        <f t="shared" si="2"/>
        <v>Tax Free Zone (Info Desk)&gt;Park Area</v>
      </c>
    </row>
    <row r="440">
      <c r="A440" s="91">
        <v>2.0</v>
      </c>
      <c r="B440" s="91" t="s">
        <v>2215</v>
      </c>
      <c r="C440" s="91"/>
      <c r="D440" s="171" t="str">
        <f t="shared" si="1"/>
        <v>The Body Shop</v>
      </c>
      <c r="F440" s="91" t="s">
        <v>2215</v>
      </c>
      <c r="G440" s="170" t="str">
        <f t="shared" si="2"/>
        <v>The Body Shop&gt;The Body Shop</v>
      </c>
    </row>
    <row r="441">
      <c r="A441" s="91">
        <v>2.0</v>
      </c>
      <c r="B441" s="91" t="s">
        <v>2290</v>
      </c>
      <c r="C441" s="91"/>
      <c r="D441" s="171" t="str">
        <f t="shared" si="1"/>
        <v>The Kooples</v>
      </c>
      <c r="F441" s="91" t="s">
        <v>1579</v>
      </c>
      <c r="G441" s="170" t="str">
        <f t="shared" si="2"/>
        <v>The Kooples&gt;D&amp;R</v>
      </c>
    </row>
    <row r="442">
      <c r="A442" s="91">
        <v>2.0</v>
      </c>
      <c r="B442" s="91" t="s">
        <v>1026</v>
      </c>
      <c r="C442" s="91"/>
      <c r="D442" s="171" t="str">
        <f t="shared" si="1"/>
        <v>Tod's</v>
      </c>
      <c r="F442" s="91" t="s">
        <v>1026</v>
      </c>
      <c r="G442" s="170" t="str">
        <f t="shared" si="2"/>
        <v>Tod's&gt;Tod's</v>
      </c>
    </row>
    <row r="443">
      <c r="A443" s="91">
        <v>2.0</v>
      </c>
      <c r="B443" s="91" t="s">
        <v>676</v>
      </c>
      <c r="C443" s="91"/>
      <c r="D443" s="171" t="str">
        <f t="shared" si="1"/>
        <v>Tommy Hilfiger</v>
      </c>
      <c r="F443" s="91" t="s">
        <v>569</v>
      </c>
      <c r="G443" s="170" t="str">
        <f t="shared" si="2"/>
        <v>Tommy Hilfiger&gt;Burger King</v>
      </c>
    </row>
    <row r="444">
      <c r="A444" s="91">
        <v>2.0</v>
      </c>
      <c r="B444" s="91" t="s">
        <v>688</v>
      </c>
      <c r="C444" s="91"/>
      <c r="D444" s="171" t="str">
        <f t="shared" si="1"/>
        <v>Twinset Milano</v>
      </c>
      <c r="F444" s="91" t="s">
        <v>2834</v>
      </c>
      <c r="G444" s="170" t="str">
        <f t="shared" si="2"/>
        <v>Twinset Milano&gt;Pharmacy Zorlu Center</v>
      </c>
    </row>
    <row r="445">
      <c r="A445" s="91">
        <v>2.0</v>
      </c>
      <c r="B445" s="91" t="s">
        <v>1020</v>
      </c>
      <c r="C445" s="91"/>
      <c r="D445" s="171" t="str">
        <f t="shared" si="1"/>
        <v>Vakko</v>
      </c>
      <c r="F445" s="91" t="s">
        <v>1020</v>
      </c>
      <c r="G445" s="170" t="str">
        <f t="shared" si="2"/>
        <v>Vakko&gt;Vakko</v>
      </c>
    </row>
    <row r="446">
      <c r="A446" s="91">
        <v>2.0</v>
      </c>
      <c r="B446" s="91" t="s">
        <v>1542</v>
      </c>
      <c r="C446" s="91"/>
      <c r="D446" s="171" t="str">
        <f t="shared" si="1"/>
        <v>Vestel</v>
      </c>
      <c r="F446" s="91" t="s">
        <v>181</v>
      </c>
      <c r="G446" s="170" t="str">
        <f t="shared" si="2"/>
        <v>Vestel&gt;Starbucks</v>
      </c>
    </row>
    <row r="447">
      <c r="A447" s="91">
        <v>2.0</v>
      </c>
      <c r="B447" s="91" t="s">
        <v>250</v>
      </c>
      <c r="C447" s="91"/>
      <c r="D447" s="171" t="str">
        <f t="shared" si="1"/>
        <v>Victoria's Secret</v>
      </c>
      <c r="F447" s="91" t="s">
        <v>250</v>
      </c>
      <c r="G447" s="170" t="str">
        <f t="shared" si="2"/>
        <v>Victoria's Secret&gt;Victoria's Secret</v>
      </c>
    </row>
    <row r="448">
      <c r="A448" s="91">
        <v>2.0</v>
      </c>
      <c r="B448" s="91" t="s">
        <v>485</v>
      </c>
      <c r="C448" s="91"/>
      <c r="D448" s="171" t="str">
        <f t="shared" si="1"/>
        <v>Watsons</v>
      </c>
      <c r="F448" s="91" t="s">
        <v>2991</v>
      </c>
      <c r="G448" s="170" t="str">
        <f t="shared" si="2"/>
        <v>Watsons&gt;Restroom</v>
      </c>
    </row>
    <row r="449">
      <c r="A449" s="91">
        <v>2.0</v>
      </c>
      <c r="B449" s="91" t="s">
        <v>1009</v>
      </c>
      <c r="C449" s="91"/>
      <c r="D449" s="171" t="str">
        <f t="shared" si="1"/>
        <v>Welldone</v>
      </c>
      <c r="F449" s="91" t="s">
        <v>1009</v>
      </c>
      <c r="G449" s="170" t="str">
        <f t="shared" si="2"/>
        <v>Welldone&gt;Welldone</v>
      </c>
    </row>
    <row r="450">
      <c r="A450" s="91">
        <v>2.0</v>
      </c>
      <c r="B450" s="91" t="s">
        <v>823</v>
      </c>
      <c r="C450" s="91"/>
      <c r="D450" s="171" t="str">
        <f t="shared" si="1"/>
        <v>Yargıcı</v>
      </c>
      <c r="F450" s="91" t="s">
        <v>1082</v>
      </c>
      <c r="G450" s="170" t="str">
        <f t="shared" si="2"/>
        <v>Yargıcı&gt;Saray Muhallebicisi</v>
      </c>
    </row>
    <row r="451">
      <c r="A451" s="91">
        <v>2.0</v>
      </c>
      <c r="B451" s="91" t="s">
        <v>823</v>
      </c>
      <c r="C451" s="91"/>
      <c r="D451" s="171" t="str">
        <f t="shared" si="1"/>
        <v>Yargıcı</v>
      </c>
      <c r="F451" s="91" t="s">
        <v>1165</v>
      </c>
      <c r="G451" s="170" t="str">
        <f t="shared" si="2"/>
        <v>Yargıcı&gt;Tiffany &amp; Co.</v>
      </c>
    </row>
    <row r="452">
      <c r="A452" s="91">
        <v>2.0</v>
      </c>
      <c r="B452" s="91" t="s">
        <v>823</v>
      </c>
      <c r="C452" s="91"/>
      <c r="D452" s="171" t="str">
        <f t="shared" si="1"/>
        <v>Yargıcı</v>
      </c>
      <c r="F452" s="91" t="s">
        <v>474</v>
      </c>
      <c r="G452" s="170" t="str">
        <f t="shared" si="2"/>
        <v>Yargıcı&gt;Zara</v>
      </c>
    </row>
    <row r="453">
      <c r="A453" s="91">
        <v>2.0</v>
      </c>
      <c r="B453" s="91" t="s">
        <v>3848</v>
      </c>
      <c r="C453" s="91" t="s">
        <v>2712</v>
      </c>
      <c r="D453" s="171" t="str">
        <f t="shared" si="1"/>
        <v>QR-104</v>
      </c>
      <c r="F453" s="91" t="s">
        <v>211</v>
      </c>
      <c r="G453" s="170" t="str">
        <f t="shared" si="2"/>
        <v>QR-104&gt;Asics</v>
      </c>
    </row>
    <row r="454">
      <c r="A454" s="91">
        <v>2.0</v>
      </c>
      <c r="B454" s="91" t="s">
        <v>3848</v>
      </c>
      <c r="C454" s="91" t="s">
        <v>2712</v>
      </c>
      <c r="D454" s="171" t="str">
        <f t="shared" si="1"/>
        <v>QR-104</v>
      </c>
      <c r="F454" s="91" t="s">
        <v>424</v>
      </c>
      <c r="G454" s="170" t="str">
        <f t="shared" si="2"/>
        <v>QR-104&gt;Pembecida</v>
      </c>
    </row>
    <row r="455">
      <c r="A455" s="91">
        <v>2.0</v>
      </c>
      <c r="B455" s="91" t="s">
        <v>3848</v>
      </c>
      <c r="C455" s="91" t="s">
        <v>2712</v>
      </c>
      <c r="D455" s="171" t="str">
        <f t="shared" si="1"/>
        <v>QR-104</v>
      </c>
      <c r="F455" s="91" t="s">
        <v>503</v>
      </c>
      <c r="G455" s="170" t="str">
        <f t="shared" si="2"/>
        <v>QR-104&gt;Plus Kitchen</v>
      </c>
    </row>
    <row r="456">
      <c r="A456" s="91">
        <v>2.0</v>
      </c>
      <c r="B456" s="91" t="s">
        <v>3848</v>
      </c>
      <c r="C456" s="91" t="s">
        <v>2712</v>
      </c>
      <c r="D456" s="171" t="str">
        <f t="shared" si="1"/>
        <v>QR-104</v>
      </c>
      <c r="F456" s="91" t="s">
        <v>1082</v>
      </c>
      <c r="G456" s="170" t="str">
        <f t="shared" si="2"/>
        <v>QR-104&gt;Saray Muhallebicisi</v>
      </c>
    </row>
    <row r="457">
      <c r="A457" s="91">
        <v>2.0</v>
      </c>
      <c r="B457" s="91" t="s">
        <v>3848</v>
      </c>
      <c r="C457" s="91" t="s">
        <v>2724</v>
      </c>
      <c r="D457" s="171" t="str">
        <f t="shared" si="1"/>
        <v>QR-108</v>
      </c>
      <c r="F457" s="91" t="s">
        <v>250</v>
      </c>
      <c r="G457" s="170" t="str">
        <f t="shared" si="2"/>
        <v>QR-108&gt;Victoria's Secret</v>
      </c>
    </row>
    <row r="458">
      <c r="A458" s="91">
        <v>2.0</v>
      </c>
      <c r="B458" s="91" t="s">
        <v>3848</v>
      </c>
      <c r="C458" s="91" t="s">
        <v>2736</v>
      </c>
      <c r="D458" s="171" t="str">
        <f t="shared" si="1"/>
        <v>QR-112</v>
      </c>
      <c r="F458" s="91" t="s">
        <v>1228</v>
      </c>
      <c r="G458" s="170" t="str">
        <f t="shared" si="2"/>
        <v>QR-112&gt;Mer's</v>
      </c>
    </row>
    <row r="459">
      <c r="A459" s="91">
        <v>2.0</v>
      </c>
      <c r="B459" s="91" t="s">
        <v>3848</v>
      </c>
      <c r="C459" s="91" t="s">
        <v>2736</v>
      </c>
      <c r="D459" s="171" t="str">
        <f t="shared" si="1"/>
        <v>QR-112</v>
      </c>
      <c r="F459" s="91" t="s">
        <v>3862</v>
      </c>
      <c r="G459" s="170" t="str">
        <f t="shared" si="2"/>
        <v>QR-112&gt;Zorlu PSM Metro Floor</v>
      </c>
    </row>
    <row r="460">
      <c r="A460" s="91">
        <v>2.0</v>
      </c>
      <c r="B460" s="91" t="s">
        <v>3848</v>
      </c>
      <c r="C460" s="91" t="s">
        <v>2736</v>
      </c>
      <c r="D460" s="171" t="str">
        <f t="shared" si="1"/>
        <v>QR-112</v>
      </c>
      <c r="F460" s="91" t="s">
        <v>228</v>
      </c>
      <c r="G460" s="170" t="str">
        <f t="shared" si="2"/>
        <v>QR-112&gt;İpekyol</v>
      </c>
    </row>
    <row r="461">
      <c r="A461" s="91">
        <v>2.0</v>
      </c>
      <c r="B461" s="91" t="s">
        <v>3848</v>
      </c>
      <c r="C461" s="91" t="s">
        <v>2745</v>
      </c>
      <c r="D461" s="171" t="str">
        <f t="shared" si="1"/>
        <v>QR-203</v>
      </c>
      <c r="F461" s="91" t="s">
        <v>2843</v>
      </c>
      <c r="G461" s="170" t="str">
        <f t="shared" si="2"/>
        <v>QR-203&gt;ATM</v>
      </c>
    </row>
    <row r="462">
      <c r="A462" s="91">
        <v>2.0</v>
      </c>
      <c r="B462" s="91" t="s">
        <v>3848</v>
      </c>
      <c r="C462" s="91" t="s">
        <v>2745</v>
      </c>
      <c r="D462" s="171" t="str">
        <f t="shared" si="1"/>
        <v>QR-203</v>
      </c>
      <c r="F462" s="91" t="s">
        <v>2266</v>
      </c>
      <c r="G462" s="170" t="str">
        <f t="shared" si="2"/>
        <v>QR-203&gt;Kafe Vesto</v>
      </c>
    </row>
    <row r="463">
      <c r="A463" s="91">
        <v>2.0</v>
      </c>
      <c r="B463" s="91" t="s">
        <v>3848</v>
      </c>
      <c r="C463" s="91" t="s">
        <v>2745</v>
      </c>
      <c r="D463" s="171" t="str">
        <f t="shared" si="1"/>
        <v>QR-203</v>
      </c>
      <c r="F463" s="91" t="s">
        <v>491</v>
      </c>
      <c r="G463" s="170" t="str">
        <f t="shared" si="2"/>
        <v>QR-203&gt;Turkcell</v>
      </c>
    </row>
    <row r="464">
      <c r="A464" s="91">
        <v>2.0</v>
      </c>
      <c r="B464" s="91" t="s">
        <v>3848</v>
      </c>
      <c r="C464" s="91" t="s">
        <v>2757</v>
      </c>
      <c r="D464" s="171" t="str">
        <f t="shared" si="1"/>
        <v>QR-301</v>
      </c>
      <c r="F464" s="91" t="s">
        <v>1603</v>
      </c>
      <c r="G464" s="170" t="str">
        <f t="shared" si="2"/>
        <v>QR-301&gt;Eataly</v>
      </c>
    </row>
    <row r="465">
      <c r="A465" s="91">
        <v>2.0</v>
      </c>
      <c r="B465" s="91" t="s">
        <v>3848</v>
      </c>
      <c r="C465" s="91" t="s">
        <v>2757</v>
      </c>
      <c r="D465" s="171" t="str">
        <f t="shared" si="1"/>
        <v>QR-301</v>
      </c>
      <c r="F465" s="91" t="s">
        <v>1536</v>
      </c>
      <c r="G465" s="170" t="str">
        <f t="shared" si="2"/>
        <v>QR-301&gt;Macrocenter</v>
      </c>
    </row>
    <row r="466">
      <c r="A466" s="91">
        <v>2.0</v>
      </c>
      <c r="B466" s="91" t="s">
        <v>3848</v>
      </c>
      <c r="C466" s="91" t="s">
        <v>2757</v>
      </c>
      <c r="D466" s="171" t="str">
        <f t="shared" si="1"/>
        <v>QR-301</v>
      </c>
      <c r="F466" s="91" t="s">
        <v>1380</v>
      </c>
      <c r="G466" s="170" t="str">
        <f t="shared" si="2"/>
        <v>QR-301&gt;Nespresso</v>
      </c>
    </row>
    <row r="467">
      <c r="A467" s="91">
        <v>2.0</v>
      </c>
      <c r="B467" s="91" t="s">
        <v>3848</v>
      </c>
      <c r="C467" s="91" t="s">
        <v>2760</v>
      </c>
      <c r="D467" s="171" t="str">
        <f t="shared" si="1"/>
        <v>QR-302</v>
      </c>
      <c r="F467" s="91" t="s">
        <v>1106</v>
      </c>
      <c r="G467" s="170" t="str">
        <f t="shared" si="2"/>
        <v>QR-302&gt;Cantinery</v>
      </c>
    </row>
    <row r="468">
      <c r="A468" s="91">
        <v>2.0</v>
      </c>
      <c r="B468" s="91" t="s">
        <v>3848</v>
      </c>
      <c r="C468" s="91" t="s">
        <v>2760</v>
      </c>
      <c r="D468" s="171" t="str">
        <f t="shared" si="1"/>
        <v>QR-302</v>
      </c>
      <c r="F468" s="91" t="s">
        <v>368</v>
      </c>
      <c r="G468" s="170" t="str">
        <f t="shared" si="2"/>
        <v>QR-302&gt;Levi's</v>
      </c>
    </row>
    <row r="469">
      <c r="A469" s="91">
        <v>2.0</v>
      </c>
      <c r="B469" s="91" t="s">
        <v>3848</v>
      </c>
      <c r="C469" s="91" t="s">
        <v>2677</v>
      </c>
      <c r="D469" s="171" t="str">
        <f t="shared" si="1"/>
        <v>QR003</v>
      </c>
      <c r="F469" s="91" t="s">
        <v>2249</v>
      </c>
      <c r="G469" s="170" t="str">
        <f t="shared" si="2"/>
        <v>QR003&gt;KFC</v>
      </c>
    </row>
    <row r="470">
      <c r="A470" s="91">
        <v>2.0</v>
      </c>
      <c r="B470" s="91" t="s">
        <v>3848</v>
      </c>
      <c r="C470" s="91" t="s">
        <v>2677</v>
      </c>
      <c r="D470" s="171" t="str">
        <f t="shared" si="1"/>
        <v>QR003</v>
      </c>
      <c r="F470" s="91" t="s">
        <v>716</v>
      </c>
      <c r="G470" s="170" t="str">
        <f t="shared" si="2"/>
        <v>QR003&gt;Machka</v>
      </c>
    </row>
    <row r="471">
      <c r="A471" s="91">
        <v>2.0</v>
      </c>
      <c r="B471" s="91" t="s">
        <v>3848</v>
      </c>
      <c r="C471" s="91" t="s">
        <v>2682</v>
      </c>
      <c r="D471" s="171" t="str">
        <f t="shared" si="1"/>
        <v>QR005</v>
      </c>
      <c r="F471" s="91" t="s">
        <v>800</v>
      </c>
      <c r="G471" s="170" t="str">
        <f t="shared" si="2"/>
        <v>QR005&gt;Vilebrequin</v>
      </c>
    </row>
    <row r="472">
      <c r="A472" s="91">
        <v>2.0</v>
      </c>
      <c r="B472" s="91" t="s">
        <v>3848</v>
      </c>
      <c r="C472" s="91" t="s">
        <v>2685</v>
      </c>
      <c r="D472" s="171" t="str">
        <f t="shared" si="1"/>
        <v>QR006</v>
      </c>
      <c r="F472" s="91" t="s">
        <v>664</v>
      </c>
      <c r="G472" s="170" t="str">
        <f t="shared" si="2"/>
        <v>QR006&gt;Network</v>
      </c>
    </row>
    <row r="473">
      <c r="A473" s="91">
        <v>2.0</v>
      </c>
      <c r="B473" s="91" t="s">
        <v>3848</v>
      </c>
      <c r="C473" s="91" t="s">
        <v>2685</v>
      </c>
      <c r="D473" s="171" t="str">
        <f t="shared" si="1"/>
        <v>QR006</v>
      </c>
      <c r="F473" s="91" t="s">
        <v>1112</v>
      </c>
      <c r="G473" s="170" t="str">
        <f t="shared" si="2"/>
        <v>QR006&gt;Prada</v>
      </c>
    </row>
    <row r="474">
      <c r="A474" s="91">
        <v>2.0</v>
      </c>
      <c r="B474" s="91" t="s">
        <v>474</v>
      </c>
      <c r="C474" s="91"/>
      <c r="D474" s="171" t="str">
        <f t="shared" si="1"/>
        <v>Zara</v>
      </c>
      <c r="F474" s="91" t="s">
        <v>927</v>
      </c>
      <c r="G474" s="170" t="str">
        <f t="shared" si="2"/>
        <v>Zara&gt;Odaş Elektrik</v>
      </c>
    </row>
    <row r="475">
      <c r="A475" s="91">
        <v>2.0</v>
      </c>
      <c r="B475" s="91" t="s">
        <v>1668</v>
      </c>
      <c r="C475" s="91"/>
      <c r="D475" s="171" t="str">
        <f t="shared" si="1"/>
        <v>Zula</v>
      </c>
      <c r="F475" s="91" t="s">
        <v>1603</v>
      </c>
      <c r="G475" s="170" t="str">
        <f t="shared" si="2"/>
        <v>Zula&gt;Eataly</v>
      </c>
    </row>
    <row r="476">
      <c r="A476" s="91">
        <v>1.0</v>
      </c>
      <c r="B476" s="91" t="s">
        <v>205</v>
      </c>
      <c r="C476" s="91"/>
      <c r="D476" s="171" t="str">
        <f t="shared" si="1"/>
        <v>Adidas</v>
      </c>
      <c r="F476" s="91" t="s">
        <v>205</v>
      </c>
      <c r="G476" s="170" t="str">
        <f t="shared" si="2"/>
        <v>Adidas&gt;Adidas</v>
      </c>
    </row>
    <row r="477">
      <c r="A477" s="91">
        <v>1.0</v>
      </c>
      <c r="B477" s="91" t="s">
        <v>205</v>
      </c>
      <c r="C477" s="91"/>
      <c r="D477" s="171" t="str">
        <f t="shared" si="1"/>
        <v>Adidas</v>
      </c>
      <c r="F477" s="91" t="s">
        <v>1603</v>
      </c>
      <c r="G477" s="170" t="str">
        <f t="shared" si="2"/>
        <v>Adidas&gt;Eataly</v>
      </c>
    </row>
    <row r="478">
      <c r="A478" s="91">
        <v>1.0</v>
      </c>
      <c r="B478" s="91" t="s">
        <v>205</v>
      </c>
      <c r="C478" s="91"/>
      <c r="D478" s="171" t="str">
        <f t="shared" si="1"/>
        <v>Adidas</v>
      </c>
      <c r="F478" s="91" t="s">
        <v>3163</v>
      </c>
      <c r="G478" s="170" t="str">
        <f t="shared" si="2"/>
        <v>Adidas&gt;Fun Master</v>
      </c>
    </row>
    <row r="479">
      <c r="A479" s="91">
        <v>1.0</v>
      </c>
      <c r="B479" s="91" t="s">
        <v>205</v>
      </c>
      <c r="C479" s="91"/>
      <c r="D479" s="171" t="str">
        <f t="shared" si="1"/>
        <v>Adidas</v>
      </c>
      <c r="F479" s="91" t="s">
        <v>2804</v>
      </c>
      <c r="G479" s="170" t="str">
        <f t="shared" si="2"/>
        <v>Adidas&gt;Garanti BBVA (ATM)</v>
      </c>
    </row>
    <row r="480">
      <c r="A480" s="91">
        <v>1.0</v>
      </c>
      <c r="B480" s="91" t="s">
        <v>205</v>
      </c>
      <c r="C480" s="91"/>
      <c r="D480" s="171" t="str">
        <f t="shared" si="1"/>
        <v>Adidas</v>
      </c>
      <c r="F480" s="91" t="s">
        <v>267</v>
      </c>
      <c r="G480" s="170" t="str">
        <f t="shared" si="2"/>
        <v>Adidas&gt;H&amp;M</v>
      </c>
    </row>
    <row r="481">
      <c r="A481" s="91">
        <v>1.0</v>
      </c>
      <c r="B481" s="91" t="s">
        <v>205</v>
      </c>
      <c r="C481" s="91"/>
      <c r="D481" s="171" t="str">
        <f t="shared" si="1"/>
        <v>Adidas</v>
      </c>
      <c r="F481" s="91" t="s">
        <v>509</v>
      </c>
      <c r="G481" s="170" t="str">
        <f t="shared" si="2"/>
        <v>Adidas&gt;Intimissimi</v>
      </c>
    </row>
    <row r="482">
      <c r="A482" s="91">
        <v>1.0</v>
      </c>
      <c r="B482" s="91" t="s">
        <v>205</v>
      </c>
      <c r="C482" s="91"/>
      <c r="D482" s="171" t="str">
        <f t="shared" si="1"/>
        <v>Adidas</v>
      </c>
      <c r="F482" s="91" t="s">
        <v>1536</v>
      </c>
      <c r="G482" s="170" t="str">
        <f t="shared" si="2"/>
        <v>Adidas&gt;Macrocenter</v>
      </c>
    </row>
    <row r="483">
      <c r="A483" s="91">
        <v>1.0</v>
      </c>
      <c r="B483" s="91" t="s">
        <v>205</v>
      </c>
      <c r="C483" s="91"/>
      <c r="D483" s="171" t="str">
        <f t="shared" si="1"/>
        <v>Adidas</v>
      </c>
      <c r="F483" s="91" t="s">
        <v>2349</v>
      </c>
      <c r="G483" s="170" t="str">
        <f t="shared" si="2"/>
        <v>Adidas&gt;Togg Deneyim Merkezi</v>
      </c>
    </row>
    <row r="484">
      <c r="A484" s="91">
        <v>1.0</v>
      </c>
      <c r="B484" s="91" t="s">
        <v>205</v>
      </c>
      <c r="C484" s="91"/>
      <c r="D484" s="171" t="str">
        <f t="shared" si="1"/>
        <v>Adidas</v>
      </c>
      <c r="F484" s="91" t="s">
        <v>474</v>
      </c>
      <c r="G484" s="170" t="str">
        <f t="shared" si="2"/>
        <v>Adidas&gt;Zara</v>
      </c>
    </row>
    <row r="485">
      <c r="A485" s="91">
        <v>1.0</v>
      </c>
      <c r="B485" s="91" t="s">
        <v>3863</v>
      </c>
      <c r="C485" s="91"/>
      <c r="D485" s="171" t="str">
        <f t="shared" si="1"/>
        <v>Akbank (Şube)(Şube)</v>
      </c>
      <c r="F485" s="91" t="s">
        <v>1548</v>
      </c>
      <c r="G485" s="170" t="str">
        <f t="shared" si="2"/>
        <v>Akbank (Şube)(Şube)&gt;Toyzz Shop</v>
      </c>
    </row>
    <row r="486">
      <c r="A486" s="91">
        <v>1.0</v>
      </c>
      <c r="B486" s="91" t="s">
        <v>285</v>
      </c>
      <c r="C486" s="91"/>
      <c r="D486" s="171" t="str">
        <f t="shared" si="1"/>
        <v>Aldo</v>
      </c>
      <c r="F486" s="91" t="s">
        <v>1015</v>
      </c>
      <c r="G486" s="170" t="str">
        <f t="shared" si="2"/>
        <v>Aldo&gt;Crossing</v>
      </c>
    </row>
    <row r="487">
      <c r="A487" s="91">
        <v>1.0</v>
      </c>
      <c r="B487" s="91" t="s">
        <v>285</v>
      </c>
      <c r="C487" s="91"/>
      <c r="D487" s="171" t="str">
        <f t="shared" si="1"/>
        <v>Aldo</v>
      </c>
      <c r="F487" s="91" t="s">
        <v>2917</v>
      </c>
      <c r="G487" s="170" t="str">
        <f t="shared" si="2"/>
        <v>Aldo&gt;Otopark</v>
      </c>
    </row>
    <row r="488">
      <c r="A488" s="91">
        <v>1.0</v>
      </c>
      <c r="B488" s="91" t="s">
        <v>285</v>
      </c>
      <c r="C488" s="91"/>
      <c r="D488" s="171" t="str">
        <f t="shared" si="1"/>
        <v>Aldo</v>
      </c>
      <c r="F488" s="91" t="s">
        <v>320</v>
      </c>
      <c r="G488" s="170" t="str">
        <f t="shared" si="2"/>
        <v>Aldo&gt;US Polo Assn.</v>
      </c>
    </row>
    <row r="489">
      <c r="A489" s="91">
        <v>1.0</v>
      </c>
      <c r="B489" s="91" t="s">
        <v>285</v>
      </c>
      <c r="C489" s="91"/>
      <c r="D489" s="171" t="str">
        <f t="shared" si="1"/>
        <v>Aldo</v>
      </c>
      <c r="F489" s="91" t="s">
        <v>734</v>
      </c>
      <c r="G489" s="170" t="str">
        <f t="shared" si="2"/>
        <v>Aldo&gt;Vario</v>
      </c>
    </row>
    <row r="490">
      <c r="A490" s="91">
        <v>1.0</v>
      </c>
      <c r="B490" s="91" t="s">
        <v>865</v>
      </c>
      <c r="C490" s="91"/>
      <c r="D490" s="171" t="str">
        <f t="shared" si="1"/>
        <v>Anatoli</v>
      </c>
      <c r="F490" s="91" t="s">
        <v>1106</v>
      </c>
      <c r="G490" s="170" t="str">
        <f t="shared" si="2"/>
        <v>Anatoli&gt;Cantinery</v>
      </c>
    </row>
    <row r="491">
      <c r="A491" s="91">
        <v>1.0</v>
      </c>
      <c r="B491" s="91" t="s">
        <v>1585</v>
      </c>
      <c r="C491" s="91"/>
      <c r="D491" s="171" t="str">
        <f t="shared" si="1"/>
        <v>Any</v>
      </c>
      <c r="F491" s="91" t="s">
        <v>2277</v>
      </c>
      <c r="G491" s="170" t="str">
        <f t="shared" si="2"/>
        <v>Any&gt;Memorial Wellness</v>
      </c>
    </row>
    <row r="492">
      <c r="A492" s="91">
        <v>1.0</v>
      </c>
      <c r="B492" s="91" t="s">
        <v>1585</v>
      </c>
      <c r="C492" s="91"/>
      <c r="D492" s="171" t="str">
        <f t="shared" si="1"/>
        <v>Any</v>
      </c>
      <c r="F492" s="91" t="s">
        <v>181</v>
      </c>
      <c r="G492" s="170" t="str">
        <f t="shared" si="2"/>
        <v>Any&gt;Starbucks</v>
      </c>
    </row>
    <row r="493">
      <c r="A493" s="91">
        <v>1.0</v>
      </c>
      <c r="B493" s="91" t="s">
        <v>579</v>
      </c>
      <c r="C493" s="91"/>
      <c r="D493" s="171" t="str">
        <f t="shared" si="1"/>
        <v>Arby's</v>
      </c>
      <c r="F493" s="91" t="s">
        <v>1579</v>
      </c>
      <c r="G493" s="170" t="str">
        <f t="shared" si="2"/>
        <v>Arby's&gt;D&amp;R</v>
      </c>
    </row>
    <row r="494">
      <c r="A494" s="91">
        <v>1.0</v>
      </c>
      <c r="B494" s="91" t="s">
        <v>579</v>
      </c>
      <c r="C494" s="91"/>
      <c r="D494" s="171" t="str">
        <f t="shared" si="1"/>
        <v>Arby's</v>
      </c>
      <c r="F494" s="91" t="s">
        <v>1031</v>
      </c>
      <c r="G494" s="170" t="str">
        <f t="shared" si="2"/>
        <v>Arby's&gt;Happy Moon's</v>
      </c>
    </row>
    <row r="495">
      <c r="A495" s="91">
        <v>1.0</v>
      </c>
      <c r="B495" s="91" t="s">
        <v>1406</v>
      </c>
      <c r="C495" s="91"/>
      <c r="D495" s="171" t="str">
        <f t="shared" si="1"/>
        <v>Arifoğlu</v>
      </c>
      <c r="F495" s="91" t="s">
        <v>181</v>
      </c>
      <c r="G495" s="170" t="str">
        <f t="shared" si="2"/>
        <v>Arifoğlu&gt;Starbucks</v>
      </c>
    </row>
    <row r="496">
      <c r="A496" s="91">
        <v>1.0</v>
      </c>
      <c r="B496" s="91" t="s">
        <v>211</v>
      </c>
      <c r="C496" s="91"/>
      <c r="D496" s="171" t="str">
        <f t="shared" si="1"/>
        <v>Asics</v>
      </c>
      <c r="F496" s="91" t="s">
        <v>211</v>
      </c>
      <c r="G496" s="170" t="str">
        <f t="shared" si="2"/>
        <v>Asics&gt;Asics</v>
      </c>
    </row>
    <row r="497">
      <c r="A497" s="91">
        <v>1.0</v>
      </c>
      <c r="B497" s="91" t="s">
        <v>211</v>
      </c>
      <c r="C497" s="91"/>
      <c r="D497" s="171" t="str">
        <f t="shared" si="1"/>
        <v>Asics</v>
      </c>
      <c r="F497" s="91" t="s">
        <v>1603</v>
      </c>
      <c r="G497" s="170" t="str">
        <f t="shared" si="2"/>
        <v>Asics&gt;Eataly</v>
      </c>
    </row>
    <row r="498">
      <c r="A498" s="91">
        <v>1.0</v>
      </c>
      <c r="B498" s="91" t="s">
        <v>211</v>
      </c>
      <c r="C498" s="91"/>
      <c r="D498" s="171" t="str">
        <f t="shared" si="1"/>
        <v>Asics</v>
      </c>
      <c r="F498" s="91" t="s">
        <v>1147</v>
      </c>
      <c r="G498" s="170" t="str">
        <f t="shared" si="2"/>
        <v>Asics&gt;Fauchon Paris</v>
      </c>
    </row>
    <row r="499">
      <c r="A499" s="91">
        <v>1.0</v>
      </c>
      <c r="B499" s="91" t="s">
        <v>211</v>
      </c>
      <c r="C499" s="91"/>
      <c r="D499" s="171" t="str">
        <f t="shared" si="1"/>
        <v>Asics</v>
      </c>
      <c r="F499" s="91" t="s">
        <v>3851</v>
      </c>
      <c r="G499" s="170" t="str">
        <f t="shared" si="2"/>
        <v>Asics&gt;Park Area</v>
      </c>
    </row>
    <row r="500">
      <c r="A500" s="91">
        <v>1.0</v>
      </c>
      <c r="B500" s="91" t="s">
        <v>211</v>
      </c>
      <c r="C500" s="91"/>
      <c r="D500" s="171" t="str">
        <f t="shared" si="1"/>
        <v>Asics</v>
      </c>
      <c r="F500" s="91" t="s">
        <v>3854</v>
      </c>
      <c r="G500" s="170" t="str">
        <f t="shared" si="2"/>
        <v>Asics&gt;Pharmacy</v>
      </c>
    </row>
    <row r="501">
      <c r="A501" s="91">
        <v>1.0</v>
      </c>
      <c r="B501" s="91" t="s">
        <v>705</v>
      </c>
      <c r="C501" s="91"/>
      <c r="D501" s="171" t="str">
        <f t="shared" si="1"/>
        <v>Atasay</v>
      </c>
      <c r="F501" s="91" t="s">
        <v>1337</v>
      </c>
      <c r="G501" s="170" t="str">
        <f t="shared" si="2"/>
        <v>Atasay&gt;Godiva</v>
      </c>
    </row>
    <row r="502">
      <c r="A502" s="91">
        <v>1.0</v>
      </c>
      <c r="B502" s="91" t="s">
        <v>705</v>
      </c>
      <c r="C502" s="91"/>
      <c r="D502" s="171" t="str">
        <f t="shared" si="1"/>
        <v>Atasay</v>
      </c>
      <c r="F502" s="91" t="s">
        <v>2277</v>
      </c>
      <c r="G502" s="170" t="str">
        <f t="shared" si="2"/>
        <v>Atasay&gt;Memorial Wellness</v>
      </c>
    </row>
    <row r="503">
      <c r="A503" s="91">
        <v>1.0</v>
      </c>
      <c r="B503" s="91" t="s">
        <v>380</v>
      </c>
      <c r="C503" s="91"/>
      <c r="D503" s="171" t="str">
        <f t="shared" si="1"/>
        <v>Atelier Rebul</v>
      </c>
      <c r="F503" s="91" t="s">
        <v>64</v>
      </c>
      <c r="G503" s="170" t="str">
        <f t="shared" si="2"/>
        <v>Atelier Rebul&gt;Rossmann</v>
      </c>
    </row>
    <row r="504">
      <c r="A504" s="91">
        <v>1.0</v>
      </c>
      <c r="B504" s="91" t="s">
        <v>380</v>
      </c>
      <c r="C504" s="91"/>
      <c r="D504" s="171" t="str">
        <f t="shared" si="1"/>
        <v>Atelier Rebul</v>
      </c>
      <c r="F504" s="91" t="s">
        <v>343</v>
      </c>
      <c r="G504" s="170" t="str">
        <f t="shared" si="2"/>
        <v>Atelier Rebul&gt;Sneaks Up</v>
      </c>
    </row>
    <row r="505">
      <c r="A505" s="91">
        <v>1.0</v>
      </c>
      <c r="B505" s="91" t="s">
        <v>362</v>
      </c>
      <c r="C505" s="91"/>
      <c r="D505" s="171" t="str">
        <f t="shared" si="1"/>
        <v>B&amp;G Store</v>
      </c>
      <c r="F505" s="91" t="s">
        <v>3859</v>
      </c>
      <c r="G505" s="170" t="str">
        <f t="shared" si="2"/>
        <v>B&amp;G Store&gt;Metro&lt;br&gt;Metrobus</v>
      </c>
    </row>
    <row r="506">
      <c r="A506" s="91">
        <v>1.0</v>
      </c>
      <c r="B506" s="91" t="s">
        <v>1088</v>
      </c>
      <c r="C506" s="91"/>
      <c r="D506" s="171" t="str">
        <f t="shared" si="1"/>
        <v>Balenciaga</v>
      </c>
      <c r="F506" s="91" t="s">
        <v>1031</v>
      </c>
      <c r="G506" s="170" t="str">
        <f t="shared" si="2"/>
        <v>Balenciaga&gt;Happy Moon's</v>
      </c>
    </row>
    <row r="507">
      <c r="A507" s="91">
        <v>1.0</v>
      </c>
      <c r="B507" s="91" t="s">
        <v>1088</v>
      </c>
      <c r="C507" s="91"/>
      <c r="D507" s="171" t="str">
        <f t="shared" si="1"/>
        <v>Balenciaga</v>
      </c>
      <c r="F507" s="91" t="s">
        <v>326</v>
      </c>
      <c r="G507" s="170" t="str">
        <f t="shared" si="2"/>
        <v>Balenciaga&gt;Massimo Dutti</v>
      </c>
    </row>
    <row r="508">
      <c r="A508" s="91">
        <v>1.0</v>
      </c>
      <c r="B508" s="91" t="s">
        <v>1088</v>
      </c>
      <c r="C508" s="91"/>
      <c r="D508" s="171" t="str">
        <f t="shared" si="1"/>
        <v>Balenciaga</v>
      </c>
      <c r="F508" s="91" t="s">
        <v>181</v>
      </c>
      <c r="G508" s="170" t="str">
        <f t="shared" si="2"/>
        <v>Balenciaga&gt;Starbucks</v>
      </c>
    </row>
    <row r="509">
      <c r="A509" s="91">
        <v>1.0</v>
      </c>
      <c r="B509" s="91" t="s">
        <v>1325</v>
      </c>
      <c r="C509" s="91"/>
      <c r="D509" s="171" t="str">
        <f t="shared" si="1"/>
        <v>Balmain</v>
      </c>
      <c r="F509" s="91" t="s">
        <v>1603</v>
      </c>
      <c r="G509" s="170" t="str">
        <f t="shared" si="2"/>
        <v>Balmain&gt;Eataly</v>
      </c>
    </row>
    <row r="510">
      <c r="A510" s="91">
        <v>1.0</v>
      </c>
      <c r="B510" s="91" t="s">
        <v>1325</v>
      </c>
      <c r="C510" s="91"/>
      <c r="D510" s="171" t="str">
        <f t="shared" si="1"/>
        <v>Balmain</v>
      </c>
      <c r="F510" s="91" t="s">
        <v>3594</v>
      </c>
      <c r="G510" s="170" t="str">
        <f t="shared" si="2"/>
        <v>Balmain&gt;Tiffany</v>
      </c>
    </row>
    <row r="511">
      <c r="A511" s="91">
        <v>1.0</v>
      </c>
      <c r="B511" s="91" t="s">
        <v>2301</v>
      </c>
      <c r="C511" s="91"/>
      <c r="D511" s="171" t="str">
        <f t="shared" si="1"/>
        <v>Balonevi</v>
      </c>
      <c r="F511" s="91" t="s">
        <v>3402</v>
      </c>
      <c r="G511" s="170" t="str">
        <f t="shared" si="2"/>
        <v>Balonevi&gt;Tuvalet</v>
      </c>
    </row>
    <row r="512">
      <c r="A512" s="91">
        <v>1.0</v>
      </c>
      <c r="B512" s="91" t="s">
        <v>783</v>
      </c>
      <c r="C512" s="91"/>
      <c r="D512" s="171" t="str">
        <f t="shared" si="1"/>
        <v>Baqa</v>
      </c>
      <c r="F512" s="91" t="s">
        <v>569</v>
      </c>
      <c r="G512" s="170" t="str">
        <f t="shared" si="2"/>
        <v>Baqa&gt;Burger King</v>
      </c>
    </row>
    <row r="513">
      <c r="A513" s="91">
        <v>1.0</v>
      </c>
      <c r="B513" s="91" t="s">
        <v>783</v>
      </c>
      <c r="C513" s="91"/>
      <c r="D513" s="171" t="str">
        <f t="shared" si="1"/>
        <v>Baqa</v>
      </c>
      <c r="F513" s="91" t="s">
        <v>1708</v>
      </c>
      <c r="G513" s="170" t="str">
        <f t="shared" si="2"/>
        <v>Baqa&gt;Chakra</v>
      </c>
    </row>
    <row r="514">
      <c r="A514" s="91">
        <v>1.0</v>
      </c>
      <c r="B514" s="91" t="s">
        <v>783</v>
      </c>
      <c r="C514" s="91"/>
      <c r="D514" s="171" t="str">
        <f t="shared" si="1"/>
        <v>Baqa</v>
      </c>
      <c r="F514" s="91" t="s">
        <v>1579</v>
      </c>
      <c r="G514" s="170" t="str">
        <f t="shared" si="2"/>
        <v>Baqa&gt;D&amp;R</v>
      </c>
    </row>
    <row r="515">
      <c r="A515" s="91">
        <v>1.0</v>
      </c>
      <c r="B515" s="91" t="s">
        <v>783</v>
      </c>
      <c r="C515" s="91"/>
      <c r="D515" s="171" t="str">
        <f t="shared" si="1"/>
        <v>Baqa</v>
      </c>
      <c r="F515" s="91" t="s">
        <v>1536</v>
      </c>
      <c r="G515" s="170" t="str">
        <f t="shared" si="2"/>
        <v>Baqa&gt;Macrocenter</v>
      </c>
    </row>
    <row r="516">
      <c r="A516" s="91">
        <v>1.0</v>
      </c>
      <c r="B516" s="91" t="s">
        <v>783</v>
      </c>
      <c r="C516" s="91"/>
      <c r="D516" s="171" t="str">
        <f t="shared" si="1"/>
        <v>Baqa</v>
      </c>
      <c r="F516" s="91" t="s">
        <v>240</v>
      </c>
      <c r="G516" s="170" t="str">
        <f t="shared" si="2"/>
        <v>Baqa&gt;Nike by Levazım</v>
      </c>
    </row>
    <row r="517">
      <c r="A517" s="91">
        <v>1.0</v>
      </c>
      <c r="B517" s="91" t="s">
        <v>783</v>
      </c>
      <c r="C517" s="91"/>
      <c r="D517" s="171" t="str">
        <f t="shared" si="1"/>
        <v>Baqa</v>
      </c>
      <c r="F517" s="91" t="s">
        <v>2834</v>
      </c>
      <c r="G517" s="170" t="str">
        <f t="shared" si="2"/>
        <v>Baqa&gt;Pharmacy Zorlu Center</v>
      </c>
    </row>
    <row r="518">
      <c r="A518" s="91">
        <v>1.0</v>
      </c>
      <c r="B518" s="91" t="s">
        <v>783</v>
      </c>
      <c r="C518" s="91"/>
      <c r="D518" s="171" t="str">
        <f t="shared" si="1"/>
        <v>Baqa</v>
      </c>
      <c r="F518" s="91" t="s">
        <v>181</v>
      </c>
      <c r="G518" s="170" t="str">
        <f t="shared" si="2"/>
        <v>Baqa&gt;Starbucks</v>
      </c>
    </row>
    <row r="519">
      <c r="A519" s="91">
        <v>1.0</v>
      </c>
      <c r="B519" s="91" t="s">
        <v>783</v>
      </c>
      <c r="C519" s="91"/>
      <c r="D519" s="171" t="str">
        <f t="shared" si="1"/>
        <v>Baqa</v>
      </c>
      <c r="F519" s="91" t="s">
        <v>474</v>
      </c>
      <c r="G519" s="170" t="str">
        <f t="shared" si="2"/>
        <v>Baqa&gt;Zara</v>
      </c>
    </row>
    <row r="520">
      <c r="A520" s="91">
        <v>1.0</v>
      </c>
      <c r="B520" s="91" t="s">
        <v>1245</v>
      </c>
      <c r="C520" s="91"/>
      <c r="D520" s="171" t="str">
        <f t="shared" si="1"/>
        <v>Bee Goddess</v>
      </c>
      <c r="F520" s="91" t="s">
        <v>1245</v>
      </c>
      <c r="G520" s="170" t="str">
        <f t="shared" si="2"/>
        <v>Bee Goddess&gt;Bee Goddess</v>
      </c>
    </row>
    <row r="521">
      <c r="A521" s="91">
        <v>1.0</v>
      </c>
      <c r="B521" s="91" t="s">
        <v>3864</v>
      </c>
      <c r="C521" s="91"/>
      <c r="D521" s="171" t="str">
        <f t="shared" si="1"/>
        <v>Ben Touch A.Ş.</v>
      </c>
      <c r="F521" s="91" t="s">
        <v>343</v>
      </c>
      <c r="G521" s="170" t="str">
        <f t="shared" si="2"/>
        <v>Ben Touch A.Ş.&gt;Sneaks Up</v>
      </c>
    </row>
    <row r="522">
      <c r="A522" s="91">
        <v>1.0</v>
      </c>
      <c r="B522" s="91" t="s">
        <v>752</v>
      </c>
      <c r="C522" s="91"/>
      <c r="D522" s="171" t="str">
        <f t="shared" si="1"/>
        <v>Beymen Club</v>
      </c>
      <c r="F522" s="91" t="s">
        <v>418</v>
      </c>
      <c r="G522" s="170" t="str">
        <f t="shared" si="2"/>
        <v>Beymen Club&gt;Dyson</v>
      </c>
    </row>
    <row r="523">
      <c r="A523" s="91">
        <v>1.0</v>
      </c>
      <c r="B523" s="91" t="s">
        <v>752</v>
      </c>
      <c r="C523" s="91"/>
      <c r="D523" s="171" t="str">
        <f t="shared" si="1"/>
        <v>Beymen Club</v>
      </c>
      <c r="F523" s="91" t="s">
        <v>1207</v>
      </c>
      <c r="G523" s="170" t="str">
        <f t="shared" si="2"/>
        <v>Beymen Club&gt;Greenwich</v>
      </c>
    </row>
    <row r="524">
      <c r="A524" s="91">
        <v>1.0</v>
      </c>
      <c r="B524" s="91" t="s">
        <v>752</v>
      </c>
      <c r="C524" s="91"/>
      <c r="D524" s="171" t="str">
        <f t="shared" si="1"/>
        <v>Beymen Club</v>
      </c>
      <c r="F524" s="91" t="s">
        <v>1536</v>
      </c>
      <c r="G524" s="170" t="str">
        <f t="shared" si="2"/>
        <v>Beymen Club&gt;Macrocenter</v>
      </c>
    </row>
    <row r="525">
      <c r="A525" s="91">
        <v>1.0</v>
      </c>
      <c r="B525" s="91" t="s">
        <v>752</v>
      </c>
      <c r="C525" s="91"/>
      <c r="D525" s="171" t="str">
        <f t="shared" si="1"/>
        <v>Beymen Club</v>
      </c>
      <c r="F525" s="91" t="s">
        <v>1345</v>
      </c>
      <c r="G525" s="170" t="str">
        <f t="shared" si="2"/>
        <v>Beymen Club&gt;Raffles Istanbul</v>
      </c>
    </row>
    <row r="526">
      <c r="A526" s="91">
        <v>1.0</v>
      </c>
      <c r="B526" s="91" t="s">
        <v>752</v>
      </c>
      <c r="C526" s="91"/>
      <c r="D526" s="171" t="str">
        <f t="shared" si="1"/>
        <v>Beymen Club</v>
      </c>
      <c r="F526" s="91" t="s">
        <v>343</v>
      </c>
      <c r="G526" s="170" t="str">
        <f t="shared" si="2"/>
        <v>Beymen Club&gt;Sneaks Up</v>
      </c>
    </row>
    <row r="527">
      <c r="A527" s="91">
        <v>1.0</v>
      </c>
      <c r="B527" s="91" t="s">
        <v>752</v>
      </c>
      <c r="C527" s="91"/>
      <c r="D527" s="171" t="str">
        <f t="shared" si="1"/>
        <v>Beymen Club</v>
      </c>
      <c r="F527" s="91" t="s">
        <v>474</v>
      </c>
      <c r="G527" s="170" t="str">
        <f t="shared" si="2"/>
        <v>Beymen Club&gt;Zara</v>
      </c>
    </row>
    <row r="528">
      <c r="A528" s="91">
        <v>1.0</v>
      </c>
      <c r="B528" s="91" t="s">
        <v>752</v>
      </c>
      <c r="C528" s="91"/>
      <c r="D528" s="171" t="str">
        <f t="shared" si="1"/>
        <v>Beymen Club</v>
      </c>
      <c r="F528" s="91" t="s">
        <v>1668</v>
      </c>
      <c r="G528" s="170" t="str">
        <f t="shared" si="2"/>
        <v>Beymen Club&gt;Zula</v>
      </c>
    </row>
    <row r="529">
      <c r="A529" s="91">
        <v>1.0</v>
      </c>
      <c r="B529" s="91" t="s">
        <v>3865</v>
      </c>
      <c r="C529" s="91"/>
      <c r="D529" s="171" t="str">
        <f t="shared" si="1"/>
        <v>Beymen(Morini yanı)</v>
      </c>
      <c r="F529" s="91" t="s">
        <v>399</v>
      </c>
      <c r="G529" s="170" t="str">
        <f t="shared" si="2"/>
        <v>Beymen(Morini yanı)&gt;Apple</v>
      </c>
    </row>
    <row r="530">
      <c r="A530" s="91">
        <v>1.0</v>
      </c>
      <c r="B530" s="91" t="s">
        <v>3865</v>
      </c>
      <c r="C530" s="91"/>
      <c r="D530" s="171" t="str">
        <f t="shared" si="1"/>
        <v>Beymen(Morini yanı)</v>
      </c>
      <c r="F530" s="91" t="s">
        <v>682</v>
      </c>
      <c r="G530" s="170" t="str">
        <f t="shared" si="2"/>
        <v>Beymen(Morini yanı)&gt;Beymen</v>
      </c>
    </row>
    <row r="531">
      <c r="A531" s="91">
        <v>1.0</v>
      </c>
      <c r="B531" s="91" t="s">
        <v>3865</v>
      </c>
      <c r="C531" s="91"/>
      <c r="D531" s="171" t="str">
        <f t="shared" si="1"/>
        <v>Beymen(Morini yanı)</v>
      </c>
      <c r="F531" s="91" t="s">
        <v>1065</v>
      </c>
      <c r="G531" s="170" t="str">
        <f t="shared" si="2"/>
        <v>Beymen(Morini yanı)&gt;Günaydın Kasap &amp; Steakhouse</v>
      </c>
    </row>
    <row r="532">
      <c r="A532" s="91">
        <v>1.0</v>
      </c>
      <c r="B532" s="91" t="s">
        <v>3865</v>
      </c>
      <c r="C532" s="91"/>
      <c r="D532" s="171" t="str">
        <f t="shared" si="1"/>
        <v>Beymen(Morini yanı)</v>
      </c>
      <c r="F532" s="91" t="s">
        <v>1678</v>
      </c>
      <c r="G532" s="170" t="str">
        <f t="shared" si="2"/>
        <v>Beymen(Morini yanı)&gt;Vakko Home</v>
      </c>
    </row>
    <row r="533">
      <c r="A533" s="91">
        <v>1.0</v>
      </c>
      <c r="B533" s="91" t="s">
        <v>3866</v>
      </c>
      <c r="C533" s="91"/>
      <c r="D533" s="171" t="str">
        <f t="shared" si="1"/>
        <v>Beymen(Next to Morini)</v>
      </c>
      <c r="F533" s="91" t="s">
        <v>569</v>
      </c>
      <c r="G533" s="170" t="str">
        <f t="shared" si="2"/>
        <v>Beymen(Next to Morini)&gt;Burger King</v>
      </c>
    </row>
    <row r="534">
      <c r="A534" s="91">
        <v>1.0</v>
      </c>
      <c r="B534" s="91" t="s">
        <v>3866</v>
      </c>
      <c r="C534" s="91"/>
      <c r="D534" s="171" t="str">
        <f t="shared" si="1"/>
        <v>Beymen(Next to Morini)</v>
      </c>
      <c r="F534" s="91" t="s">
        <v>3032</v>
      </c>
      <c r="G534" s="170" t="str">
        <f t="shared" si="2"/>
        <v>Beymen(Next to Morini)&gt;Infirmary</v>
      </c>
    </row>
    <row r="535">
      <c r="A535" s="91">
        <v>1.0</v>
      </c>
      <c r="B535" s="91" t="s">
        <v>3866</v>
      </c>
      <c r="C535" s="91"/>
      <c r="D535" s="171" t="str">
        <f t="shared" si="1"/>
        <v>Beymen(Next to Morini)</v>
      </c>
      <c r="F535" s="91" t="s">
        <v>3852</v>
      </c>
      <c r="G535" s="170" t="str">
        <f t="shared" si="2"/>
        <v>Beymen(Next to Morini)&gt;WC</v>
      </c>
    </row>
    <row r="536">
      <c r="A536" s="91">
        <v>1.0</v>
      </c>
      <c r="B536" s="91" t="s">
        <v>3867</v>
      </c>
      <c r="C536" s="91"/>
      <c r="D536" s="171" t="str">
        <f t="shared" si="1"/>
        <v>Beymen(Next to Tommy Hilfiger)</v>
      </c>
      <c r="F536" s="91" t="s">
        <v>682</v>
      </c>
      <c r="G536" s="170" t="str">
        <f t="shared" si="2"/>
        <v>Beymen(Next to Tommy Hilfiger)&gt;Beymen</v>
      </c>
    </row>
    <row r="537">
      <c r="A537" s="91">
        <v>1.0</v>
      </c>
      <c r="B537" s="91" t="s">
        <v>3867</v>
      </c>
      <c r="C537" s="91"/>
      <c r="D537" s="171" t="str">
        <f t="shared" si="1"/>
        <v>Beymen(Next to Tommy Hilfiger)</v>
      </c>
      <c r="F537" s="91" t="s">
        <v>569</v>
      </c>
      <c r="G537" s="170" t="str">
        <f t="shared" si="2"/>
        <v>Beymen(Next to Tommy Hilfiger)&gt;Burger King</v>
      </c>
    </row>
    <row r="538">
      <c r="A538" s="91">
        <v>1.0</v>
      </c>
      <c r="B538" s="91" t="s">
        <v>3867</v>
      </c>
      <c r="C538" s="91"/>
      <c r="D538" s="171" t="str">
        <f t="shared" si="1"/>
        <v>Beymen(Next to Tommy Hilfiger)</v>
      </c>
      <c r="F538" s="91" t="s">
        <v>777</v>
      </c>
      <c r="G538" s="170" t="str">
        <f t="shared" si="2"/>
        <v>Beymen(Next to Tommy Hilfiger)&gt;COS</v>
      </c>
    </row>
    <row r="539">
      <c r="A539" s="91">
        <v>1.0</v>
      </c>
      <c r="B539" s="91" t="s">
        <v>3867</v>
      </c>
      <c r="C539" s="91"/>
      <c r="D539" s="171" t="str">
        <f t="shared" si="1"/>
        <v>Beymen(Next to Tommy Hilfiger)</v>
      </c>
      <c r="F539" s="91" t="s">
        <v>1278</v>
      </c>
      <c r="G539" s="170" t="str">
        <f t="shared" si="2"/>
        <v>Beymen(Next to Tommy Hilfiger)&gt;Louis Vuitton</v>
      </c>
    </row>
    <row r="540">
      <c r="A540" s="91">
        <v>1.0</v>
      </c>
      <c r="B540" s="91" t="s">
        <v>3867</v>
      </c>
      <c r="C540" s="91"/>
      <c r="D540" s="171" t="str">
        <f t="shared" si="1"/>
        <v>Beymen(Next to Tommy Hilfiger)</v>
      </c>
      <c r="F540" s="91" t="s">
        <v>1296</v>
      </c>
      <c r="G540" s="170" t="str">
        <f t="shared" si="2"/>
        <v>Beymen(Next to Tommy Hilfiger)&gt;Parle</v>
      </c>
    </row>
    <row r="541">
      <c r="A541" s="91">
        <v>1.0</v>
      </c>
      <c r="B541" s="91" t="s">
        <v>3867</v>
      </c>
      <c r="C541" s="91"/>
      <c r="D541" s="171" t="str">
        <f t="shared" si="1"/>
        <v>Beymen(Next to Tommy Hilfiger)</v>
      </c>
      <c r="F541" s="91" t="s">
        <v>722</v>
      </c>
      <c r="G541" s="170" t="str">
        <f t="shared" si="2"/>
        <v>Beymen(Next to Tommy Hilfiger)&gt;Ramsey</v>
      </c>
    </row>
    <row r="542">
      <c r="A542" s="91">
        <v>1.0</v>
      </c>
      <c r="B542" s="91" t="s">
        <v>3867</v>
      </c>
      <c r="C542" s="91"/>
      <c r="D542" s="171" t="str">
        <f t="shared" si="1"/>
        <v>Beymen(Next to Tommy Hilfiger)</v>
      </c>
      <c r="F542" s="91" t="s">
        <v>474</v>
      </c>
      <c r="G542" s="170" t="str">
        <f t="shared" si="2"/>
        <v>Beymen(Next to Tommy Hilfiger)&gt;Zara</v>
      </c>
    </row>
    <row r="543">
      <c r="A543" s="91">
        <v>1.0</v>
      </c>
      <c r="B543" s="91" t="s">
        <v>3850</v>
      </c>
      <c r="C543" s="91"/>
      <c r="D543" s="171" t="str">
        <f t="shared" si="1"/>
        <v>Beymen(Tommy Hilfiger yanı)</v>
      </c>
      <c r="F543" s="91" t="s">
        <v>752</v>
      </c>
      <c r="G543" s="170" t="str">
        <f t="shared" si="2"/>
        <v>Beymen(Tommy Hilfiger yanı)&gt;Beymen Club</v>
      </c>
    </row>
    <row r="544">
      <c r="A544" s="91">
        <v>1.0</v>
      </c>
      <c r="B544" s="91" t="s">
        <v>3850</v>
      </c>
      <c r="C544" s="91"/>
      <c r="D544" s="171" t="str">
        <f t="shared" si="1"/>
        <v>Beymen(Tommy Hilfiger yanı)</v>
      </c>
      <c r="F544" s="91" t="s">
        <v>1059</v>
      </c>
      <c r="G544" s="170" t="str">
        <f t="shared" si="2"/>
        <v>Beymen(Tommy Hilfiger yanı)&gt;BigChefs</v>
      </c>
    </row>
    <row r="545">
      <c r="A545" s="91">
        <v>1.0</v>
      </c>
      <c r="B545" s="91" t="s">
        <v>3850</v>
      </c>
      <c r="C545" s="91"/>
      <c r="D545" s="171" t="str">
        <f t="shared" si="1"/>
        <v>Beymen(Tommy Hilfiger yanı)</v>
      </c>
      <c r="F545" s="91" t="s">
        <v>1031</v>
      </c>
      <c r="G545" s="170" t="str">
        <f t="shared" si="2"/>
        <v>Beymen(Tommy Hilfiger yanı)&gt;Happy Moon's</v>
      </c>
    </row>
    <row r="546">
      <c r="A546" s="91">
        <v>1.0</v>
      </c>
      <c r="B546" s="91" t="s">
        <v>3850</v>
      </c>
      <c r="C546" s="91"/>
      <c r="D546" s="171" t="str">
        <f t="shared" si="1"/>
        <v>Beymen(Tommy Hilfiger yanı)</v>
      </c>
      <c r="F546" s="91" t="s">
        <v>1141</v>
      </c>
      <c r="G546" s="170" t="str">
        <f t="shared" si="2"/>
        <v>Beymen(Tommy Hilfiger yanı)&gt;Morini</v>
      </c>
    </row>
    <row r="547">
      <c r="A547" s="91">
        <v>1.0</v>
      </c>
      <c r="B547" s="91" t="s">
        <v>3850</v>
      </c>
      <c r="C547" s="91"/>
      <c r="D547" s="171" t="str">
        <f t="shared" si="1"/>
        <v>Beymen(Tommy Hilfiger yanı)</v>
      </c>
      <c r="F547" s="91" t="s">
        <v>3783</v>
      </c>
      <c r="G547" s="170" t="str">
        <f t="shared" si="2"/>
        <v>Beymen(Tommy Hilfiger yanı)&gt;PSM</v>
      </c>
    </row>
    <row r="548">
      <c r="A548" s="91">
        <v>1.0</v>
      </c>
      <c r="B548" s="91" t="s">
        <v>3850</v>
      </c>
      <c r="C548" s="91"/>
      <c r="D548" s="171" t="str">
        <f t="shared" si="1"/>
        <v>Beymen(Tommy Hilfiger yanı)</v>
      </c>
      <c r="F548" s="91" t="s">
        <v>1548</v>
      </c>
      <c r="G548" s="170" t="str">
        <f t="shared" si="2"/>
        <v>Beymen(Tommy Hilfiger yanı)&gt;Toyzz Shop</v>
      </c>
    </row>
    <row r="549">
      <c r="A549" s="91">
        <v>1.0</v>
      </c>
      <c r="B549" s="91" t="s">
        <v>3850</v>
      </c>
      <c r="C549" s="91"/>
      <c r="D549" s="171" t="str">
        <f t="shared" si="1"/>
        <v>Beymen(Tommy Hilfiger yanı)</v>
      </c>
      <c r="F549" s="91" t="s">
        <v>1668</v>
      </c>
      <c r="G549" s="170" t="str">
        <f t="shared" si="2"/>
        <v>Beymen(Tommy Hilfiger yanı)&gt;Zula</v>
      </c>
    </row>
    <row r="550">
      <c r="A550" s="91">
        <v>1.0</v>
      </c>
      <c r="B550" s="91" t="s">
        <v>1059</v>
      </c>
      <c r="C550" s="91"/>
      <c r="D550" s="171" t="str">
        <f t="shared" si="1"/>
        <v>BigChefs</v>
      </c>
      <c r="F550" s="91" t="s">
        <v>682</v>
      </c>
      <c r="G550" s="170" t="str">
        <f t="shared" si="2"/>
        <v>BigChefs&gt;Beymen</v>
      </c>
    </row>
    <row r="551">
      <c r="A551" s="91">
        <v>1.0</v>
      </c>
      <c r="B551" s="91" t="s">
        <v>1059</v>
      </c>
      <c r="C551" s="91"/>
      <c r="D551" s="171" t="str">
        <f t="shared" si="1"/>
        <v>BigChefs</v>
      </c>
      <c r="F551" s="91" t="s">
        <v>1031</v>
      </c>
      <c r="G551" s="170" t="str">
        <f t="shared" si="2"/>
        <v>BigChefs&gt;Happy Moon's</v>
      </c>
    </row>
    <row r="552">
      <c r="A552" s="91">
        <v>1.0</v>
      </c>
      <c r="B552" s="91" t="s">
        <v>1059</v>
      </c>
      <c r="C552" s="91"/>
      <c r="D552" s="171" t="str">
        <f t="shared" si="1"/>
        <v>BigChefs</v>
      </c>
      <c r="F552" s="91" t="s">
        <v>240</v>
      </c>
      <c r="G552" s="170" t="str">
        <f t="shared" si="2"/>
        <v>BigChefs&gt;Nike by Levazım</v>
      </c>
    </row>
    <row r="553">
      <c r="A553" s="91">
        <v>1.0</v>
      </c>
      <c r="B553" s="91" t="s">
        <v>1059</v>
      </c>
      <c r="C553" s="91"/>
      <c r="D553" s="171" t="str">
        <f t="shared" si="1"/>
        <v>BigChefs</v>
      </c>
      <c r="F553" s="91" t="s">
        <v>2917</v>
      </c>
      <c r="G553" s="170" t="str">
        <f t="shared" si="2"/>
        <v>BigChefs&gt;Otopark</v>
      </c>
    </row>
    <row r="554">
      <c r="A554" s="91">
        <v>1.0</v>
      </c>
      <c r="B554" s="91" t="s">
        <v>1059</v>
      </c>
      <c r="C554" s="91"/>
      <c r="D554" s="171" t="str">
        <f t="shared" si="1"/>
        <v>BigChefs</v>
      </c>
      <c r="F554" s="91" t="s">
        <v>3860</v>
      </c>
      <c r="G554" s="170" t="str">
        <f t="shared" si="2"/>
        <v>BigChefs&gt;Raffles İstanbul</v>
      </c>
    </row>
    <row r="555">
      <c r="A555" s="91">
        <v>1.0</v>
      </c>
      <c r="B555" s="91" t="s">
        <v>1059</v>
      </c>
      <c r="C555" s="91"/>
      <c r="D555" s="171" t="str">
        <f t="shared" si="1"/>
        <v>BigChefs</v>
      </c>
      <c r="F555" s="91" t="s">
        <v>343</v>
      </c>
      <c r="G555" s="170" t="str">
        <f t="shared" si="2"/>
        <v>BigChefs&gt;Sneaks Up</v>
      </c>
    </row>
    <row r="556">
      <c r="A556" s="91">
        <v>1.0</v>
      </c>
      <c r="B556" s="91" t="s">
        <v>1059</v>
      </c>
      <c r="C556" s="91"/>
      <c r="D556" s="171" t="str">
        <f t="shared" si="1"/>
        <v>BigChefs</v>
      </c>
      <c r="F556" s="91" t="s">
        <v>1548</v>
      </c>
      <c r="G556" s="170" t="str">
        <f t="shared" si="2"/>
        <v>BigChefs&gt;Toyzz Shop</v>
      </c>
    </row>
    <row r="557">
      <c r="A557" s="91">
        <v>1.0</v>
      </c>
      <c r="B557" s="91" t="s">
        <v>1059</v>
      </c>
      <c r="C557" s="91"/>
      <c r="D557" s="171" t="str">
        <f t="shared" si="1"/>
        <v>BigChefs</v>
      </c>
      <c r="F557" s="91" t="s">
        <v>485</v>
      </c>
      <c r="G557" s="170" t="str">
        <f t="shared" si="2"/>
        <v>BigChefs&gt;Watsons</v>
      </c>
    </row>
    <row r="558">
      <c r="A558" s="91">
        <v>1.0</v>
      </c>
      <c r="B558" s="91" t="s">
        <v>1059</v>
      </c>
      <c r="C558" s="91"/>
      <c r="D558" s="171" t="str">
        <f t="shared" si="1"/>
        <v>BigChefs</v>
      </c>
      <c r="F558" s="91" t="s">
        <v>1009</v>
      </c>
      <c r="G558" s="170" t="str">
        <f t="shared" si="2"/>
        <v>BigChefs&gt;Welldone</v>
      </c>
    </row>
    <row r="559">
      <c r="A559" s="91">
        <v>1.0</v>
      </c>
      <c r="B559" s="91" t="s">
        <v>1059</v>
      </c>
      <c r="C559" s="91"/>
      <c r="D559" s="171" t="str">
        <f t="shared" si="1"/>
        <v>BigChefs</v>
      </c>
      <c r="F559" s="91" t="s">
        <v>474</v>
      </c>
      <c r="G559" s="170" t="str">
        <f t="shared" si="2"/>
        <v>BigChefs&gt;Zara</v>
      </c>
    </row>
    <row r="560">
      <c r="A560" s="91">
        <v>1.0</v>
      </c>
      <c r="B560" s="91" t="s">
        <v>1059</v>
      </c>
      <c r="C560" s="91"/>
      <c r="D560" s="171" t="str">
        <f t="shared" si="1"/>
        <v>BigChefs</v>
      </c>
      <c r="F560" s="91" t="s">
        <v>1668</v>
      </c>
      <c r="G560" s="170" t="str">
        <f t="shared" si="2"/>
        <v>BigChefs&gt;Zula</v>
      </c>
    </row>
    <row r="561">
      <c r="A561" s="91">
        <v>1.0</v>
      </c>
      <c r="B561" s="91" t="s">
        <v>1059</v>
      </c>
      <c r="C561" s="91"/>
      <c r="D561" s="171" t="str">
        <f t="shared" si="1"/>
        <v>BigChefs</v>
      </c>
      <c r="F561" s="91" t="s">
        <v>1118</v>
      </c>
      <c r="G561" s="170" t="str">
        <f t="shared" si="2"/>
        <v>BigChefs&gt;Şükrü Dudu Barber’s Club</v>
      </c>
    </row>
    <row r="562">
      <c r="A562" s="91">
        <v>1.0</v>
      </c>
      <c r="B562" s="91" t="s">
        <v>652</v>
      </c>
      <c r="C562" s="91"/>
      <c r="D562" s="171" t="str">
        <f t="shared" si="1"/>
        <v>Bobbi Brown</v>
      </c>
      <c r="F562" s="91" t="s">
        <v>1065</v>
      </c>
      <c r="G562" s="170" t="str">
        <f t="shared" si="2"/>
        <v>Bobbi Brown&gt;Günaydın Kasap &amp; Steakhouse</v>
      </c>
    </row>
    <row r="563">
      <c r="A563" s="91">
        <v>1.0</v>
      </c>
      <c r="B563" s="91" t="s">
        <v>652</v>
      </c>
      <c r="C563" s="91"/>
      <c r="D563" s="171" t="str">
        <f t="shared" si="1"/>
        <v>Bobbi Brown</v>
      </c>
      <c r="F563" s="91" t="s">
        <v>503</v>
      </c>
      <c r="G563" s="170" t="str">
        <f t="shared" si="2"/>
        <v>Bobbi Brown&gt;Plus Kitchen</v>
      </c>
    </row>
    <row r="564">
      <c r="A564" s="91">
        <v>1.0</v>
      </c>
      <c r="B564" s="91" t="s">
        <v>234</v>
      </c>
      <c r="C564" s="91"/>
      <c r="D564" s="171" t="str">
        <f t="shared" si="1"/>
        <v>Brandy's</v>
      </c>
      <c r="F564" s="91" t="s">
        <v>1082</v>
      </c>
      <c r="G564" s="170" t="str">
        <f t="shared" si="2"/>
        <v>Brandy's&gt;Saray Muhallebicisi</v>
      </c>
    </row>
    <row r="565">
      <c r="A565" s="91">
        <v>1.0</v>
      </c>
      <c r="B565" s="91" t="s">
        <v>234</v>
      </c>
      <c r="C565" s="91"/>
      <c r="D565" s="171" t="str">
        <f t="shared" si="1"/>
        <v>Brandy's</v>
      </c>
      <c r="F565" s="91" t="s">
        <v>3402</v>
      </c>
      <c r="G565" s="170" t="str">
        <f t="shared" si="2"/>
        <v>Brandy's&gt;Tuvalet</v>
      </c>
    </row>
    <row r="566">
      <c r="A566" s="91">
        <v>1.0</v>
      </c>
      <c r="B566" s="91" t="s">
        <v>234</v>
      </c>
      <c r="C566" s="91"/>
      <c r="D566" s="171" t="str">
        <f t="shared" si="1"/>
        <v>Brandy's</v>
      </c>
      <c r="F566" s="91" t="s">
        <v>320</v>
      </c>
      <c r="G566" s="170" t="str">
        <f t="shared" si="2"/>
        <v>Brandy's&gt;US Polo Assn.</v>
      </c>
    </row>
    <row r="567">
      <c r="A567" s="91">
        <v>1.0</v>
      </c>
      <c r="B567" s="91" t="s">
        <v>234</v>
      </c>
      <c r="C567" s="91"/>
      <c r="D567" s="171" t="str">
        <f t="shared" si="1"/>
        <v>Brandy's</v>
      </c>
      <c r="F567" s="91" t="s">
        <v>245</v>
      </c>
      <c r="G567" s="170" t="str">
        <f t="shared" si="2"/>
        <v>Brandy's&gt;Victoria's Secret Pink</v>
      </c>
    </row>
    <row r="568">
      <c r="A568" s="91">
        <v>1.0</v>
      </c>
      <c r="B568" s="91" t="s">
        <v>694</v>
      </c>
      <c r="C568" s="91"/>
      <c r="D568" s="171" t="str">
        <f t="shared" si="1"/>
        <v>Brooks Brothers</v>
      </c>
      <c r="F568" s="91" t="s">
        <v>694</v>
      </c>
      <c r="G568" s="170" t="str">
        <f t="shared" si="2"/>
        <v>Brooks Brothers&gt;Brooks Brothers</v>
      </c>
    </row>
    <row r="569">
      <c r="A569" s="91">
        <v>1.0</v>
      </c>
      <c r="B569" s="91" t="s">
        <v>694</v>
      </c>
      <c r="C569" s="91"/>
      <c r="D569" s="171" t="str">
        <f t="shared" si="1"/>
        <v>Brooks Brothers</v>
      </c>
      <c r="F569" s="91" t="s">
        <v>1106</v>
      </c>
      <c r="G569" s="170" t="str">
        <f t="shared" si="2"/>
        <v>Brooks Brothers&gt;Cantinery</v>
      </c>
    </row>
    <row r="570">
      <c r="A570" s="91">
        <v>1.0</v>
      </c>
      <c r="B570" s="91" t="s">
        <v>694</v>
      </c>
      <c r="C570" s="91"/>
      <c r="D570" s="171" t="str">
        <f t="shared" si="1"/>
        <v>Brooks Brothers</v>
      </c>
      <c r="F570" s="91" t="s">
        <v>181</v>
      </c>
      <c r="G570" s="170" t="str">
        <f t="shared" si="2"/>
        <v>Brooks Brothers&gt;Starbucks</v>
      </c>
    </row>
    <row r="571">
      <c r="A571" s="91">
        <v>1.0</v>
      </c>
      <c r="B571" s="91" t="s">
        <v>694</v>
      </c>
      <c r="C571" s="91"/>
      <c r="D571" s="171" t="str">
        <f t="shared" si="1"/>
        <v>Brooks Brothers</v>
      </c>
      <c r="F571" s="91" t="s">
        <v>1020</v>
      </c>
      <c r="G571" s="170" t="str">
        <f t="shared" si="2"/>
        <v>Brooks Brothers&gt;Vakko</v>
      </c>
    </row>
    <row r="572">
      <c r="A572" s="91">
        <v>1.0</v>
      </c>
      <c r="B572" s="91" t="s">
        <v>2297</v>
      </c>
      <c r="C572" s="91"/>
      <c r="D572" s="171" t="str">
        <f t="shared" si="1"/>
        <v>Burberry Children</v>
      </c>
      <c r="F572" s="91" t="s">
        <v>2065</v>
      </c>
      <c r="G572" s="170" t="str">
        <f t="shared" si="2"/>
        <v>Burberry Children&gt;Saint Laurent</v>
      </c>
    </row>
    <row r="573">
      <c r="A573" s="91">
        <v>1.0</v>
      </c>
      <c r="B573" s="91" t="s">
        <v>1100</v>
      </c>
      <c r="C573" s="91"/>
      <c r="D573" s="171" t="str">
        <f t="shared" si="1"/>
        <v>Burberry</v>
      </c>
      <c r="F573" s="91" t="s">
        <v>1059</v>
      </c>
      <c r="G573" s="170" t="str">
        <f t="shared" si="2"/>
        <v>Burberry&gt;BigChefs</v>
      </c>
    </row>
    <row r="574">
      <c r="A574" s="91">
        <v>1.0</v>
      </c>
      <c r="B574" s="91" t="s">
        <v>1100</v>
      </c>
      <c r="C574" s="91"/>
      <c r="D574" s="171" t="str">
        <f t="shared" si="1"/>
        <v>Burberry</v>
      </c>
      <c r="F574" s="91" t="s">
        <v>569</v>
      </c>
      <c r="G574" s="170" t="str">
        <f t="shared" si="2"/>
        <v>Burberry&gt;Burger King</v>
      </c>
    </row>
    <row r="575">
      <c r="A575" s="91">
        <v>1.0</v>
      </c>
      <c r="B575" s="91" t="s">
        <v>1100</v>
      </c>
      <c r="C575" s="91"/>
      <c r="D575" s="171" t="str">
        <f t="shared" si="1"/>
        <v>Burberry</v>
      </c>
      <c r="F575" s="91" t="s">
        <v>2427</v>
      </c>
      <c r="G575" s="170" t="str">
        <f t="shared" si="2"/>
        <v>Burberry&gt;MAC Mars Athletic Club</v>
      </c>
    </row>
    <row r="576">
      <c r="A576" s="91">
        <v>1.0</v>
      </c>
      <c r="B576" s="91" t="s">
        <v>1100</v>
      </c>
      <c r="C576" s="91"/>
      <c r="D576" s="171" t="str">
        <f t="shared" si="1"/>
        <v>Burberry</v>
      </c>
      <c r="F576" s="91" t="s">
        <v>1696</v>
      </c>
      <c r="G576" s="170" t="str">
        <f t="shared" si="2"/>
        <v>Burberry&gt;MOC</v>
      </c>
    </row>
    <row r="577">
      <c r="A577" s="91">
        <v>1.0</v>
      </c>
      <c r="B577" s="91" t="s">
        <v>1100</v>
      </c>
      <c r="C577" s="91"/>
      <c r="D577" s="171" t="str">
        <f t="shared" si="1"/>
        <v>Burberry</v>
      </c>
      <c r="F577" s="91" t="s">
        <v>3854</v>
      </c>
      <c r="G577" s="170" t="str">
        <f t="shared" si="2"/>
        <v>Burberry&gt;Pharmacy</v>
      </c>
    </row>
    <row r="578">
      <c r="A578" s="91">
        <v>1.0</v>
      </c>
      <c r="B578" s="91" t="s">
        <v>1100</v>
      </c>
      <c r="C578" s="91"/>
      <c r="D578" s="171" t="str">
        <f t="shared" si="1"/>
        <v>Burberry</v>
      </c>
      <c r="F578" s="91" t="s">
        <v>474</v>
      </c>
      <c r="G578" s="170" t="str">
        <f t="shared" si="2"/>
        <v>Burberry&gt;Zara</v>
      </c>
    </row>
    <row r="579">
      <c r="A579" s="91">
        <v>1.0</v>
      </c>
      <c r="B579" s="91" t="s">
        <v>569</v>
      </c>
      <c r="C579" s="91"/>
      <c r="D579" s="171" t="str">
        <f t="shared" si="1"/>
        <v>Burger King</v>
      </c>
      <c r="F579" s="91" t="s">
        <v>2843</v>
      </c>
      <c r="G579" s="170" t="str">
        <f t="shared" si="2"/>
        <v>Burger King&gt;ATM</v>
      </c>
    </row>
    <row r="580">
      <c r="A580" s="91">
        <v>1.0</v>
      </c>
      <c r="B580" s="91" t="s">
        <v>569</v>
      </c>
      <c r="C580" s="91"/>
      <c r="D580" s="171" t="str">
        <f t="shared" si="1"/>
        <v>Burger King</v>
      </c>
      <c r="F580" s="91" t="s">
        <v>1603</v>
      </c>
      <c r="G580" s="170" t="str">
        <f t="shared" si="2"/>
        <v>Burger King&gt;Eataly</v>
      </c>
    </row>
    <row r="581">
      <c r="A581" s="91">
        <v>1.0</v>
      </c>
      <c r="B581" s="91" t="s">
        <v>569</v>
      </c>
      <c r="C581" s="91"/>
      <c r="D581" s="171" t="str">
        <f t="shared" si="1"/>
        <v>Burger King</v>
      </c>
      <c r="F581" s="91" t="s">
        <v>3857</v>
      </c>
      <c r="G581" s="170" t="str">
        <f t="shared" si="2"/>
        <v>Burger King&gt;Sinema</v>
      </c>
    </row>
    <row r="582">
      <c r="A582" s="91">
        <v>1.0</v>
      </c>
      <c r="B582" s="91" t="s">
        <v>1272</v>
      </c>
      <c r="C582" s="91"/>
      <c r="D582" s="171" t="str">
        <f t="shared" si="1"/>
        <v>Bvlgari</v>
      </c>
      <c r="F582" s="91" t="s">
        <v>1603</v>
      </c>
      <c r="G582" s="170" t="str">
        <f t="shared" si="2"/>
        <v>Bvlgari&gt;Eataly</v>
      </c>
    </row>
    <row r="583">
      <c r="A583" s="91">
        <v>1.0</v>
      </c>
      <c r="B583" s="91" t="s">
        <v>1272</v>
      </c>
      <c r="C583" s="91"/>
      <c r="D583" s="171" t="str">
        <f t="shared" si="1"/>
        <v>Bvlgari</v>
      </c>
      <c r="F583" s="91" t="s">
        <v>3860</v>
      </c>
      <c r="G583" s="170" t="str">
        <f t="shared" si="2"/>
        <v>Bvlgari&gt;Raffles İstanbul</v>
      </c>
    </row>
    <row r="584">
      <c r="A584" s="91">
        <v>1.0</v>
      </c>
      <c r="B584" s="91" t="s">
        <v>777</v>
      </c>
      <c r="C584" s="91"/>
      <c r="D584" s="171" t="str">
        <f t="shared" si="1"/>
        <v>COS</v>
      </c>
      <c r="F584" s="91" t="s">
        <v>1059</v>
      </c>
      <c r="G584" s="170" t="str">
        <f t="shared" si="2"/>
        <v>COS&gt;BigChefs</v>
      </c>
    </row>
    <row r="585">
      <c r="A585" s="91">
        <v>1.0</v>
      </c>
      <c r="B585" s="91" t="s">
        <v>777</v>
      </c>
      <c r="C585" s="91"/>
      <c r="D585" s="171" t="str">
        <f t="shared" si="1"/>
        <v>COS</v>
      </c>
      <c r="F585" s="91" t="s">
        <v>3637</v>
      </c>
      <c r="G585" s="170" t="str">
        <f t="shared" si="2"/>
        <v>COS&gt;Bob Vale Park (Levazım/Beymen)</v>
      </c>
    </row>
    <row r="586">
      <c r="A586" s="91">
        <v>1.0</v>
      </c>
      <c r="B586" s="91" t="s">
        <v>777</v>
      </c>
      <c r="C586" s="91"/>
      <c r="D586" s="171" t="str">
        <f t="shared" si="1"/>
        <v>COS</v>
      </c>
      <c r="F586" s="91" t="s">
        <v>3219</v>
      </c>
      <c r="G586" s="170" t="str">
        <f t="shared" si="2"/>
        <v>COS&gt;Bob Vale Park (Ulus/Raffles)</v>
      </c>
    </row>
    <row r="587">
      <c r="A587" s="91">
        <v>1.0</v>
      </c>
      <c r="B587" s="91" t="s">
        <v>777</v>
      </c>
      <c r="C587" s="91"/>
      <c r="D587" s="171" t="str">
        <f t="shared" si="1"/>
        <v>COS</v>
      </c>
      <c r="F587" s="91" t="s">
        <v>1579</v>
      </c>
      <c r="G587" s="170" t="str">
        <f t="shared" si="2"/>
        <v>COS&gt;D&amp;R</v>
      </c>
    </row>
    <row r="588">
      <c r="A588" s="91">
        <v>1.0</v>
      </c>
      <c r="B588" s="91" t="s">
        <v>777</v>
      </c>
      <c r="C588" s="91"/>
      <c r="D588" s="171" t="str">
        <f t="shared" si="1"/>
        <v>COS</v>
      </c>
      <c r="F588" s="91" t="s">
        <v>1536</v>
      </c>
      <c r="G588" s="170" t="str">
        <f t="shared" si="2"/>
        <v>COS&gt;Macrocenter</v>
      </c>
    </row>
    <row r="589">
      <c r="A589" s="91">
        <v>1.0</v>
      </c>
      <c r="B589" s="91" t="s">
        <v>777</v>
      </c>
      <c r="C589" s="91"/>
      <c r="D589" s="171" t="str">
        <f t="shared" si="1"/>
        <v>COS</v>
      </c>
      <c r="F589" s="91" t="s">
        <v>1554</v>
      </c>
      <c r="G589" s="170" t="str">
        <f t="shared" si="2"/>
        <v>COS&gt;Paşabahçe Mağazaları</v>
      </c>
    </row>
    <row r="590">
      <c r="A590" s="91">
        <v>1.0</v>
      </c>
      <c r="B590" s="91" t="s">
        <v>777</v>
      </c>
      <c r="C590" s="91"/>
      <c r="D590" s="171" t="str">
        <f t="shared" si="1"/>
        <v>COS</v>
      </c>
      <c r="F590" s="91" t="s">
        <v>2065</v>
      </c>
      <c r="G590" s="170" t="str">
        <f t="shared" si="2"/>
        <v>COS&gt;Saint Laurent</v>
      </c>
    </row>
    <row r="591">
      <c r="A591" s="91">
        <v>1.0</v>
      </c>
      <c r="B591" s="91" t="s">
        <v>777</v>
      </c>
      <c r="C591" s="91"/>
      <c r="D591" s="171" t="str">
        <f t="shared" si="1"/>
        <v>COS</v>
      </c>
      <c r="F591" s="91" t="s">
        <v>2903</v>
      </c>
      <c r="G591" s="170" t="str">
        <f t="shared" si="2"/>
        <v>COS&gt;Taxi</v>
      </c>
    </row>
    <row r="592">
      <c r="A592" s="91">
        <v>1.0</v>
      </c>
      <c r="B592" s="91" t="s">
        <v>777</v>
      </c>
      <c r="C592" s="91"/>
      <c r="D592" s="171" t="str">
        <f t="shared" si="1"/>
        <v>COS</v>
      </c>
      <c r="F592" s="91" t="s">
        <v>1682</v>
      </c>
      <c r="G592" s="170" t="str">
        <f t="shared" si="2"/>
        <v>COS&gt;Vakko L'Atelier</v>
      </c>
    </row>
    <row r="593">
      <c r="A593" s="91">
        <v>1.0</v>
      </c>
      <c r="B593" s="91" t="s">
        <v>777</v>
      </c>
      <c r="C593" s="91"/>
      <c r="D593" s="171" t="str">
        <f t="shared" si="1"/>
        <v>COS</v>
      </c>
      <c r="F593" s="91" t="s">
        <v>2914</v>
      </c>
      <c r="G593" s="170" t="str">
        <f t="shared" si="2"/>
        <v>COS&gt;Zor Exchange</v>
      </c>
    </row>
    <row r="594">
      <c r="A594" s="91">
        <v>1.0</v>
      </c>
      <c r="B594" s="91" t="s">
        <v>777</v>
      </c>
      <c r="C594" s="91"/>
      <c r="D594" s="171" t="str">
        <f t="shared" si="1"/>
        <v>COS</v>
      </c>
      <c r="F594" s="91" t="s">
        <v>1668</v>
      </c>
      <c r="G594" s="170" t="str">
        <f t="shared" si="2"/>
        <v>COS&gt;Zula</v>
      </c>
    </row>
    <row r="595">
      <c r="A595" s="91">
        <v>1.0</v>
      </c>
      <c r="B595" s="91" t="s">
        <v>777</v>
      </c>
      <c r="C595" s="91"/>
      <c r="D595" s="171" t="str">
        <f t="shared" si="1"/>
        <v>COS</v>
      </c>
      <c r="F595" s="91" t="s">
        <v>228</v>
      </c>
      <c r="G595" s="170" t="str">
        <f t="shared" si="2"/>
        <v>COS&gt;İpekyol</v>
      </c>
    </row>
    <row r="596">
      <c r="A596" s="91">
        <v>1.0</v>
      </c>
      <c r="B596" s="91" t="s">
        <v>549</v>
      </c>
      <c r="C596" s="91"/>
      <c r="D596" s="171" t="str">
        <f t="shared" si="1"/>
        <v>Caffe Nero</v>
      </c>
      <c r="F596" s="91" t="s">
        <v>1573</v>
      </c>
      <c r="G596" s="170" t="str">
        <f t="shared" si="2"/>
        <v>Caffe Nero&gt;English Home</v>
      </c>
    </row>
    <row r="597">
      <c r="A597" s="91">
        <v>1.0</v>
      </c>
      <c r="B597" s="91" t="s">
        <v>549</v>
      </c>
      <c r="C597" s="91"/>
      <c r="D597" s="171" t="str">
        <f t="shared" si="1"/>
        <v>Caffe Nero</v>
      </c>
      <c r="F597" s="91" t="s">
        <v>267</v>
      </c>
      <c r="G597" s="170" t="str">
        <f t="shared" si="2"/>
        <v>Caffe Nero&gt;H&amp;M</v>
      </c>
    </row>
    <row r="598">
      <c r="A598" s="91">
        <v>1.0</v>
      </c>
      <c r="B598" s="91" t="s">
        <v>549</v>
      </c>
      <c r="C598" s="91"/>
      <c r="D598" s="171" t="str">
        <f t="shared" si="1"/>
        <v>Caffe Nero</v>
      </c>
      <c r="F598" s="91" t="s">
        <v>1171</v>
      </c>
      <c r="G598" s="170" t="str">
        <f t="shared" si="2"/>
        <v>Caffe Nero&gt;Haremlique Istanbul</v>
      </c>
    </row>
    <row r="599">
      <c r="A599" s="91">
        <v>1.0</v>
      </c>
      <c r="B599" s="91" t="s">
        <v>549</v>
      </c>
      <c r="C599" s="91"/>
      <c r="D599" s="171" t="str">
        <f t="shared" si="1"/>
        <v>Caffe Nero</v>
      </c>
      <c r="F599" s="91" t="s">
        <v>1278</v>
      </c>
      <c r="G599" s="170" t="str">
        <f t="shared" si="2"/>
        <v>Caffe Nero&gt;Louis Vuitton</v>
      </c>
    </row>
    <row r="600">
      <c r="A600" s="91">
        <v>1.0</v>
      </c>
      <c r="B600" s="91" t="s">
        <v>549</v>
      </c>
      <c r="C600" s="91"/>
      <c r="D600" s="171" t="str">
        <f t="shared" si="1"/>
        <v>Caffe Nero</v>
      </c>
      <c r="F600" s="91" t="s">
        <v>1696</v>
      </c>
      <c r="G600" s="170" t="str">
        <f t="shared" si="2"/>
        <v>Caffe Nero&gt;MOC</v>
      </c>
    </row>
    <row r="601">
      <c r="A601" s="91">
        <v>1.0</v>
      </c>
      <c r="B601" s="91" t="s">
        <v>549</v>
      </c>
      <c r="C601" s="91"/>
      <c r="D601" s="171" t="str">
        <f t="shared" si="1"/>
        <v>Caffe Nero</v>
      </c>
      <c r="F601" s="91" t="s">
        <v>3859</v>
      </c>
      <c r="G601" s="170" t="str">
        <f t="shared" si="2"/>
        <v>Caffe Nero&gt;Metro&lt;br&gt;Metrobus</v>
      </c>
    </row>
    <row r="602">
      <c r="A602" s="91">
        <v>1.0</v>
      </c>
      <c r="B602" s="91" t="s">
        <v>549</v>
      </c>
      <c r="C602" s="91"/>
      <c r="D602" s="171" t="str">
        <f t="shared" si="1"/>
        <v>Caffe Nero</v>
      </c>
      <c r="F602" s="91" t="s">
        <v>240</v>
      </c>
      <c r="G602" s="170" t="str">
        <f t="shared" si="2"/>
        <v>Caffe Nero&gt;Nike by Levazım</v>
      </c>
    </row>
    <row r="603">
      <c r="A603" s="91">
        <v>1.0</v>
      </c>
      <c r="B603" s="91" t="s">
        <v>549</v>
      </c>
      <c r="C603" s="91"/>
      <c r="D603" s="171" t="str">
        <f t="shared" si="1"/>
        <v>Caffe Nero</v>
      </c>
      <c r="F603" s="91" t="s">
        <v>2917</v>
      </c>
      <c r="G603" s="170" t="str">
        <f t="shared" si="2"/>
        <v>Caffe Nero&gt;Otopark</v>
      </c>
    </row>
    <row r="604">
      <c r="A604" s="91">
        <v>1.0</v>
      </c>
      <c r="B604" s="91" t="s">
        <v>549</v>
      </c>
      <c r="C604" s="91"/>
      <c r="D604" s="171" t="str">
        <f t="shared" si="1"/>
        <v>Caffe Nero</v>
      </c>
      <c r="F604" s="91" t="s">
        <v>503</v>
      </c>
      <c r="G604" s="170" t="str">
        <f t="shared" si="2"/>
        <v>Caffe Nero&gt;Plus Kitchen</v>
      </c>
    </row>
    <row r="605">
      <c r="A605" s="91">
        <v>1.0</v>
      </c>
      <c r="B605" s="91" t="s">
        <v>549</v>
      </c>
      <c r="C605" s="91"/>
      <c r="D605" s="171" t="str">
        <f t="shared" si="1"/>
        <v>Caffe Nero</v>
      </c>
      <c r="F605" s="91" t="s">
        <v>3849</v>
      </c>
      <c r="G605" s="170" t="str">
        <f t="shared" si="2"/>
        <v>Caffe Nero&gt;Prayer Room</v>
      </c>
    </row>
    <row r="606">
      <c r="A606" s="91">
        <v>1.0</v>
      </c>
      <c r="B606" s="91" t="s">
        <v>549</v>
      </c>
      <c r="C606" s="91"/>
      <c r="D606" s="171" t="str">
        <f t="shared" si="1"/>
        <v>Caffe Nero</v>
      </c>
      <c r="F606" s="91" t="s">
        <v>193</v>
      </c>
      <c r="G606" s="170" t="str">
        <f t="shared" si="2"/>
        <v>Caffe Nero&gt;Sephora</v>
      </c>
    </row>
    <row r="607">
      <c r="A607" s="91">
        <v>1.0</v>
      </c>
      <c r="B607" s="91" t="s">
        <v>549</v>
      </c>
      <c r="C607" s="91"/>
      <c r="D607" s="171" t="str">
        <f t="shared" si="1"/>
        <v>Caffe Nero</v>
      </c>
      <c r="F607" s="91" t="s">
        <v>181</v>
      </c>
      <c r="G607" s="170" t="str">
        <f t="shared" si="2"/>
        <v>Caffe Nero&gt;Starbucks</v>
      </c>
    </row>
    <row r="608">
      <c r="A608" s="91">
        <v>1.0</v>
      </c>
      <c r="B608" s="91" t="s">
        <v>549</v>
      </c>
      <c r="C608" s="91"/>
      <c r="D608" s="171" t="str">
        <f t="shared" si="1"/>
        <v>Caffe Nero</v>
      </c>
      <c r="F608" s="91" t="s">
        <v>1076</v>
      </c>
      <c r="G608" s="170" t="str">
        <f t="shared" si="2"/>
        <v>Caffe Nero&gt;SushiCo</v>
      </c>
    </row>
    <row r="609">
      <c r="A609" s="91">
        <v>1.0</v>
      </c>
      <c r="B609" s="91" t="s">
        <v>549</v>
      </c>
      <c r="C609" s="91"/>
      <c r="D609" s="171" t="str">
        <f t="shared" si="1"/>
        <v>Caffe Nero</v>
      </c>
      <c r="F609" s="91" t="s">
        <v>250</v>
      </c>
      <c r="G609" s="170" t="str">
        <f t="shared" si="2"/>
        <v>Caffe Nero&gt;Victoria's Secret</v>
      </c>
    </row>
    <row r="610">
      <c r="A610" s="91">
        <v>1.0</v>
      </c>
      <c r="B610" s="91" t="s">
        <v>549</v>
      </c>
      <c r="C610" s="91"/>
      <c r="D610" s="171" t="str">
        <f t="shared" si="1"/>
        <v>Caffe Nero</v>
      </c>
      <c r="F610" s="91" t="s">
        <v>485</v>
      </c>
      <c r="G610" s="170" t="str">
        <f t="shared" si="2"/>
        <v>Caffe Nero&gt;Watsons</v>
      </c>
    </row>
    <row r="611">
      <c r="A611" s="91">
        <v>1.0</v>
      </c>
      <c r="B611" s="91" t="s">
        <v>728</v>
      </c>
      <c r="C611" s="91"/>
      <c r="D611" s="171" t="str">
        <f t="shared" si="1"/>
        <v>Calvin Klein Jeans</v>
      </c>
      <c r="F611" s="91" t="s">
        <v>255</v>
      </c>
      <c r="G611" s="170" t="str">
        <f t="shared" si="2"/>
        <v>Calvin Klein Jeans&gt;Abdullah Kiğılı Exclusive Cut</v>
      </c>
    </row>
    <row r="612">
      <c r="A612" s="91">
        <v>1.0</v>
      </c>
      <c r="B612" s="91" t="s">
        <v>728</v>
      </c>
      <c r="C612" s="91"/>
      <c r="D612" s="171" t="str">
        <f t="shared" si="1"/>
        <v>Calvin Klein Jeans</v>
      </c>
      <c r="F612" s="91" t="s">
        <v>2801</v>
      </c>
      <c r="G612" s="170" t="str">
        <f t="shared" si="2"/>
        <v>Calvin Klein Jeans&gt;Akbank (ATM)</v>
      </c>
    </row>
    <row r="613">
      <c r="A613" s="91">
        <v>1.0</v>
      </c>
      <c r="B613" s="91" t="s">
        <v>728</v>
      </c>
      <c r="C613" s="91"/>
      <c r="D613" s="171" t="str">
        <f t="shared" si="1"/>
        <v>Calvin Klein Jeans</v>
      </c>
      <c r="F613" s="91" t="s">
        <v>297</v>
      </c>
      <c r="G613" s="170" t="str">
        <f t="shared" si="2"/>
        <v>Calvin Klein Jeans&gt;Camper</v>
      </c>
    </row>
    <row r="614">
      <c r="A614" s="91">
        <v>1.0</v>
      </c>
      <c r="B614" s="91" t="s">
        <v>728</v>
      </c>
      <c r="C614" s="91"/>
      <c r="D614" s="171" t="str">
        <f t="shared" si="1"/>
        <v>Calvin Klein Jeans</v>
      </c>
      <c r="F614" s="91" t="s">
        <v>1603</v>
      </c>
      <c r="G614" s="170" t="str">
        <f t="shared" si="2"/>
        <v>Calvin Klein Jeans&gt;Eataly</v>
      </c>
    </row>
    <row r="615">
      <c r="A615" s="91">
        <v>1.0</v>
      </c>
      <c r="B615" s="91" t="s">
        <v>728</v>
      </c>
      <c r="C615" s="91"/>
      <c r="D615" s="171" t="str">
        <f t="shared" si="1"/>
        <v>Calvin Klein Jeans</v>
      </c>
      <c r="F615" s="91" t="s">
        <v>1337</v>
      </c>
      <c r="G615" s="170" t="str">
        <f t="shared" si="2"/>
        <v>Calvin Klein Jeans&gt;Godiva</v>
      </c>
    </row>
    <row r="616">
      <c r="A616" s="91">
        <v>1.0</v>
      </c>
      <c r="B616" s="91" t="s">
        <v>728</v>
      </c>
      <c r="C616" s="91"/>
      <c r="D616" s="171" t="str">
        <f t="shared" si="1"/>
        <v>Calvin Klein Jeans</v>
      </c>
      <c r="F616" s="91" t="s">
        <v>646</v>
      </c>
      <c r="G616" s="170" t="str">
        <f t="shared" si="2"/>
        <v>Calvin Klein Jeans&gt;Green Salads</v>
      </c>
    </row>
    <row r="617">
      <c r="A617" s="91">
        <v>1.0</v>
      </c>
      <c r="B617" s="91" t="s">
        <v>728</v>
      </c>
      <c r="C617" s="91"/>
      <c r="D617" s="171" t="str">
        <f t="shared" si="1"/>
        <v>Calvin Klein Jeans</v>
      </c>
      <c r="F617" s="91" t="s">
        <v>94</v>
      </c>
      <c r="G617" s="170" t="str">
        <f t="shared" si="2"/>
        <v>Calvin Klein Jeans&gt;MediaMarkt</v>
      </c>
    </row>
    <row r="618">
      <c r="A618" s="91">
        <v>1.0</v>
      </c>
      <c r="B618" s="91" t="s">
        <v>728</v>
      </c>
      <c r="C618" s="91"/>
      <c r="D618" s="171" t="str">
        <f t="shared" si="1"/>
        <v>Calvin Klein Jeans</v>
      </c>
      <c r="F618" s="91" t="s">
        <v>3071</v>
      </c>
      <c r="G618" s="170" t="str">
        <f t="shared" si="2"/>
        <v>Calvin Klein Jeans&gt;Otopark Giriş Levazım</v>
      </c>
    </row>
    <row r="619">
      <c r="A619" s="91">
        <v>1.0</v>
      </c>
      <c r="B619" s="91" t="s">
        <v>728</v>
      </c>
      <c r="C619" s="91"/>
      <c r="D619" s="171" t="str">
        <f t="shared" si="1"/>
        <v>Calvin Klein Jeans</v>
      </c>
      <c r="F619" s="91" t="s">
        <v>1548</v>
      </c>
      <c r="G619" s="170" t="str">
        <f t="shared" si="2"/>
        <v>Calvin Klein Jeans&gt;Toyzz Shop</v>
      </c>
    </row>
    <row r="620">
      <c r="A620" s="91">
        <v>1.0</v>
      </c>
      <c r="B620" s="91" t="s">
        <v>728</v>
      </c>
      <c r="C620" s="91"/>
      <c r="D620" s="171" t="str">
        <f t="shared" si="1"/>
        <v>Calvin Klein Jeans</v>
      </c>
      <c r="F620" s="91" t="s">
        <v>485</v>
      </c>
      <c r="G620" s="170" t="str">
        <f t="shared" si="2"/>
        <v>Calvin Klein Jeans&gt;Watsons</v>
      </c>
    </row>
    <row r="621">
      <c r="A621" s="91">
        <v>1.0</v>
      </c>
      <c r="B621" s="91" t="s">
        <v>728</v>
      </c>
      <c r="C621" s="91"/>
      <c r="D621" s="171" t="str">
        <f t="shared" si="1"/>
        <v>Calvin Klein Jeans</v>
      </c>
      <c r="F621" s="91" t="s">
        <v>474</v>
      </c>
      <c r="G621" s="170" t="str">
        <f t="shared" si="2"/>
        <v>Calvin Klein Jeans&gt;Zara</v>
      </c>
    </row>
    <row r="622">
      <c r="A622" s="91">
        <v>1.0</v>
      </c>
      <c r="B622" s="91" t="s">
        <v>521</v>
      </c>
      <c r="C622" s="91"/>
      <c r="D622" s="171" t="str">
        <f t="shared" si="1"/>
        <v>Calzedonia</v>
      </c>
      <c r="F622" s="91" t="s">
        <v>777</v>
      </c>
      <c r="G622" s="170" t="str">
        <f t="shared" si="2"/>
        <v>Calzedonia&gt;COS</v>
      </c>
    </row>
    <row r="623">
      <c r="A623" s="91">
        <v>1.0</v>
      </c>
      <c r="B623" s="91" t="s">
        <v>521</v>
      </c>
      <c r="C623" s="91"/>
      <c r="D623" s="171" t="str">
        <f t="shared" si="1"/>
        <v>Calzedonia</v>
      </c>
      <c r="F623" s="91" t="s">
        <v>1579</v>
      </c>
      <c r="G623" s="170" t="str">
        <f t="shared" si="2"/>
        <v>Calzedonia&gt;D&amp;R</v>
      </c>
    </row>
    <row r="624">
      <c r="A624" s="91">
        <v>1.0</v>
      </c>
      <c r="B624" s="91" t="s">
        <v>521</v>
      </c>
      <c r="C624" s="91"/>
      <c r="D624" s="171" t="str">
        <f t="shared" si="1"/>
        <v>Calzedonia</v>
      </c>
      <c r="F624" s="91" t="s">
        <v>1573</v>
      </c>
      <c r="G624" s="170" t="str">
        <f t="shared" si="2"/>
        <v>Calzedonia&gt;English Home</v>
      </c>
    </row>
    <row r="625">
      <c r="A625" s="91">
        <v>1.0</v>
      </c>
      <c r="B625" s="91" t="s">
        <v>521</v>
      </c>
      <c r="C625" s="91"/>
      <c r="D625" s="171" t="str">
        <f t="shared" si="1"/>
        <v>Calzedonia</v>
      </c>
      <c r="F625" s="91" t="s">
        <v>3145</v>
      </c>
      <c r="G625" s="170" t="str">
        <f t="shared" si="2"/>
        <v>Calzedonia&gt;Giriş Levazım</v>
      </c>
    </row>
    <row r="626">
      <c r="A626" s="91">
        <v>1.0</v>
      </c>
      <c r="B626" s="91" t="s">
        <v>521</v>
      </c>
      <c r="C626" s="91"/>
      <c r="D626" s="171" t="str">
        <f t="shared" si="1"/>
        <v>Calzedonia</v>
      </c>
      <c r="F626" s="91" t="s">
        <v>2277</v>
      </c>
      <c r="G626" s="170" t="str">
        <f t="shared" si="2"/>
        <v>Calzedonia&gt;Memorial Wellness</v>
      </c>
    </row>
    <row r="627">
      <c r="A627" s="91">
        <v>1.0</v>
      </c>
      <c r="B627" s="91" t="s">
        <v>521</v>
      </c>
      <c r="C627" s="91"/>
      <c r="D627" s="171" t="str">
        <f t="shared" si="1"/>
        <v>Calzedonia</v>
      </c>
      <c r="F627" s="91" t="s">
        <v>2799</v>
      </c>
      <c r="G627" s="170" t="str">
        <f t="shared" si="2"/>
        <v>Calzedonia&gt;Tax Free Zone (Info Desk)</v>
      </c>
    </row>
    <row r="628">
      <c r="A628" s="91">
        <v>1.0</v>
      </c>
      <c r="B628" s="91" t="s">
        <v>521</v>
      </c>
      <c r="C628" s="91"/>
      <c r="D628" s="171" t="str">
        <f t="shared" si="1"/>
        <v>Calzedonia</v>
      </c>
      <c r="F628" s="91" t="s">
        <v>250</v>
      </c>
      <c r="G628" s="170" t="str">
        <f t="shared" si="2"/>
        <v>Calzedonia&gt;Victoria's Secret</v>
      </c>
    </row>
    <row r="629">
      <c r="A629" s="91">
        <v>1.0</v>
      </c>
      <c r="B629" s="91" t="s">
        <v>297</v>
      </c>
      <c r="C629" s="91"/>
      <c r="D629" s="171" t="str">
        <f t="shared" si="1"/>
        <v>Camper</v>
      </c>
      <c r="F629" s="91" t="s">
        <v>157</v>
      </c>
      <c r="G629" s="170" t="str">
        <f t="shared" si="2"/>
        <v>Camper&gt;Dagi</v>
      </c>
    </row>
    <row r="630">
      <c r="A630" s="91">
        <v>1.0</v>
      </c>
      <c r="B630" s="91" t="s">
        <v>297</v>
      </c>
      <c r="C630" s="91"/>
      <c r="D630" s="171" t="str">
        <f t="shared" si="1"/>
        <v>Camper</v>
      </c>
      <c r="F630" s="91" t="s">
        <v>3294</v>
      </c>
      <c r="G630" s="170" t="str">
        <f t="shared" si="2"/>
        <v>Camper&gt;Döviz Zor</v>
      </c>
    </row>
    <row r="631">
      <c r="A631" s="91">
        <v>1.0</v>
      </c>
      <c r="B631" s="91" t="s">
        <v>297</v>
      </c>
      <c r="C631" s="91"/>
      <c r="D631" s="171" t="str">
        <f t="shared" si="1"/>
        <v>Camper</v>
      </c>
      <c r="F631" s="91" t="s">
        <v>1573</v>
      </c>
      <c r="G631" s="170" t="str">
        <f t="shared" si="2"/>
        <v>Camper&gt;English Home</v>
      </c>
    </row>
    <row r="632">
      <c r="A632" s="91">
        <v>1.0</v>
      </c>
      <c r="B632" s="91" t="s">
        <v>297</v>
      </c>
      <c r="C632" s="91"/>
      <c r="D632" s="171" t="str">
        <f t="shared" si="1"/>
        <v>Camper</v>
      </c>
      <c r="F632" s="91" t="s">
        <v>3455</v>
      </c>
      <c r="G632" s="170" t="str">
        <f t="shared" si="2"/>
        <v>Camper&gt;Giriş Metro Katı</v>
      </c>
    </row>
    <row r="633">
      <c r="A633" s="91">
        <v>1.0</v>
      </c>
      <c r="B633" s="91" t="s">
        <v>297</v>
      </c>
      <c r="C633" s="91"/>
      <c r="D633" s="171" t="str">
        <f t="shared" si="1"/>
        <v>Camper</v>
      </c>
      <c r="F633" s="91" t="s">
        <v>173</v>
      </c>
      <c r="G633" s="170" t="str">
        <f t="shared" si="2"/>
        <v>Camper&gt;Skechers</v>
      </c>
    </row>
    <row r="634">
      <c r="A634" s="91">
        <v>1.0</v>
      </c>
      <c r="B634" s="91" t="s">
        <v>1106</v>
      </c>
      <c r="C634" s="91"/>
      <c r="D634" s="171" t="str">
        <f t="shared" si="1"/>
        <v>Cantinery</v>
      </c>
      <c r="F634" s="91" t="s">
        <v>549</v>
      </c>
      <c r="G634" s="170" t="str">
        <f t="shared" si="2"/>
        <v>Cantinery&gt;Caffe Nero</v>
      </c>
    </row>
    <row r="635">
      <c r="A635" s="91">
        <v>1.0</v>
      </c>
      <c r="B635" s="91" t="s">
        <v>1106</v>
      </c>
      <c r="C635" s="91"/>
      <c r="D635" s="171" t="str">
        <f t="shared" si="1"/>
        <v>Cantinery</v>
      </c>
      <c r="F635" s="91" t="s">
        <v>1250</v>
      </c>
      <c r="G635" s="170" t="str">
        <f t="shared" si="2"/>
        <v>Cantinery&gt;MontBlanc</v>
      </c>
    </row>
    <row r="636">
      <c r="A636" s="91">
        <v>1.0</v>
      </c>
      <c r="B636" s="91" t="s">
        <v>1106</v>
      </c>
      <c r="C636" s="91"/>
      <c r="D636" s="171" t="str">
        <f t="shared" si="1"/>
        <v>Cantinery</v>
      </c>
      <c r="F636" s="91" t="s">
        <v>676</v>
      </c>
      <c r="G636" s="170" t="str">
        <f t="shared" si="2"/>
        <v>Cantinery&gt;Tommy Hilfiger</v>
      </c>
    </row>
    <row r="637">
      <c r="A637" s="91">
        <v>1.0</v>
      </c>
      <c r="B637" s="91" t="s">
        <v>1106</v>
      </c>
      <c r="C637" s="91"/>
      <c r="D637" s="171" t="str">
        <f t="shared" si="1"/>
        <v>Cantinery</v>
      </c>
      <c r="F637" s="91" t="s">
        <v>474</v>
      </c>
      <c r="G637" s="170" t="str">
        <f t="shared" si="2"/>
        <v>Cantinery&gt;Zara</v>
      </c>
    </row>
    <row r="638">
      <c r="A638" s="91">
        <v>1.0</v>
      </c>
      <c r="B638" s="91" t="s">
        <v>2160</v>
      </c>
      <c r="C638" s="91"/>
      <c r="D638" s="171" t="str">
        <f t="shared" si="1"/>
        <v>Casa</v>
      </c>
      <c r="F638" s="91" t="s">
        <v>2277</v>
      </c>
      <c r="G638" s="170" t="str">
        <f t="shared" si="2"/>
        <v>Casa&gt;Memorial Wellness</v>
      </c>
    </row>
    <row r="639">
      <c r="A639" s="91">
        <v>1.0</v>
      </c>
      <c r="B639" s="91" t="s">
        <v>2160</v>
      </c>
      <c r="C639" s="91"/>
      <c r="D639" s="171" t="str">
        <f t="shared" si="1"/>
        <v>Casa</v>
      </c>
      <c r="F639" s="91" t="s">
        <v>485</v>
      </c>
      <c r="G639" s="170" t="str">
        <f t="shared" si="2"/>
        <v>Casa&gt;Watsons</v>
      </c>
    </row>
    <row r="640">
      <c r="A640" s="91">
        <v>1.0</v>
      </c>
      <c r="B640" s="91" t="s">
        <v>1708</v>
      </c>
      <c r="C640" s="91"/>
      <c r="D640" s="171" t="str">
        <f t="shared" si="1"/>
        <v>Chakra</v>
      </c>
      <c r="F640" s="91" t="s">
        <v>297</v>
      </c>
      <c r="G640" s="170" t="str">
        <f t="shared" si="2"/>
        <v>Chakra&gt;Camper</v>
      </c>
    </row>
    <row r="641">
      <c r="A641" s="91">
        <v>1.0</v>
      </c>
      <c r="B641" s="91" t="s">
        <v>1708</v>
      </c>
      <c r="C641" s="91"/>
      <c r="D641" s="171" t="str">
        <f t="shared" si="1"/>
        <v>Chakra</v>
      </c>
      <c r="F641" s="91" t="s">
        <v>1345</v>
      </c>
      <c r="G641" s="170" t="str">
        <f t="shared" si="2"/>
        <v>Chakra&gt;Raffles Istanbul</v>
      </c>
    </row>
    <row r="642">
      <c r="A642" s="91">
        <v>1.0</v>
      </c>
      <c r="B642" s="91" t="s">
        <v>1708</v>
      </c>
      <c r="C642" s="91"/>
      <c r="D642" s="171" t="str">
        <f t="shared" si="1"/>
        <v>Chakra</v>
      </c>
      <c r="F642" s="91" t="s">
        <v>245</v>
      </c>
      <c r="G642" s="170" t="str">
        <f t="shared" si="2"/>
        <v>Chakra&gt;Victoria's Secret Pink</v>
      </c>
    </row>
    <row r="643">
      <c r="A643" s="91">
        <v>1.0</v>
      </c>
      <c r="B643" s="91" t="s">
        <v>1423</v>
      </c>
      <c r="C643" s="91"/>
      <c r="D643" s="171" t="str">
        <f t="shared" si="1"/>
        <v>Chanel</v>
      </c>
      <c r="F643" s="91" t="s">
        <v>1603</v>
      </c>
      <c r="G643" s="170" t="str">
        <f t="shared" si="2"/>
        <v>Chanel&gt;Eataly</v>
      </c>
    </row>
    <row r="644">
      <c r="A644" s="91">
        <v>1.0</v>
      </c>
      <c r="B644" s="91" t="s">
        <v>1423</v>
      </c>
      <c r="C644" s="91"/>
      <c r="D644" s="171" t="str">
        <f t="shared" si="1"/>
        <v>Chanel</v>
      </c>
      <c r="F644" s="91" t="s">
        <v>173</v>
      </c>
      <c r="G644" s="170" t="str">
        <f t="shared" si="2"/>
        <v>Chanel&gt;Skechers</v>
      </c>
    </row>
    <row r="645">
      <c r="A645" s="91">
        <v>1.0</v>
      </c>
      <c r="B645" s="91" t="s">
        <v>1423</v>
      </c>
      <c r="C645" s="91"/>
      <c r="D645" s="171" t="str">
        <f t="shared" si="1"/>
        <v>Chanel</v>
      </c>
      <c r="F645" s="91" t="s">
        <v>3852</v>
      </c>
      <c r="G645" s="170" t="str">
        <f t="shared" si="2"/>
        <v>Chanel&gt;WC</v>
      </c>
    </row>
    <row r="646">
      <c r="A646" s="91">
        <v>1.0</v>
      </c>
      <c r="B646" s="91" t="s">
        <v>3855</v>
      </c>
      <c r="C646" s="91"/>
      <c r="D646" s="171" t="str">
        <f t="shared" si="1"/>
        <v>Cinema</v>
      </c>
      <c r="F646" s="91" t="s">
        <v>1147</v>
      </c>
      <c r="G646" s="170" t="str">
        <f t="shared" si="2"/>
        <v>Cinema&gt;Fauchon Paris</v>
      </c>
    </row>
    <row r="647">
      <c r="A647" s="91">
        <v>1.0</v>
      </c>
      <c r="B647" s="91" t="s">
        <v>356</v>
      </c>
      <c r="C647" s="91"/>
      <c r="D647" s="171" t="str">
        <f t="shared" si="1"/>
        <v>Columbia</v>
      </c>
      <c r="F647" s="91" t="s">
        <v>1296</v>
      </c>
      <c r="G647" s="170" t="str">
        <f t="shared" si="2"/>
        <v>Columbia&gt;Parle</v>
      </c>
    </row>
    <row r="648">
      <c r="A648" s="91">
        <v>1.0</v>
      </c>
      <c r="B648" s="91" t="s">
        <v>356</v>
      </c>
      <c r="C648" s="91"/>
      <c r="D648" s="171" t="str">
        <f t="shared" si="1"/>
        <v>Columbia</v>
      </c>
      <c r="F648" s="91" t="s">
        <v>1668</v>
      </c>
      <c r="G648" s="170" t="str">
        <f t="shared" si="2"/>
        <v>Columbia&gt;Zula</v>
      </c>
    </row>
    <row r="649">
      <c r="A649" s="91">
        <v>1.0</v>
      </c>
      <c r="B649" s="91" t="s">
        <v>1374</v>
      </c>
      <c r="C649" s="91"/>
      <c r="D649" s="171" t="str">
        <f t="shared" si="1"/>
        <v>Concierge</v>
      </c>
      <c r="F649" s="91" t="s">
        <v>474</v>
      </c>
      <c r="G649" s="170" t="str">
        <f t="shared" si="2"/>
        <v>Concierge&gt;Zara</v>
      </c>
    </row>
    <row r="650">
      <c r="A650" s="91">
        <v>1.0</v>
      </c>
      <c r="B650" s="91" t="s">
        <v>699</v>
      </c>
      <c r="C650" s="91"/>
      <c r="D650" s="171" t="str">
        <f t="shared" si="1"/>
        <v>Cup of Joy</v>
      </c>
      <c r="F650" s="91" t="s">
        <v>94</v>
      </c>
      <c r="G650" s="170" t="str">
        <f t="shared" si="2"/>
        <v>Cup of Joy&gt;MediaMarkt</v>
      </c>
    </row>
    <row r="651">
      <c r="A651" s="91">
        <v>1.0</v>
      </c>
      <c r="B651" s="91" t="s">
        <v>699</v>
      </c>
      <c r="C651" s="91"/>
      <c r="D651" s="171" t="str">
        <f t="shared" si="1"/>
        <v>Cup of Joy</v>
      </c>
      <c r="F651" s="91" t="s">
        <v>3849</v>
      </c>
      <c r="G651" s="170" t="str">
        <f t="shared" si="2"/>
        <v>Cup of Joy&gt;Prayer Room</v>
      </c>
    </row>
    <row r="652">
      <c r="A652" s="91">
        <v>1.0</v>
      </c>
      <c r="B652" s="91" t="s">
        <v>1579</v>
      </c>
      <c r="C652" s="91"/>
      <c r="D652" s="171" t="str">
        <f t="shared" si="1"/>
        <v>D&amp;R</v>
      </c>
      <c r="F652" s="91" t="s">
        <v>418</v>
      </c>
      <c r="G652" s="170" t="str">
        <f t="shared" si="2"/>
        <v>D&amp;R&gt;Dyson</v>
      </c>
    </row>
    <row r="653">
      <c r="A653" s="91">
        <v>1.0</v>
      </c>
      <c r="B653" s="91" t="s">
        <v>1579</v>
      </c>
      <c r="C653" s="91"/>
      <c r="D653" s="171" t="str">
        <f t="shared" si="1"/>
        <v>D&amp;R</v>
      </c>
      <c r="F653" s="91" t="s">
        <v>1682</v>
      </c>
      <c r="G653" s="170" t="str">
        <f t="shared" si="2"/>
        <v>D&amp;R&gt;Vakko L'Atelier</v>
      </c>
    </row>
    <row r="654">
      <c r="A654" s="91">
        <v>1.0</v>
      </c>
      <c r="B654" s="91" t="s">
        <v>1579</v>
      </c>
      <c r="C654" s="91"/>
      <c r="D654" s="171" t="str">
        <f t="shared" si="1"/>
        <v>D&amp;R</v>
      </c>
      <c r="F654" s="91" t="s">
        <v>1692</v>
      </c>
      <c r="G654" s="170" t="str">
        <f t="shared" si="2"/>
        <v>D&amp;R&gt;Voi Coffee Company</v>
      </c>
    </row>
    <row r="655">
      <c r="A655" s="91">
        <v>1.0</v>
      </c>
      <c r="B655" s="91" t="s">
        <v>1579</v>
      </c>
      <c r="C655" s="91"/>
      <c r="D655" s="171" t="str">
        <f t="shared" si="1"/>
        <v>D&amp;R</v>
      </c>
      <c r="F655" s="91" t="s">
        <v>585</v>
      </c>
      <c r="G655" s="170" t="str">
        <f t="shared" si="2"/>
        <v>D&amp;R&gt;Ziyafe Kayseri Mutfağı</v>
      </c>
    </row>
    <row r="656">
      <c r="A656" s="91">
        <v>1.0</v>
      </c>
      <c r="B656" s="91" t="s">
        <v>157</v>
      </c>
      <c r="C656" s="91"/>
      <c r="D656" s="171" t="str">
        <f t="shared" si="1"/>
        <v>Dagi</v>
      </c>
      <c r="F656" s="91" t="s">
        <v>205</v>
      </c>
      <c r="G656" s="170" t="str">
        <f t="shared" si="2"/>
        <v>Dagi&gt;Adidas</v>
      </c>
    </row>
    <row r="657">
      <c r="A657" s="91">
        <v>1.0</v>
      </c>
      <c r="B657" s="91" t="s">
        <v>157</v>
      </c>
      <c r="C657" s="91"/>
      <c r="D657" s="171" t="str">
        <f t="shared" si="1"/>
        <v>Dagi</v>
      </c>
      <c r="F657" s="91" t="s">
        <v>399</v>
      </c>
      <c r="G657" s="170" t="str">
        <f t="shared" si="2"/>
        <v>Dagi&gt;Apple</v>
      </c>
    </row>
    <row r="658">
      <c r="A658" s="91">
        <v>1.0</v>
      </c>
      <c r="B658" s="91" t="s">
        <v>157</v>
      </c>
      <c r="C658" s="91"/>
      <c r="D658" s="171" t="str">
        <f t="shared" si="1"/>
        <v>Dagi</v>
      </c>
      <c r="F658" s="91" t="s">
        <v>315</v>
      </c>
      <c r="G658" s="170" t="str">
        <f t="shared" si="2"/>
        <v>Dagi&gt;Mango</v>
      </c>
    </row>
    <row r="659">
      <c r="A659" s="91">
        <v>1.0</v>
      </c>
      <c r="B659" s="91" t="s">
        <v>157</v>
      </c>
      <c r="C659" s="91"/>
      <c r="D659" s="171" t="str">
        <f t="shared" si="1"/>
        <v>Dagi</v>
      </c>
      <c r="F659" s="91" t="s">
        <v>3853</v>
      </c>
      <c r="G659" s="170" t="str">
        <f t="shared" si="2"/>
        <v>Dagi&gt;Metro&lt;br&gt;Metrobüs</v>
      </c>
    </row>
    <row r="660">
      <c r="A660" s="91">
        <v>1.0</v>
      </c>
      <c r="B660" s="91" t="s">
        <v>740</v>
      </c>
      <c r="C660" s="91"/>
      <c r="D660" s="171" t="str">
        <f t="shared" si="1"/>
        <v>Diesel</v>
      </c>
      <c r="F660" s="91" t="s">
        <v>777</v>
      </c>
      <c r="G660" s="170" t="str">
        <f t="shared" si="2"/>
        <v>Diesel&gt;COS</v>
      </c>
    </row>
    <row r="661">
      <c r="A661" s="91">
        <v>1.0</v>
      </c>
      <c r="B661" s="91" t="s">
        <v>740</v>
      </c>
      <c r="C661" s="91"/>
      <c r="D661" s="171" t="str">
        <f t="shared" si="1"/>
        <v>Diesel</v>
      </c>
      <c r="F661" s="91" t="s">
        <v>3855</v>
      </c>
      <c r="G661" s="170" t="str">
        <f t="shared" si="2"/>
        <v>Diesel&gt;Cinema</v>
      </c>
    </row>
    <row r="662">
      <c r="A662" s="91">
        <v>1.0</v>
      </c>
      <c r="B662" s="91" t="s">
        <v>740</v>
      </c>
      <c r="C662" s="91"/>
      <c r="D662" s="171" t="str">
        <f t="shared" si="1"/>
        <v>Diesel</v>
      </c>
      <c r="F662" s="91" t="s">
        <v>1573</v>
      </c>
      <c r="G662" s="170" t="str">
        <f t="shared" si="2"/>
        <v>Diesel&gt;English Home</v>
      </c>
    </row>
    <row r="663">
      <c r="A663" s="91">
        <v>1.0</v>
      </c>
      <c r="B663" s="91" t="s">
        <v>740</v>
      </c>
      <c r="C663" s="91"/>
      <c r="D663" s="171" t="str">
        <f t="shared" si="1"/>
        <v>Diesel</v>
      </c>
      <c r="F663" s="91" t="s">
        <v>267</v>
      </c>
      <c r="G663" s="170" t="str">
        <f t="shared" si="2"/>
        <v>Diesel&gt;H&amp;M</v>
      </c>
    </row>
    <row r="664">
      <c r="A664" s="91">
        <v>1.0</v>
      </c>
      <c r="B664" s="91" t="s">
        <v>740</v>
      </c>
      <c r="C664" s="91"/>
      <c r="D664" s="171" t="str">
        <f t="shared" si="1"/>
        <v>Diesel</v>
      </c>
      <c r="F664" s="91" t="s">
        <v>368</v>
      </c>
      <c r="G664" s="170" t="str">
        <f t="shared" si="2"/>
        <v>Diesel&gt;Levi's</v>
      </c>
    </row>
    <row r="665">
      <c r="A665" s="91">
        <v>1.0</v>
      </c>
      <c r="B665" s="91" t="s">
        <v>740</v>
      </c>
      <c r="C665" s="91"/>
      <c r="D665" s="171" t="str">
        <f t="shared" si="1"/>
        <v>Diesel</v>
      </c>
      <c r="F665" s="91" t="s">
        <v>1536</v>
      </c>
      <c r="G665" s="170" t="str">
        <f t="shared" si="2"/>
        <v>Diesel&gt;Macrocenter</v>
      </c>
    </row>
    <row r="666">
      <c r="A666" s="91">
        <v>1.0</v>
      </c>
      <c r="B666" s="91" t="s">
        <v>740</v>
      </c>
      <c r="C666" s="91"/>
      <c r="D666" s="171" t="str">
        <f t="shared" si="1"/>
        <v>Diesel</v>
      </c>
      <c r="F666" s="91" t="s">
        <v>630</v>
      </c>
      <c r="G666" s="170" t="str">
        <f t="shared" si="2"/>
        <v>Diesel&gt;McDonald's</v>
      </c>
    </row>
    <row r="667">
      <c r="A667" s="91">
        <v>1.0</v>
      </c>
      <c r="B667" s="91" t="s">
        <v>740</v>
      </c>
      <c r="C667" s="91"/>
      <c r="D667" s="171" t="str">
        <f t="shared" si="1"/>
        <v>Diesel</v>
      </c>
      <c r="F667" s="91" t="s">
        <v>1159</v>
      </c>
      <c r="G667" s="170" t="str">
        <f t="shared" si="2"/>
        <v>Diesel&gt;Moncler</v>
      </c>
    </row>
    <row r="668">
      <c r="A668" s="91">
        <v>1.0</v>
      </c>
      <c r="B668" s="91" t="s">
        <v>740</v>
      </c>
      <c r="C668" s="91"/>
      <c r="D668" s="171" t="str">
        <f t="shared" si="1"/>
        <v>Diesel</v>
      </c>
      <c r="F668" s="91" t="s">
        <v>1380</v>
      </c>
      <c r="G668" s="170" t="str">
        <f t="shared" si="2"/>
        <v>Diesel&gt;Nespresso</v>
      </c>
    </row>
    <row r="669">
      <c r="A669" s="91">
        <v>1.0</v>
      </c>
      <c r="B669" s="91" t="s">
        <v>740</v>
      </c>
      <c r="C669" s="91"/>
      <c r="D669" s="171" t="str">
        <f t="shared" si="1"/>
        <v>Diesel</v>
      </c>
      <c r="F669" s="91" t="s">
        <v>3783</v>
      </c>
      <c r="G669" s="170" t="str">
        <f t="shared" si="2"/>
        <v>Diesel&gt;PSM</v>
      </c>
    </row>
    <row r="670">
      <c r="A670" s="91">
        <v>1.0</v>
      </c>
      <c r="B670" s="91" t="s">
        <v>740</v>
      </c>
      <c r="C670" s="91"/>
      <c r="D670" s="171" t="str">
        <f t="shared" si="1"/>
        <v>Diesel</v>
      </c>
      <c r="F670" s="91" t="s">
        <v>173</v>
      </c>
      <c r="G670" s="170" t="str">
        <f t="shared" si="2"/>
        <v>Diesel&gt;Skechers</v>
      </c>
    </row>
    <row r="671">
      <c r="A671" s="91">
        <v>1.0</v>
      </c>
      <c r="B671" s="91" t="s">
        <v>740</v>
      </c>
      <c r="C671" s="91"/>
      <c r="D671" s="171" t="str">
        <f t="shared" si="1"/>
        <v>Diesel</v>
      </c>
      <c r="F671" s="91" t="s">
        <v>2922</v>
      </c>
      <c r="G671" s="170" t="str">
        <f t="shared" si="2"/>
        <v>Diesel&gt;Yapı Kredi (ATM)</v>
      </c>
    </row>
    <row r="672">
      <c r="A672" s="91">
        <v>1.0</v>
      </c>
      <c r="B672" s="91" t="s">
        <v>740</v>
      </c>
      <c r="C672" s="91"/>
      <c r="D672" s="171" t="str">
        <f t="shared" si="1"/>
        <v>Diesel</v>
      </c>
      <c r="F672" s="91" t="s">
        <v>871</v>
      </c>
      <c r="G672" s="170" t="str">
        <f t="shared" si="2"/>
        <v>Diesel&gt;Zara Home</v>
      </c>
    </row>
    <row r="673">
      <c r="A673" s="91">
        <v>1.0</v>
      </c>
      <c r="B673" s="91" t="s">
        <v>1290</v>
      </c>
      <c r="C673" s="91"/>
      <c r="D673" s="171" t="str">
        <f t="shared" si="1"/>
        <v>Dior</v>
      </c>
      <c r="F673" s="91" t="s">
        <v>1364</v>
      </c>
      <c r="G673" s="170" t="str">
        <f t="shared" si="2"/>
        <v>Dior&gt;Sabit Akkaya Hair Stylist</v>
      </c>
    </row>
    <row r="674">
      <c r="A674" s="91">
        <v>1.0</v>
      </c>
      <c r="B674" s="91" t="s">
        <v>1290</v>
      </c>
      <c r="C674" s="91"/>
      <c r="D674" s="171" t="str">
        <f t="shared" si="1"/>
        <v>Dior</v>
      </c>
      <c r="F674" s="91" t="s">
        <v>2343</v>
      </c>
      <c r="G674" s="170" t="str">
        <f t="shared" si="2"/>
        <v>Dior&gt;Zanzibar</v>
      </c>
    </row>
    <row r="675">
      <c r="A675" s="91">
        <v>1.0</v>
      </c>
      <c r="B675" s="91" t="s">
        <v>1290</v>
      </c>
      <c r="C675" s="91"/>
      <c r="D675" s="171" t="str">
        <f t="shared" si="1"/>
        <v>Dior</v>
      </c>
      <c r="F675" s="91" t="s">
        <v>474</v>
      </c>
      <c r="G675" s="170" t="str">
        <f t="shared" si="2"/>
        <v>Dior&gt;Zara</v>
      </c>
    </row>
    <row r="676">
      <c r="A676" s="91">
        <v>1.0</v>
      </c>
      <c r="B676" s="91" t="s">
        <v>1290</v>
      </c>
      <c r="C676" s="91"/>
      <c r="D676" s="171" t="str">
        <f t="shared" si="1"/>
        <v>Dior</v>
      </c>
      <c r="F676" s="91" t="s">
        <v>228</v>
      </c>
      <c r="G676" s="170" t="str">
        <f t="shared" si="2"/>
        <v>Dior&gt;İpekyol</v>
      </c>
    </row>
    <row r="677">
      <c r="A677" s="91">
        <v>1.0</v>
      </c>
      <c r="B677" s="91" t="s">
        <v>543</v>
      </c>
      <c r="C677" s="91"/>
      <c r="D677" s="171" t="str">
        <f t="shared" si="1"/>
        <v>Divarese</v>
      </c>
      <c r="F677" s="91" t="s">
        <v>1059</v>
      </c>
      <c r="G677" s="170" t="str">
        <f t="shared" si="2"/>
        <v>Divarese&gt;BigChefs</v>
      </c>
    </row>
    <row r="678">
      <c r="A678" s="91">
        <v>1.0</v>
      </c>
      <c r="B678" s="91" t="s">
        <v>543</v>
      </c>
      <c r="C678" s="91"/>
      <c r="D678" s="171" t="str">
        <f t="shared" si="1"/>
        <v>Divarese</v>
      </c>
      <c r="F678" s="91" t="s">
        <v>618</v>
      </c>
      <c r="G678" s="170" t="str">
        <f t="shared" si="2"/>
        <v>Divarese&gt;Carl's Jr.</v>
      </c>
    </row>
    <row r="679">
      <c r="A679" s="91">
        <v>1.0</v>
      </c>
      <c r="B679" s="91" t="s">
        <v>543</v>
      </c>
      <c r="C679" s="91"/>
      <c r="D679" s="171" t="str">
        <f t="shared" si="1"/>
        <v>Divarese</v>
      </c>
      <c r="F679" s="91" t="s">
        <v>1603</v>
      </c>
      <c r="G679" s="170" t="str">
        <f t="shared" si="2"/>
        <v>Divarese&gt;Eataly</v>
      </c>
    </row>
    <row r="680">
      <c r="A680" s="91">
        <v>1.0</v>
      </c>
      <c r="B680" s="91" t="s">
        <v>543</v>
      </c>
      <c r="C680" s="91"/>
      <c r="D680" s="171" t="str">
        <f t="shared" si="1"/>
        <v>Divarese</v>
      </c>
      <c r="F680" s="91" t="s">
        <v>2804</v>
      </c>
      <c r="G680" s="170" t="str">
        <f t="shared" si="2"/>
        <v>Divarese&gt;Garanti BBVA (ATM)</v>
      </c>
    </row>
    <row r="681">
      <c r="A681" s="91">
        <v>1.0</v>
      </c>
      <c r="B681" s="91" t="s">
        <v>543</v>
      </c>
      <c r="C681" s="91"/>
      <c r="D681" s="171" t="str">
        <f t="shared" si="1"/>
        <v>Divarese</v>
      </c>
      <c r="F681" s="91" t="s">
        <v>1031</v>
      </c>
      <c r="G681" s="170" t="str">
        <f t="shared" si="2"/>
        <v>Divarese&gt;Happy Moon's</v>
      </c>
    </row>
    <row r="682">
      <c r="A682" s="91">
        <v>1.0</v>
      </c>
      <c r="B682" s="91" t="s">
        <v>543</v>
      </c>
      <c r="C682" s="91"/>
      <c r="D682" s="171" t="str">
        <f t="shared" si="1"/>
        <v>Divarese</v>
      </c>
      <c r="F682" s="91" t="s">
        <v>315</v>
      </c>
      <c r="G682" s="170" t="str">
        <f t="shared" si="2"/>
        <v>Divarese&gt;Mango</v>
      </c>
    </row>
    <row r="683">
      <c r="A683" s="91">
        <v>1.0</v>
      </c>
      <c r="B683" s="91" t="s">
        <v>543</v>
      </c>
      <c r="C683" s="91"/>
      <c r="D683" s="171" t="str">
        <f t="shared" si="1"/>
        <v>Divarese</v>
      </c>
      <c r="F683" s="91" t="s">
        <v>94</v>
      </c>
      <c r="G683" s="170" t="str">
        <f t="shared" si="2"/>
        <v>Divarese&gt;MediaMarkt</v>
      </c>
    </row>
    <row r="684">
      <c r="A684" s="91">
        <v>1.0</v>
      </c>
      <c r="B684" s="91" t="s">
        <v>543</v>
      </c>
      <c r="C684" s="91"/>
      <c r="D684" s="171" t="str">
        <f t="shared" si="1"/>
        <v>Divarese</v>
      </c>
      <c r="F684" s="91" t="s">
        <v>1020</v>
      </c>
      <c r="G684" s="170" t="str">
        <f t="shared" si="2"/>
        <v>Divarese&gt;Vakko</v>
      </c>
    </row>
    <row r="685">
      <c r="A685" s="91">
        <v>1.0</v>
      </c>
      <c r="B685" s="91" t="s">
        <v>1094</v>
      </c>
      <c r="C685" s="91"/>
      <c r="D685" s="171" t="str">
        <f t="shared" si="1"/>
        <v>Dolce &amp; Gabbana</v>
      </c>
      <c r="F685" s="91" t="s">
        <v>3138</v>
      </c>
      <c r="G685" s="170" t="str">
        <f t="shared" si="2"/>
        <v>Dolce &amp; Gabbana&gt;Akbank (Şube)</v>
      </c>
    </row>
    <row r="686">
      <c r="A686" s="91">
        <v>1.0</v>
      </c>
      <c r="B686" s="91" t="s">
        <v>1094</v>
      </c>
      <c r="C686" s="91"/>
      <c r="D686" s="171" t="str">
        <f t="shared" si="1"/>
        <v>Dolce &amp; Gabbana</v>
      </c>
      <c r="F686" s="91" t="s">
        <v>267</v>
      </c>
      <c r="G686" s="170" t="str">
        <f t="shared" si="2"/>
        <v>Dolce &amp; Gabbana&gt;H&amp;M</v>
      </c>
    </row>
    <row r="687">
      <c r="A687" s="91">
        <v>1.0</v>
      </c>
      <c r="B687" s="91" t="s">
        <v>1094</v>
      </c>
      <c r="C687" s="91"/>
      <c r="D687" s="171" t="str">
        <f t="shared" si="1"/>
        <v>Dolce &amp; Gabbana</v>
      </c>
      <c r="F687" s="91" t="s">
        <v>1536</v>
      </c>
      <c r="G687" s="170" t="str">
        <f t="shared" si="2"/>
        <v>Dolce &amp; Gabbana&gt;Macrocenter</v>
      </c>
    </row>
    <row r="688">
      <c r="A688" s="91">
        <v>1.0</v>
      </c>
      <c r="B688" s="91" t="s">
        <v>1094</v>
      </c>
      <c r="C688" s="91"/>
      <c r="D688" s="171" t="str">
        <f t="shared" si="1"/>
        <v>Dolce &amp; Gabbana</v>
      </c>
      <c r="F688" s="91" t="s">
        <v>240</v>
      </c>
      <c r="G688" s="170" t="str">
        <f t="shared" si="2"/>
        <v>Dolce &amp; Gabbana&gt;Nike by Levazım</v>
      </c>
    </row>
    <row r="689">
      <c r="A689" s="91">
        <v>1.0</v>
      </c>
      <c r="B689" s="91" t="s">
        <v>1094</v>
      </c>
      <c r="C689" s="91"/>
      <c r="D689" s="171" t="str">
        <f t="shared" si="1"/>
        <v>Dolce &amp; Gabbana</v>
      </c>
      <c r="F689" s="91" t="s">
        <v>1400</v>
      </c>
      <c r="G689" s="170" t="str">
        <f t="shared" si="2"/>
        <v>Dolce &amp; Gabbana&gt;Park Alanı</v>
      </c>
    </row>
    <row r="690">
      <c r="A690" s="91">
        <v>1.0</v>
      </c>
      <c r="B690" s="91" t="s">
        <v>1094</v>
      </c>
      <c r="C690" s="91"/>
      <c r="D690" s="171" t="str">
        <f t="shared" si="1"/>
        <v>Dolce &amp; Gabbana</v>
      </c>
      <c r="F690" s="91" t="s">
        <v>2132</v>
      </c>
      <c r="G690" s="170" t="str">
        <f t="shared" si="2"/>
        <v>Dolce &amp; Gabbana&gt;Vakkorama Cafe</v>
      </c>
    </row>
    <row r="691">
      <c r="A691" s="91">
        <v>1.0</v>
      </c>
      <c r="B691" s="91" t="s">
        <v>1094</v>
      </c>
      <c r="C691" s="91"/>
      <c r="D691" s="171" t="str">
        <f t="shared" si="1"/>
        <v>Dolce &amp; Gabbana</v>
      </c>
      <c r="F691" s="91" t="s">
        <v>1009</v>
      </c>
      <c r="G691" s="170" t="str">
        <f t="shared" si="2"/>
        <v>Dolce &amp; Gabbana&gt;Welldone</v>
      </c>
    </row>
    <row r="692">
      <c r="A692" s="91">
        <v>1.0</v>
      </c>
      <c r="B692" s="91" t="s">
        <v>1094</v>
      </c>
      <c r="C692" s="91"/>
      <c r="D692" s="171" t="str">
        <f t="shared" si="1"/>
        <v>Dolce &amp; Gabbana</v>
      </c>
      <c r="F692" s="91" t="s">
        <v>1668</v>
      </c>
      <c r="G692" s="170" t="str">
        <f t="shared" si="2"/>
        <v>Dolce &amp; Gabbana&gt;Zula</v>
      </c>
    </row>
    <row r="693">
      <c r="A693" s="91">
        <v>1.0</v>
      </c>
      <c r="B693" s="91" t="s">
        <v>1640</v>
      </c>
      <c r="C693" s="91"/>
      <c r="D693" s="171" t="str">
        <f t="shared" si="1"/>
        <v>Dorya Home</v>
      </c>
      <c r="F693" s="91" t="s">
        <v>2870</v>
      </c>
      <c r="G693" s="170" t="str">
        <f t="shared" si="2"/>
        <v>Dorya Home&gt;Mescit</v>
      </c>
    </row>
    <row r="694">
      <c r="A694" s="91">
        <v>1.0</v>
      </c>
      <c r="B694" s="91" t="s">
        <v>52</v>
      </c>
      <c r="C694" s="91"/>
      <c r="D694" s="171" t="str">
        <f t="shared" si="1"/>
        <v>Dry Corner</v>
      </c>
      <c r="F694" s="91" t="s">
        <v>1400</v>
      </c>
      <c r="G694" s="170" t="str">
        <f t="shared" si="2"/>
        <v>Dry Corner&gt;Park Alanı</v>
      </c>
    </row>
    <row r="695">
      <c r="A695" s="91">
        <v>1.0</v>
      </c>
      <c r="B695" s="91" t="s">
        <v>418</v>
      </c>
      <c r="C695" s="91"/>
      <c r="D695" s="171" t="str">
        <f t="shared" si="1"/>
        <v>Dyson</v>
      </c>
      <c r="F695" s="91" t="s">
        <v>3545</v>
      </c>
      <c r="G695" s="170" t="str">
        <f t="shared" si="2"/>
        <v>Dyson&gt;Saat</v>
      </c>
    </row>
    <row r="696">
      <c r="A696" s="91">
        <v>1.0</v>
      </c>
      <c r="B696" s="91" t="s">
        <v>1603</v>
      </c>
      <c r="C696" s="91"/>
      <c r="D696" s="171" t="str">
        <f t="shared" si="1"/>
        <v>Eataly</v>
      </c>
      <c r="F696" s="91" t="s">
        <v>752</v>
      </c>
      <c r="G696" s="170" t="str">
        <f t="shared" si="2"/>
        <v>Eataly&gt;Beymen Club</v>
      </c>
    </row>
    <row r="697">
      <c r="A697" s="91">
        <v>1.0</v>
      </c>
      <c r="B697" s="91" t="s">
        <v>1603</v>
      </c>
      <c r="C697" s="91"/>
      <c r="D697" s="171" t="str">
        <f t="shared" si="1"/>
        <v>Eataly</v>
      </c>
      <c r="F697" s="91" t="s">
        <v>3855</v>
      </c>
      <c r="G697" s="170" t="str">
        <f t="shared" si="2"/>
        <v>Eataly&gt;Cinema</v>
      </c>
    </row>
    <row r="698">
      <c r="A698" s="91">
        <v>1.0</v>
      </c>
      <c r="B698" s="91" t="s">
        <v>1603</v>
      </c>
      <c r="C698" s="91"/>
      <c r="D698" s="171" t="str">
        <f t="shared" si="1"/>
        <v>Eataly</v>
      </c>
      <c r="F698" s="91" t="s">
        <v>2877</v>
      </c>
      <c r="G698" s="170" t="str">
        <f t="shared" si="2"/>
        <v>Eataly&gt;Oniki Hukuk Bürosu</v>
      </c>
    </row>
    <row r="699">
      <c r="A699" s="91">
        <v>1.0</v>
      </c>
      <c r="B699" s="91" t="s">
        <v>1603</v>
      </c>
      <c r="C699" s="91"/>
      <c r="D699" s="171" t="str">
        <f t="shared" si="1"/>
        <v>Eataly</v>
      </c>
      <c r="F699" s="91" t="s">
        <v>3486</v>
      </c>
      <c r="G699" s="170" t="str">
        <f t="shared" si="2"/>
        <v>Eataly&gt;Otopark Giriş Zincirlikuyu</v>
      </c>
    </row>
    <row r="700">
      <c r="A700" s="91">
        <v>1.0</v>
      </c>
      <c r="B700" s="91" t="s">
        <v>1603</v>
      </c>
      <c r="C700" s="91"/>
      <c r="D700" s="171" t="str">
        <f t="shared" si="1"/>
        <v>Eataly</v>
      </c>
      <c r="F700" s="91" t="s">
        <v>563</v>
      </c>
      <c r="G700" s="170" t="str">
        <f t="shared" si="2"/>
        <v>Eataly&gt;Popeyes</v>
      </c>
    </row>
    <row r="701">
      <c r="A701" s="91">
        <v>1.0</v>
      </c>
      <c r="B701" s="91" t="s">
        <v>1603</v>
      </c>
      <c r="C701" s="91"/>
      <c r="D701" s="171" t="str">
        <f t="shared" si="1"/>
        <v>Eataly</v>
      </c>
      <c r="F701" s="91" t="s">
        <v>1345</v>
      </c>
      <c r="G701" s="170" t="str">
        <f t="shared" si="2"/>
        <v>Eataly&gt;Raffles Istanbul</v>
      </c>
    </row>
    <row r="702">
      <c r="A702" s="91">
        <v>1.0</v>
      </c>
      <c r="B702" s="91" t="s">
        <v>1603</v>
      </c>
      <c r="C702" s="91"/>
      <c r="D702" s="171" t="str">
        <f t="shared" si="1"/>
        <v>Eataly</v>
      </c>
      <c r="F702" s="91" t="s">
        <v>1611</v>
      </c>
      <c r="G702" s="170" t="str">
        <f t="shared" si="2"/>
        <v>Eataly&gt;Terazza Italia</v>
      </c>
    </row>
    <row r="703">
      <c r="A703" s="91">
        <v>1.0</v>
      </c>
      <c r="B703" s="91" t="s">
        <v>386</v>
      </c>
      <c r="C703" s="91"/>
      <c r="D703" s="171" t="str">
        <f t="shared" si="1"/>
        <v>Emo Optik</v>
      </c>
      <c r="F703" s="91" t="s">
        <v>2914</v>
      </c>
      <c r="G703" s="170" t="str">
        <f t="shared" si="2"/>
        <v>Emo Optik&gt;Zor Exchange</v>
      </c>
    </row>
    <row r="704">
      <c r="A704" s="91">
        <v>1.0</v>
      </c>
      <c r="B704" s="91" t="s">
        <v>1573</v>
      </c>
      <c r="C704" s="91"/>
      <c r="D704" s="171" t="str">
        <f t="shared" si="1"/>
        <v>English Home</v>
      </c>
      <c r="F704" s="91" t="s">
        <v>777</v>
      </c>
      <c r="G704" s="170" t="str">
        <f t="shared" si="2"/>
        <v>English Home&gt;COS</v>
      </c>
    </row>
    <row r="705">
      <c r="A705" s="91">
        <v>1.0</v>
      </c>
      <c r="B705" s="91" t="s">
        <v>1573</v>
      </c>
      <c r="C705" s="91"/>
      <c r="D705" s="171" t="str">
        <f t="shared" si="1"/>
        <v>English Home</v>
      </c>
      <c r="F705" s="91" t="s">
        <v>1626</v>
      </c>
      <c r="G705" s="170" t="str">
        <f t="shared" si="2"/>
        <v>English Home&gt;Funloft</v>
      </c>
    </row>
    <row r="706">
      <c r="A706" s="91">
        <v>1.0</v>
      </c>
      <c r="B706" s="91" t="s">
        <v>1573</v>
      </c>
      <c r="C706" s="91"/>
      <c r="D706" s="171" t="str">
        <f t="shared" si="1"/>
        <v>English Home</v>
      </c>
      <c r="F706" s="91" t="s">
        <v>640</v>
      </c>
      <c r="G706" s="170" t="str">
        <f t="shared" si="2"/>
        <v>English Home&gt;Sosa</v>
      </c>
    </row>
    <row r="707">
      <c r="A707" s="91">
        <v>1.0</v>
      </c>
      <c r="B707" s="91" t="s">
        <v>1573</v>
      </c>
      <c r="C707" s="91"/>
      <c r="D707" s="171" t="str">
        <f t="shared" si="1"/>
        <v>English Home</v>
      </c>
      <c r="F707" s="91" t="s">
        <v>1548</v>
      </c>
      <c r="G707" s="170" t="str">
        <f t="shared" si="2"/>
        <v>English Home&gt;Toyzz Shop</v>
      </c>
    </row>
    <row r="708">
      <c r="A708" s="91">
        <v>1.0</v>
      </c>
      <c r="B708" s="91" t="s">
        <v>1573</v>
      </c>
      <c r="C708" s="91"/>
      <c r="D708" s="171" t="str">
        <f t="shared" si="1"/>
        <v>English Home</v>
      </c>
      <c r="F708" s="91" t="s">
        <v>3852</v>
      </c>
      <c r="G708" s="170" t="str">
        <f t="shared" si="2"/>
        <v>English Home&gt;WC</v>
      </c>
    </row>
    <row r="709">
      <c r="A709" s="91">
        <v>1.0</v>
      </c>
      <c r="B709" s="91" t="s">
        <v>2284</v>
      </c>
      <c r="C709" s="91"/>
      <c r="D709" s="171" t="str">
        <f t="shared" si="1"/>
        <v>Etiler Marmaris</v>
      </c>
      <c r="F709" s="91" t="s">
        <v>399</v>
      </c>
      <c r="G709" s="170" t="str">
        <f t="shared" si="2"/>
        <v>Etiler Marmaris&gt;Apple</v>
      </c>
    </row>
    <row r="710">
      <c r="A710" s="91">
        <v>1.0</v>
      </c>
      <c r="B710" s="91" t="s">
        <v>3868</v>
      </c>
      <c r="C710" s="91"/>
      <c r="D710" s="171" t="str">
        <f t="shared" si="1"/>
        <v>Evgaranti Gayrimenkul</v>
      </c>
      <c r="F710" s="91" t="s">
        <v>3032</v>
      </c>
      <c r="G710" s="170" t="str">
        <f t="shared" si="2"/>
        <v>Evgaranti Gayrimenkul&gt;Infirmary</v>
      </c>
    </row>
    <row r="711">
      <c r="A711" s="91">
        <v>1.0</v>
      </c>
      <c r="B711" s="91" t="s">
        <v>515</v>
      </c>
      <c r="C711" s="91"/>
      <c r="D711" s="171" t="str">
        <f t="shared" si="1"/>
        <v>Falconeri</v>
      </c>
      <c r="F711" s="91" t="s">
        <v>579</v>
      </c>
      <c r="G711" s="170" t="str">
        <f t="shared" si="2"/>
        <v>Falconeri&gt;Arby's</v>
      </c>
    </row>
    <row r="712">
      <c r="A712" s="91">
        <v>1.0</v>
      </c>
      <c r="B712" s="91" t="s">
        <v>515</v>
      </c>
      <c r="C712" s="91"/>
      <c r="D712" s="171" t="str">
        <f t="shared" si="1"/>
        <v>Falconeri</v>
      </c>
      <c r="F712" s="91" t="s">
        <v>752</v>
      </c>
      <c r="G712" s="170" t="str">
        <f t="shared" si="2"/>
        <v>Falconeri&gt;Beymen Club</v>
      </c>
    </row>
    <row r="713">
      <c r="A713" s="91">
        <v>1.0</v>
      </c>
      <c r="B713" s="91" t="s">
        <v>515</v>
      </c>
      <c r="C713" s="91"/>
      <c r="D713" s="171" t="str">
        <f t="shared" si="1"/>
        <v>Falconeri</v>
      </c>
      <c r="F713" s="91" t="s">
        <v>777</v>
      </c>
      <c r="G713" s="170" t="str">
        <f t="shared" si="2"/>
        <v>Falconeri&gt;COS</v>
      </c>
    </row>
    <row r="714">
      <c r="A714" s="91">
        <v>1.0</v>
      </c>
      <c r="B714" s="91" t="s">
        <v>515</v>
      </c>
      <c r="C714" s="91"/>
      <c r="D714" s="171" t="str">
        <f t="shared" si="1"/>
        <v>Falconeri</v>
      </c>
      <c r="F714" s="91" t="s">
        <v>1573</v>
      </c>
      <c r="G714" s="170" t="str">
        <f t="shared" si="2"/>
        <v>Falconeri&gt;English Home</v>
      </c>
    </row>
    <row r="715">
      <c r="A715" s="91">
        <v>1.0</v>
      </c>
      <c r="B715" s="91" t="s">
        <v>515</v>
      </c>
      <c r="C715" s="91"/>
      <c r="D715" s="171" t="str">
        <f t="shared" si="1"/>
        <v>Falconeri</v>
      </c>
      <c r="F715" s="91" t="s">
        <v>1031</v>
      </c>
      <c r="G715" s="170" t="str">
        <f t="shared" si="2"/>
        <v>Falconeri&gt;Happy Moon's</v>
      </c>
    </row>
    <row r="716">
      <c r="A716" s="91">
        <v>1.0</v>
      </c>
      <c r="B716" s="91" t="s">
        <v>515</v>
      </c>
      <c r="C716" s="91"/>
      <c r="D716" s="171" t="str">
        <f t="shared" si="1"/>
        <v>Falconeri</v>
      </c>
      <c r="F716" s="91" t="s">
        <v>2249</v>
      </c>
      <c r="G716" s="170" t="str">
        <f t="shared" si="2"/>
        <v>Falconeri&gt;KFC</v>
      </c>
    </row>
    <row r="717">
      <c r="A717" s="91">
        <v>1.0</v>
      </c>
      <c r="B717" s="91" t="s">
        <v>515</v>
      </c>
      <c r="C717" s="91"/>
      <c r="D717" s="171" t="str">
        <f t="shared" si="1"/>
        <v>Falconeri</v>
      </c>
      <c r="F717" s="91" t="s">
        <v>368</v>
      </c>
      <c r="G717" s="170" t="str">
        <f t="shared" si="2"/>
        <v>Falconeri&gt;Levi's</v>
      </c>
    </row>
    <row r="718">
      <c r="A718" s="91">
        <v>1.0</v>
      </c>
      <c r="B718" s="91" t="s">
        <v>515</v>
      </c>
      <c r="C718" s="91"/>
      <c r="D718" s="171" t="str">
        <f t="shared" si="1"/>
        <v>Falconeri</v>
      </c>
      <c r="F718" s="91" t="s">
        <v>1278</v>
      </c>
      <c r="G718" s="170" t="str">
        <f t="shared" si="2"/>
        <v>Falconeri&gt;Louis Vuitton</v>
      </c>
    </row>
    <row r="719">
      <c r="A719" s="91">
        <v>1.0</v>
      </c>
      <c r="B719" s="91" t="s">
        <v>515</v>
      </c>
      <c r="C719" s="91"/>
      <c r="D719" s="171" t="str">
        <f t="shared" si="1"/>
        <v>Falconeri</v>
      </c>
      <c r="F719" s="91" t="s">
        <v>1536</v>
      </c>
      <c r="G719" s="170" t="str">
        <f t="shared" si="2"/>
        <v>Falconeri&gt;Macrocenter</v>
      </c>
    </row>
    <row r="720">
      <c r="A720" s="91">
        <v>1.0</v>
      </c>
      <c r="B720" s="91" t="s">
        <v>515</v>
      </c>
      <c r="C720" s="91"/>
      <c r="D720" s="171" t="str">
        <f t="shared" si="1"/>
        <v>Falconeri</v>
      </c>
      <c r="F720" s="91" t="s">
        <v>1159</v>
      </c>
      <c r="G720" s="170" t="str">
        <f t="shared" si="2"/>
        <v>Falconeri&gt;Moncler</v>
      </c>
    </row>
    <row r="721">
      <c r="A721" s="91">
        <v>1.0</v>
      </c>
      <c r="B721" s="91" t="s">
        <v>515</v>
      </c>
      <c r="C721" s="91"/>
      <c r="D721" s="171" t="str">
        <f t="shared" si="1"/>
        <v>Falconeri</v>
      </c>
      <c r="F721" s="91" t="s">
        <v>3783</v>
      </c>
      <c r="G721" s="170" t="str">
        <f t="shared" si="2"/>
        <v>Falconeri&gt;PSM</v>
      </c>
    </row>
    <row r="722">
      <c r="A722" s="91">
        <v>1.0</v>
      </c>
      <c r="B722" s="91" t="s">
        <v>515</v>
      </c>
      <c r="C722" s="91"/>
      <c r="D722" s="171" t="str">
        <f t="shared" si="1"/>
        <v>Falconeri</v>
      </c>
      <c r="F722" s="91" t="s">
        <v>1215</v>
      </c>
      <c r="G722" s="170" t="str">
        <f t="shared" si="2"/>
        <v>Falconeri&gt;Panerai</v>
      </c>
    </row>
    <row r="723">
      <c r="A723" s="91">
        <v>1.0</v>
      </c>
      <c r="B723" s="91" t="s">
        <v>515</v>
      </c>
      <c r="C723" s="91"/>
      <c r="D723" s="171" t="str">
        <f t="shared" si="1"/>
        <v>Falconeri</v>
      </c>
      <c r="F723" s="91" t="s">
        <v>1112</v>
      </c>
      <c r="G723" s="170" t="str">
        <f t="shared" si="2"/>
        <v>Falconeri&gt;Prada</v>
      </c>
    </row>
    <row r="724">
      <c r="A724" s="91">
        <v>1.0</v>
      </c>
      <c r="B724" s="91" t="s">
        <v>515</v>
      </c>
      <c r="C724" s="91"/>
      <c r="D724" s="171" t="str">
        <f t="shared" si="1"/>
        <v>Falconeri</v>
      </c>
      <c r="F724" s="91" t="s">
        <v>1047</v>
      </c>
      <c r="G724" s="170" t="str">
        <f t="shared" si="2"/>
        <v>Falconeri&gt;Rolex</v>
      </c>
    </row>
    <row r="725">
      <c r="A725" s="91">
        <v>1.0</v>
      </c>
      <c r="B725" s="91" t="s">
        <v>515</v>
      </c>
      <c r="C725" s="91"/>
      <c r="D725" s="171" t="str">
        <f t="shared" si="1"/>
        <v>Falconeri</v>
      </c>
      <c r="F725" s="91" t="s">
        <v>1548</v>
      </c>
      <c r="G725" s="170" t="str">
        <f t="shared" si="2"/>
        <v>Falconeri&gt;Toyzz Shop</v>
      </c>
    </row>
    <row r="726">
      <c r="A726" s="91">
        <v>1.0</v>
      </c>
      <c r="B726" s="91" t="s">
        <v>515</v>
      </c>
      <c r="C726" s="91"/>
      <c r="D726" s="171" t="str">
        <f t="shared" si="1"/>
        <v>Falconeri</v>
      </c>
      <c r="F726" s="91" t="s">
        <v>320</v>
      </c>
      <c r="G726" s="170" t="str">
        <f t="shared" si="2"/>
        <v>Falconeri&gt;US Polo Assn.</v>
      </c>
    </row>
    <row r="727">
      <c r="A727" s="91">
        <v>1.0</v>
      </c>
      <c r="B727" s="91" t="s">
        <v>515</v>
      </c>
      <c r="C727" s="91"/>
      <c r="D727" s="171" t="str">
        <f t="shared" si="1"/>
        <v>Falconeri</v>
      </c>
      <c r="F727" s="91" t="s">
        <v>3852</v>
      </c>
      <c r="G727" s="170" t="str">
        <f t="shared" si="2"/>
        <v>Falconeri&gt;WC</v>
      </c>
    </row>
    <row r="728">
      <c r="A728" s="91">
        <v>1.0</v>
      </c>
      <c r="B728" s="91" t="s">
        <v>515</v>
      </c>
      <c r="C728" s="91"/>
      <c r="D728" s="171" t="str">
        <f t="shared" si="1"/>
        <v>Falconeri</v>
      </c>
      <c r="F728" s="91" t="s">
        <v>2334</v>
      </c>
      <c r="G728" s="170" t="str">
        <f t="shared" si="2"/>
        <v>Falconeri&gt;WMF</v>
      </c>
    </row>
    <row r="729">
      <c r="A729" s="91">
        <v>1.0</v>
      </c>
      <c r="B729" s="91" t="s">
        <v>515</v>
      </c>
      <c r="C729" s="91"/>
      <c r="D729" s="171" t="str">
        <f t="shared" si="1"/>
        <v>Falconeri</v>
      </c>
      <c r="F729" s="91" t="s">
        <v>1009</v>
      </c>
      <c r="G729" s="170" t="str">
        <f t="shared" si="2"/>
        <v>Falconeri&gt;Welldone</v>
      </c>
    </row>
    <row r="730">
      <c r="A730" s="91">
        <v>1.0</v>
      </c>
      <c r="B730" s="91" t="s">
        <v>1284</v>
      </c>
      <c r="C730" s="91"/>
      <c r="D730" s="171" t="str">
        <f t="shared" si="1"/>
        <v>Fendi</v>
      </c>
      <c r="F730" s="91" t="s">
        <v>1059</v>
      </c>
      <c r="G730" s="170" t="str">
        <f t="shared" si="2"/>
        <v>Fendi&gt;BigChefs</v>
      </c>
    </row>
    <row r="731">
      <c r="A731" s="91">
        <v>1.0</v>
      </c>
      <c r="B731" s="91" t="s">
        <v>1284</v>
      </c>
      <c r="C731" s="91"/>
      <c r="D731" s="171" t="str">
        <f t="shared" si="1"/>
        <v>Fendi</v>
      </c>
      <c r="F731" s="91" t="s">
        <v>474</v>
      </c>
      <c r="G731" s="170" t="str">
        <f t="shared" si="2"/>
        <v>Fendi&gt;Zara</v>
      </c>
    </row>
    <row r="732">
      <c r="A732" s="91">
        <v>1.0</v>
      </c>
      <c r="B732" s="91" t="s">
        <v>1308</v>
      </c>
      <c r="C732" s="91"/>
      <c r="D732" s="171" t="str">
        <f t="shared" si="1"/>
        <v>Five O'Clock</v>
      </c>
      <c r="F732" s="91" t="s">
        <v>3855</v>
      </c>
      <c r="G732" s="170" t="str">
        <f t="shared" si="2"/>
        <v>Five O'Clock&gt;Cinema</v>
      </c>
    </row>
    <row r="733">
      <c r="A733" s="91">
        <v>1.0</v>
      </c>
      <c r="B733" s="91" t="s">
        <v>1308</v>
      </c>
      <c r="C733" s="91"/>
      <c r="D733" s="171" t="str">
        <f t="shared" si="1"/>
        <v>Five O'Clock</v>
      </c>
      <c r="F733" s="91" t="s">
        <v>2903</v>
      </c>
      <c r="G733" s="170" t="str">
        <f t="shared" si="2"/>
        <v>Five O'Clock&gt;Taxi</v>
      </c>
    </row>
    <row r="734">
      <c r="A734" s="91">
        <v>1.0</v>
      </c>
      <c r="B734" s="91" t="s">
        <v>1626</v>
      </c>
      <c r="C734" s="91"/>
      <c r="D734" s="171" t="str">
        <f t="shared" si="1"/>
        <v>Funloft</v>
      </c>
      <c r="F734" s="91" t="s">
        <v>240</v>
      </c>
      <c r="G734" s="170" t="str">
        <f t="shared" si="2"/>
        <v>Funloft&gt;Nike by Levazım</v>
      </c>
    </row>
    <row r="735">
      <c r="A735" s="91">
        <v>1.0</v>
      </c>
      <c r="B735" s="91" t="s">
        <v>1626</v>
      </c>
      <c r="C735" s="91"/>
      <c r="D735" s="171" t="str">
        <f t="shared" si="1"/>
        <v>Funloft</v>
      </c>
      <c r="F735" s="91" t="s">
        <v>658</v>
      </c>
      <c r="G735" s="170" t="str">
        <f t="shared" si="2"/>
        <v>Funloft&gt;Pandora</v>
      </c>
    </row>
    <row r="736">
      <c r="A736" s="91">
        <v>1.0</v>
      </c>
      <c r="B736" s="91" t="s">
        <v>765</v>
      </c>
      <c r="C736" s="91"/>
      <c r="D736" s="171" t="str">
        <f t="shared" si="1"/>
        <v>Gant</v>
      </c>
      <c r="F736" s="91" t="s">
        <v>285</v>
      </c>
      <c r="G736" s="170" t="str">
        <f t="shared" si="2"/>
        <v>Gant&gt;Aldo</v>
      </c>
    </row>
    <row r="737">
      <c r="A737" s="91">
        <v>1.0</v>
      </c>
      <c r="B737" s="91" t="s">
        <v>765</v>
      </c>
      <c r="C737" s="91"/>
      <c r="D737" s="171" t="str">
        <f t="shared" si="1"/>
        <v>Gant</v>
      </c>
      <c r="F737" s="91" t="s">
        <v>368</v>
      </c>
      <c r="G737" s="170" t="str">
        <f t="shared" si="2"/>
        <v>Gant&gt;Levi's</v>
      </c>
    </row>
    <row r="738">
      <c r="A738" s="91">
        <v>1.0</v>
      </c>
      <c r="B738" s="91" t="s">
        <v>222</v>
      </c>
      <c r="C738" s="91"/>
      <c r="D738" s="171" t="str">
        <f t="shared" si="1"/>
        <v>Gap</v>
      </c>
      <c r="F738" s="91" t="s">
        <v>181</v>
      </c>
      <c r="G738" s="170" t="str">
        <f t="shared" si="2"/>
        <v>Gap&gt;Starbucks</v>
      </c>
    </row>
    <row r="739">
      <c r="A739" s="91">
        <v>1.0</v>
      </c>
      <c r="B739" s="91" t="s">
        <v>222</v>
      </c>
      <c r="C739" s="91"/>
      <c r="D739" s="171" t="str">
        <f t="shared" si="1"/>
        <v>Gap</v>
      </c>
      <c r="F739" s="91" t="s">
        <v>497</v>
      </c>
      <c r="G739" s="170" t="str">
        <f t="shared" si="2"/>
        <v>Gap&gt;Tobacco Shop</v>
      </c>
    </row>
    <row r="740">
      <c r="A740" s="91">
        <v>1.0</v>
      </c>
      <c r="B740" s="91" t="s">
        <v>222</v>
      </c>
      <c r="C740" s="91"/>
      <c r="D740" s="171" t="str">
        <f t="shared" si="1"/>
        <v>Gap</v>
      </c>
      <c r="F740" s="91" t="s">
        <v>1548</v>
      </c>
      <c r="G740" s="170" t="str">
        <f t="shared" si="2"/>
        <v>Gap&gt;Toyzz Shop</v>
      </c>
    </row>
    <row r="741">
      <c r="A741" s="91">
        <v>1.0</v>
      </c>
      <c r="B741" s="91" t="s">
        <v>222</v>
      </c>
      <c r="C741" s="91"/>
      <c r="D741" s="171" t="str">
        <f t="shared" si="1"/>
        <v>Gap</v>
      </c>
      <c r="F741" s="91" t="s">
        <v>474</v>
      </c>
      <c r="G741" s="170" t="str">
        <f t="shared" si="2"/>
        <v>Gap&gt;Zara</v>
      </c>
    </row>
    <row r="742">
      <c r="A742" s="91">
        <v>1.0</v>
      </c>
      <c r="B742" s="91" t="s">
        <v>222</v>
      </c>
      <c r="C742" s="91"/>
      <c r="D742" s="171" t="str">
        <f t="shared" si="1"/>
        <v>Gap</v>
      </c>
      <c r="F742" s="91" t="s">
        <v>1668</v>
      </c>
      <c r="G742" s="170" t="str">
        <f t="shared" si="2"/>
        <v>Gap&gt;Zula</v>
      </c>
    </row>
    <row r="743">
      <c r="A743" s="91">
        <v>1.0</v>
      </c>
      <c r="B743" s="91" t="s">
        <v>1646</v>
      </c>
      <c r="C743" s="91"/>
      <c r="D743" s="171" t="str">
        <f t="shared" si="1"/>
        <v>Gilan</v>
      </c>
      <c r="F743" s="91" t="s">
        <v>1603</v>
      </c>
      <c r="G743" s="170" t="str">
        <f t="shared" si="2"/>
        <v>Gilan&gt;Eataly</v>
      </c>
    </row>
    <row r="744">
      <c r="A744" s="91">
        <v>1.0</v>
      </c>
      <c r="B744" s="91" t="s">
        <v>1646</v>
      </c>
      <c r="C744" s="91"/>
      <c r="D744" s="171" t="str">
        <f t="shared" si="1"/>
        <v>Gilan</v>
      </c>
      <c r="F744" s="91" t="s">
        <v>2266</v>
      </c>
      <c r="G744" s="170" t="str">
        <f t="shared" si="2"/>
        <v>Gilan&gt;Kafe Vesto</v>
      </c>
    </row>
    <row r="745">
      <c r="A745" s="91">
        <v>1.0</v>
      </c>
      <c r="B745" s="91" t="s">
        <v>1646</v>
      </c>
      <c r="C745" s="91"/>
      <c r="D745" s="171" t="str">
        <f t="shared" si="1"/>
        <v>Gilan</v>
      </c>
      <c r="F745" s="91" t="s">
        <v>1364</v>
      </c>
      <c r="G745" s="170" t="str">
        <f t="shared" si="2"/>
        <v>Gilan&gt;Sabit Akkaya Hair Stylist</v>
      </c>
    </row>
    <row r="746">
      <c r="A746" s="91">
        <v>1.0</v>
      </c>
      <c r="B746" s="91" t="s">
        <v>1337</v>
      </c>
      <c r="C746" s="91"/>
      <c r="D746" s="171" t="str">
        <f t="shared" si="1"/>
        <v>Godiva</v>
      </c>
      <c r="F746" s="91" t="s">
        <v>1059</v>
      </c>
      <c r="G746" s="170" t="str">
        <f t="shared" si="2"/>
        <v>Godiva&gt;BigChefs</v>
      </c>
    </row>
    <row r="747">
      <c r="A747" s="91">
        <v>1.0</v>
      </c>
      <c r="B747" s="91" t="s">
        <v>1337</v>
      </c>
      <c r="C747" s="91"/>
      <c r="D747" s="171" t="str">
        <f t="shared" si="1"/>
        <v>Godiva</v>
      </c>
      <c r="F747" s="91" t="s">
        <v>955</v>
      </c>
      <c r="G747" s="170" t="str">
        <f t="shared" si="2"/>
        <v>Godiva&gt;Global Blue (Beymen)</v>
      </c>
    </row>
    <row r="748">
      <c r="A748" s="91">
        <v>1.0</v>
      </c>
      <c r="B748" s="91" t="s">
        <v>1337</v>
      </c>
      <c r="C748" s="91"/>
      <c r="D748" s="171" t="str">
        <f t="shared" si="1"/>
        <v>Godiva</v>
      </c>
      <c r="F748" s="91" t="s">
        <v>1031</v>
      </c>
      <c r="G748" s="170" t="str">
        <f t="shared" si="2"/>
        <v>Godiva&gt;Happy Moon's</v>
      </c>
    </row>
    <row r="749">
      <c r="A749" s="91">
        <v>1.0</v>
      </c>
      <c r="B749" s="91" t="s">
        <v>1337</v>
      </c>
      <c r="C749" s="91"/>
      <c r="D749" s="171" t="str">
        <f t="shared" si="1"/>
        <v>Godiva</v>
      </c>
      <c r="F749" s="91" t="s">
        <v>392</v>
      </c>
      <c r="G749" s="170" t="str">
        <f t="shared" si="2"/>
        <v>Godiva&gt;Hello Sweetie</v>
      </c>
    </row>
    <row r="750">
      <c r="A750" s="91">
        <v>1.0</v>
      </c>
      <c r="B750" s="91" t="s">
        <v>1337</v>
      </c>
      <c r="C750" s="91"/>
      <c r="D750" s="171" t="str">
        <f t="shared" si="1"/>
        <v>Godiva</v>
      </c>
      <c r="F750" s="91" t="s">
        <v>1536</v>
      </c>
      <c r="G750" s="170" t="str">
        <f t="shared" si="2"/>
        <v>Godiva&gt;Macrocenter</v>
      </c>
    </row>
    <row r="751">
      <c r="A751" s="91">
        <v>1.0</v>
      </c>
      <c r="B751" s="91" t="s">
        <v>1337</v>
      </c>
      <c r="C751" s="91"/>
      <c r="D751" s="171" t="str">
        <f t="shared" si="1"/>
        <v>Godiva</v>
      </c>
      <c r="F751" s="91" t="s">
        <v>1364</v>
      </c>
      <c r="G751" s="170" t="str">
        <f t="shared" si="2"/>
        <v>Godiva&gt;Sabit Akkaya Hair Stylist</v>
      </c>
    </row>
    <row r="752">
      <c r="A752" s="91">
        <v>1.0</v>
      </c>
      <c r="B752" s="91" t="s">
        <v>1337</v>
      </c>
      <c r="C752" s="91"/>
      <c r="D752" s="171" t="str">
        <f t="shared" si="1"/>
        <v>Godiva</v>
      </c>
      <c r="F752" s="91" t="s">
        <v>1009</v>
      </c>
      <c r="G752" s="170" t="str">
        <f t="shared" si="2"/>
        <v>Godiva&gt;Welldone</v>
      </c>
    </row>
    <row r="753">
      <c r="A753" s="91">
        <v>1.0</v>
      </c>
      <c r="B753" s="91" t="s">
        <v>1003</v>
      </c>
      <c r="C753" s="91"/>
      <c r="D753" s="171" t="str">
        <f t="shared" si="1"/>
        <v>Golden Goose</v>
      </c>
      <c r="F753" s="91" t="s">
        <v>624</v>
      </c>
      <c r="G753" s="170" t="str">
        <f t="shared" si="2"/>
        <v>Golden Goose&gt;Tahin</v>
      </c>
    </row>
    <row r="754">
      <c r="A754" s="91">
        <v>1.0</v>
      </c>
      <c r="B754" s="91" t="s">
        <v>1003</v>
      </c>
      <c r="C754" s="91"/>
      <c r="D754" s="171" t="str">
        <f t="shared" si="1"/>
        <v>Golden Goose</v>
      </c>
      <c r="F754" s="91" t="s">
        <v>1548</v>
      </c>
      <c r="G754" s="170" t="str">
        <f t="shared" si="2"/>
        <v>Golden Goose&gt;Toyzz Shop</v>
      </c>
    </row>
    <row r="755">
      <c r="A755" s="91">
        <v>1.0</v>
      </c>
      <c r="B755" s="91" t="s">
        <v>2439</v>
      </c>
      <c r="C755" s="91"/>
      <c r="D755" s="171" t="str">
        <f t="shared" si="1"/>
        <v>Gran Cafe Eataly</v>
      </c>
      <c r="F755" s="91" t="s">
        <v>3402</v>
      </c>
      <c r="G755" s="170" t="str">
        <f t="shared" si="2"/>
        <v>Gran Cafe Eataly&gt;Tuvalet</v>
      </c>
    </row>
    <row r="756">
      <c r="A756" s="91">
        <v>1.0</v>
      </c>
      <c r="B756" s="91" t="s">
        <v>646</v>
      </c>
      <c r="C756" s="91"/>
      <c r="D756" s="171" t="str">
        <f t="shared" si="1"/>
        <v>Green Salads</v>
      </c>
      <c r="F756" s="91" t="s">
        <v>205</v>
      </c>
      <c r="G756" s="170" t="str">
        <f t="shared" si="2"/>
        <v>Green Salads&gt;Adidas</v>
      </c>
    </row>
    <row r="757">
      <c r="A757" s="91">
        <v>1.0</v>
      </c>
      <c r="B757" s="91" t="s">
        <v>646</v>
      </c>
      <c r="C757" s="91"/>
      <c r="D757" s="171" t="str">
        <f t="shared" si="1"/>
        <v>Green Salads</v>
      </c>
      <c r="F757" s="91" t="s">
        <v>2266</v>
      </c>
      <c r="G757" s="170" t="str">
        <f t="shared" si="2"/>
        <v>Green Salads&gt;Kafe Vesto</v>
      </c>
    </row>
    <row r="758">
      <c r="A758" s="91">
        <v>1.0</v>
      </c>
      <c r="B758" s="91" t="s">
        <v>646</v>
      </c>
      <c r="C758" s="91"/>
      <c r="D758" s="171" t="str">
        <f t="shared" si="1"/>
        <v>Green Salads</v>
      </c>
      <c r="F758" s="91" t="s">
        <v>94</v>
      </c>
      <c r="G758" s="170" t="str">
        <f t="shared" si="2"/>
        <v>Green Salads&gt;MediaMarkt</v>
      </c>
    </row>
    <row r="759">
      <c r="A759" s="91">
        <v>1.0</v>
      </c>
      <c r="B759" s="91" t="s">
        <v>646</v>
      </c>
      <c r="C759" s="91"/>
      <c r="D759" s="171" t="str">
        <f t="shared" si="1"/>
        <v>Green Salads</v>
      </c>
      <c r="F759" s="91" t="s">
        <v>485</v>
      </c>
      <c r="G759" s="170" t="str">
        <f t="shared" si="2"/>
        <v>Green Salads&gt;Watsons</v>
      </c>
    </row>
    <row r="760">
      <c r="A760" s="91">
        <v>1.0</v>
      </c>
      <c r="B760" s="91" t="s">
        <v>1314</v>
      </c>
      <c r="C760" s="91"/>
      <c r="D760" s="171" t="str">
        <f t="shared" si="1"/>
        <v>Gucci</v>
      </c>
      <c r="F760" s="91" t="s">
        <v>1352</v>
      </c>
      <c r="G760" s="170" t="str">
        <f t="shared" si="2"/>
        <v>Gucci&gt;Isokyo</v>
      </c>
    </row>
    <row r="761">
      <c r="A761" s="91">
        <v>1.0</v>
      </c>
      <c r="B761" s="91" t="s">
        <v>1314</v>
      </c>
      <c r="C761" s="91"/>
      <c r="D761" s="171" t="str">
        <f t="shared" si="1"/>
        <v>Gucci</v>
      </c>
      <c r="F761" s="91" t="s">
        <v>326</v>
      </c>
      <c r="G761" s="170" t="str">
        <f t="shared" si="2"/>
        <v>Gucci&gt;Massimo Dutti</v>
      </c>
    </row>
    <row r="762">
      <c r="A762" s="91">
        <v>1.0</v>
      </c>
      <c r="B762" s="91" t="s">
        <v>1314</v>
      </c>
      <c r="C762" s="91"/>
      <c r="D762" s="171" t="str">
        <f t="shared" si="1"/>
        <v>Gucci</v>
      </c>
      <c r="F762" s="91" t="s">
        <v>216</v>
      </c>
      <c r="G762" s="170" t="str">
        <f t="shared" si="2"/>
        <v>Gucci&gt;Mavi</v>
      </c>
    </row>
    <row r="763">
      <c r="A763" s="91">
        <v>1.0</v>
      </c>
      <c r="B763" s="91" t="s">
        <v>1314</v>
      </c>
      <c r="C763" s="91"/>
      <c r="D763" s="171" t="str">
        <f t="shared" si="1"/>
        <v>Gucci</v>
      </c>
      <c r="F763" s="91" t="s">
        <v>2858</v>
      </c>
      <c r="G763" s="170" t="str">
        <f t="shared" si="2"/>
        <v>Gucci&gt;Türkiye İş Bankası (ATM)</v>
      </c>
    </row>
    <row r="764">
      <c r="A764" s="91">
        <v>1.0</v>
      </c>
      <c r="B764" s="91" t="s">
        <v>1314</v>
      </c>
      <c r="C764" s="91"/>
      <c r="D764" s="171" t="str">
        <f t="shared" si="1"/>
        <v>Gucci</v>
      </c>
      <c r="F764" s="91" t="s">
        <v>2343</v>
      </c>
      <c r="G764" s="170" t="str">
        <f t="shared" si="2"/>
        <v>Gucci&gt;Zanzibar</v>
      </c>
    </row>
    <row r="765">
      <c r="A765" s="91">
        <v>1.0</v>
      </c>
      <c r="B765" s="91" t="s">
        <v>1314</v>
      </c>
      <c r="C765" s="91"/>
      <c r="D765" s="171" t="str">
        <f t="shared" si="1"/>
        <v>Gucci</v>
      </c>
      <c r="F765" s="91" t="s">
        <v>2914</v>
      </c>
      <c r="G765" s="170" t="str">
        <f t="shared" si="2"/>
        <v>Gucci&gt;Zor Exchange</v>
      </c>
    </row>
    <row r="766">
      <c r="A766" s="91">
        <v>1.0</v>
      </c>
      <c r="B766" s="91" t="s">
        <v>1314</v>
      </c>
      <c r="C766" s="91"/>
      <c r="D766" s="171" t="str">
        <f t="shared" si="1"/>
        <v>Gucci</v>
      </c>
      <c r="F766" s="91" t="s">
        <v>1668</v>
      </c>
      <c r="G766" s="170" t="str">
        <f t="shared" si="2"/>
        <v>Gucci&gt;Zula</v>
      </c>
    </row>
    <row r="767">
      <c r="A767" s="91">
        <v>1.0</v>
      </c>
      <c r="B767" s="91" t="s">
        <v>1065</v>
      </c>
      <c r="C767" s="91"/>
      <c r="D767" s="171" t="str">
        <f t="shared" si="1"/>
        <v>Günaydın Kasap &amp; Steakhouse</v>
      </c>
      <c r="F767" s="91" t="s">
        <v>1626</v>
      </c>
      <c r="G767" s="170" t="str">
        <f t="shared" si="2"/>
        <v>Günaydın Kasap &amp; Steakhouse&gt;Funloft</v>
      </c>
    </row>
    <row r="768">
      <c r="A768" s="91">
        <v>1.0</v>
      </c>
      <c r="B768" s="91" t="s">
        <v>555</v>
      </c>
      <c r="C768" s="91"/>
      <c r="D768" s="171" t="str">
        <f t="shared" si="1"/>
        <v>Günaydın Köfte &amp; Döner</v>
      </c>
      <c r="F768" s="91" t="s">
        <v>2801</v>
      </c>
      <c r="G768" s="170" t="str">
        <f t="shared" si="2"/>
        <v>Günaydın Köfte &amp; Döner&gt;Akbank (ATM)</v>
      </c>
    </row>
    <row r="769">
      <c r="A769" s="91">
        <v>1.0</v>
      </c>
      <c r="B769" s="91" t="s">
        <v>267</v>
      </c>
      <c r="C769" s="91"/>
      <c r="D769" s="171" t="str">
        <f t="shared" si="1"/>
        <v>H&amp;M</v>
      </c>
      <c r="F769" s="91" t="s">
        <v>205</v>
      </c>
      <c r="G769" s="170" t="str">
        <f t="shared" si="2"/>
        <v>H&amp;M&gt;Adidas</v>
      </c>
    </row>
    <row r="770">
      <c r="A770" s="91">
        <v>1.0</v>
      </c>
      <c r="B770" s="91" t="s">
        <v>267</v>
      </c>
      <c r="C770" s="91"/>
      <c r="D770" s="171" t="str">
        <f t="shared" si="1"/>
        <v>H&amp;M</v>
      </c>
      <c r="F770" s="91" t="s">
        <v>705</v>
      </c>
      <c r="G770" s="170" t="str">
        <f t="shared" si="2"/>
        <v>H&amp;M&gt;Atasay</v>
      </c>
    </row>
    <row r="771">
      <c r="A771" s="91">
        <v>1.0</v>
      </c>
      <c r="B771" s="91" t="s">
        <v>267</v>
      </c>
      <c r="C771" s="91"/>
      <c r="D771" s="171" t="str">
        <f t="shared" si="1"/>
        <v>H&amp;M</v>
      </c>
      <c r="F771" s="91" t="s">
        <v>1579</v>
      </c>
      <c r="G771" s="170" t="str">
        <f t="shared" si="2"/>
        <v>H&amp;M&gt;D&amp;R</v>
      </c>
    </row>
    <row r="772">
      <c r="A772" s="91">
        <v>1.0</v>
      </c>
      <c r="B772" s="91" t="s">
        <v>267</v>
      </c>
      <c r="C772" s="91"/>
      <c r="D772" s="171" t="str">
        <f t="shared" si="1"/>
        <v>H&amp;M</v>
      </c>
      <c r="F772" s="91" t="s">
        <v>740</v>
      </c>
      <c r="G772" s="170" t="str">
        <f t="shared" si="2"/>
        <v>H&amp;M&gt;Diesel</v>
      </c>
    </row>
    <row r="773">
      <c r="A773" s="91">
        <v>1.0</v>
      </c>
      <c r="B773" s="91" t="s">
        <v>267</v>
      </c>
      <c r="C773" s="91"/>
      <c r="D773" s="171" t="str">
        <f t="shared" si="1"/>
        <v>H&amp;M</v>
      </c>
      <c r="F773" s="91" t="s">
        <v>267</v>
      </c>
      <c r="G773" s="170" t="str">
        <f t="shared" si="2"/>
        <v>H&amp;M&gt;H&amp;M</v>
      </c>
    </row>
    <row r="774">
      <c r="A774" s="91">
        <v>1.0</v>
      </c>
      <c r="B774" s="91" t="s">
        <v>267</v>
      </c>
      <c r="C774" s="91"/>
      <c r="D774" s="171" t="str">
        <f t="shared" si="1"/>
        <v>H&amp;M</v>
      </c>
      <c r="F774" s="91" t="s">
        <v>3061</v>
      </c>
      <c r="G774" s="170" t="str">
        <f t="shared" si="2"/>
        <v>H&amp;M&gt;Masjid</v>
      </c>
    </row>
    <row r="775">
      <c r="A775" s="91">
        <v>1.0</v>
      </c>
      <c r="B775" s="91" t="s">
        <v>267</v>
      </c>
      <c r="C775" s="91"/>
      <c r="D775" s="171" t="str">
        <f t="shared" si="1"/>
        <v>H&amp;M</v>
      </c>
      <c r="F775" s="91" t="s">
        <v>3854</v>
      </c>
      <c r="G775" s="170" t="str">
        <f t="shared" si="2"/>
        <v>H&amp;M&gt;Pharmacy</v>
      </c>
    </row>
    <row r="776">
      <c r="A776" s="91">
        <v>1.0</v>
      </c>
      <c r="B776" s="91" t="s">
        <v>267</v>
      </c>
      <c r="C776" s="91"/>
      <c r="D776" s="171" t="str">
        <f t="shared" si="1"/>
        <v>H&amp;M</v>
      </c>
      <c r="F776" s="91" t="s">
        <v>485</v>
      </c>
      <c r="G776" s="170" t="str">
        <f t="shared" si="2"/>
        <v>H&amp;M&gt;Watsons</v>
      </c>
    </row>
    <row r="777">
      <c r="A777" s="91">
        <v>1.0</v>
      </c>
      <c r="B777" s="91" t="s">
        <v>267</v>
      </c>
      <c r="C777" s="91"/>
      <c r="D777" s="171" t="str">
        <f t="shared" si="1"/>
        <v>H&amp;M</v>
      </c>
      <c r="F777" s="91" t="s">
        <v>1668</v>
      </c>
      <c r="G777" s="170" t="str">
        <f t="shared" si="2"/>
        <v>H&amp;M&gt;Zula</v>
      </c>
    </row>
    <row r="778">
      <c r="A778" s="91">
        <v>1.0</v>
      </c>
      <c r="B778" s="91" t="s">
        <v>1634</v>
      </c>
      <c r="C778" s="91"/>
      <c r="D778" s="171" t="str">
        <f t="shared" si="1"/>
        <v>HandeHaluk Kuaför</v>
      </c>
      <c r="F778" s="91" t="s">
        <v>38</v>
      </c>
      <c r="G778" s="170" t="str">
        <f t="shared" si="2"/>
        <v>HandeHaluk Kuaför&gt;Etstur</v>
      </c>
    </row>
    <row r="779">
      <c r="A779" s="91">
        <v>1.0</v>
      </c>
      <c r="B779" s="91" t="s">
        <v>1031</v>
      </c>
      <c r="C779" s="91"/>
      <c r="D779" s="171" t="str">
        <f t="shared" si="1"/>
        <v>Happy Moon's</v>
      </c>
      <c r="F779" s="91" t="s">
        <v>3305</v>
      </c>
      <c r="G779" s="170" t="str">
        <f t="shared" si="2"/>
        <v>Happy Moon's&gt;Eczane</v>
      </c>
    </row>
    <row r="780">
      <c r="A780" s="91">
        <v>1.0</v>
      </c>
      <c r="B780" s="91" t="s">
        <v>1031</v>
      </c>
      <c r="C780" s="91"/>
      <c r="D780" s="171" t="str">
        <f t="shared" si="1"/>
        <v>Happy Moon's</v>
      </c>
      <c r="F780" s="91" t="s">
        <v>555</v>
      </c>
      <c r="G780" s="170" t="str">
        <f t="shared" si="2"/>
        <v>Happy Moon's&gt;Günaydın Köfte &amp; Döner</v>
      </c>
    </row>
    <row r="781">
      <c r="A781" s="91">
        <v>1.0</v>
      </c>
      <c r="B781" s="91" t="s">
        <v>1031</v>
      </c>
      <c r="C781" s="91"/>
      <c r="D781" s="171" t="str">
        <f t="shared" si="1"/>
        <v>Happy Moon's</v>
      </c>
      <c r="F781" s="91" t="s">
        <v>1031</v>
      </c>
      <c r="G781" s="170" t="str">
        <f t="shared" si="2"/>
        <v>Happy Moon's&gt;Happy Moon's</v>
      </c>
    </row>
    <row r="782">
      <c r="A782" s="91">
        <v>1.0</v>
      </c>
      <c r="B782" s="91" t="s">
        <v>1031</v>
      </c>
      <c r="C782" s="91"/>
      <c r="D782" s="171" t="str">
        <f t="shared" si="1"/>
        <v>Happy Moon's</v>
      </c>
      <c r="F782" s="91" t="s">
        <v>2249</v>
      </c>
      <c r="G782" s="170" t="str">
        <f t="shared" si="2"/>
        <v>Happy Moon's&gt;KFC</v>
      </c>
    </row>
    <row r="783">
      <c r="A783" s="91">
        <v>1.0</v>
      </c>
      <c r="B783" s="91" t="s">
        <v>1031</v>
      </c>
      <c r="C783" s="91"/>
      <c r="D783" s="171" t="str">
        <f t="shared" si="1"/>
        <v>Happy Moon's</v>
      </c>
      <c r="F783" s="91" t="s">
        <v>2834</v>
      </c>
      <c r="G783" s="170" t="str">
        <f t="shared" si="2"/>
        <v>Happy Moon's&gt;Pharmacy Zorlu Center</v>
      </c>
    </row>
    <row r="784">
      <c r="A784" s="91">
        <v>1.0</v>
      </c>
      <c r="B784" s="91" t="s">
        <v>1031</v>
      </c>
      <c r="C784" s="91"/>
      <c r="D784" s="171" t="str">
        <f t="shared" si="1"/>
        <v>Happy Moon's</v>
      </c>
      <c r="F784" s="91" t="s">
        <v>1082</v>
      </c>
      <c r="G784" s="170" t="str">
        <f t="shared" si="2"/>
        <v>Happy Moon's&gt;Saray Muhallebicisi</v>
      </c>
    </row>
    <row r="785">
      <c r="A785" s="91">
        <v>1.0</v>
      </c>
      <c r="B785" s="91" t="s">
        <v>1031</v>
      </c>
      <c r="C785" s="91"/>
      <c r="D785" s="171" t="str">
        <f t="shared" si="1"/>
        <v>Happy Moon's</v>
      </c>
      <c r="F785" s="91" t="s">
        <v>3402</v>
      </c>
      <c r="G785" s="170" t="str">
        <f t="shared" si="2"/>
        <v>Happy Moon's&gt;Tuvalet</v>
      </c>
    </row>
    <row r="786">
      <c r="A786" s="91">
        <v>1.0</v>
      </c>
      <c r="B786" s="91" t="s">
        <v>1171</v>
      </c>
      <c r="C786" s="91"/>
      <c r="D786" s="171" t="str">
        <f t="shared" si="1"/>
        <v>Haremlique Istanbul</v>
      </c>
      <c r="F786" s="91" t="s">
        <v>1554</v>
      </c>
      <c r="G786" s="170" t="str">
        <f t="shared" si="2"/>
        <v>Haremlique Istanbul&gt;Paşabahçe Mağazaları</v>
      </c>
    </row>
    <row r="787">
      <c r="A787" s="91">
        <v>1.0</v>
      </c>
      <c r="B787" s="91" t="s">
        <v>1597</v>
      </c>
      <c r="C787" s="91"/>
      <c r="D787" s="171" t="str">
        <f t="shared" si="1"/>
        <v>Harman Kardon</v>
      </c>
      <c r="F787" s="91" t="s">
        <v>2922</v>
      </c>
      <c r="G787" s="170" t="str">
        <f t="shared" si="2"/>
        <v>Harman Kardon&gt;Yapı Kredi (ATM)</v>
      </c>
    </row>
    <row r="788">
      <c r="A788" s="91">
        <v>1.0</v>
      </c>
      <c r="B788" s="91" t="s">
        <v>509</v>
      </c>
      <c r="C788" s="91"/>
      <c r="D788" s="171" t="str">
        <f t="shared" si="1"/>
        <v>Intimissimi</v>
      </c>
      <c r="F788" s="91" t="s">
        <v>2801</v>
      </c>
      <c r="G788" s="170" t="str">
        <f t="shared" si="2"/>
        <v>Intimissimi&gt;Akbank (ATM)</v>
      </c>
    </row>
    <row r="789">
      <c r="A789" s="91">
        <v>1.0</v>
      </c>
      <c r="B789" s="91" t="s">
        <v>509</v>
      </c>
      <c r="C789" s="91"/>
      <c r="D789" s="171" t="str">
        <f t="shared" si="1"/>
        <v>Intimissimi</v>
      </c>
      <c r="F789" s="91" t="s">
        <v>399</v>
      </c>
      <c r="G789" s="170" t="str">
        <f t="shared" si="2"/>
        <v>Intimissimi&gt;Apple</v>
      </c>
    </row>
    <row r="790">
      <c r="A790" s="91">
        <v>1.0</v>
      </c>
      <c r="B790" s="91" t="s">
        <v>509</v>
      </c>
      <c r="C790" s="91"/>
      <c r="D790" s="171" t="str">
        <f t="shared" si="1"/>
        <v>Intimissimi</v>
      </c>
      <c r="F790" s="91" t="s">
        <v>728</v>
      </c>
      <c r="G790" s="170" t="str">
        <f t="shared" si="2"/>
        <v>Intimissimi&gt;Calvin Klein Jeans</v>
      </c>
    </row>
    <row r="791">
      <c r="A791" s="91">
        <v>1.0</v>
      </c>
      <c r="B791" s="91" t="s">
        <v>509</v>
      </c>
      <c r="C791" s="91"/>
      <c r="D791" s="171" t="str">
        <f t="shared" si="1"/>
        <v>Intimissimi</v>
      </c>
      <c r="F791" s="91" t="s">
        <v>386</v>
      </c>
      <c r="G791" s="170" t="str">
        <f t="shared" si="2"/>
        <v>Intimissimi&gt;Emo Optik</v>
      </c>
    </row>
    <row r="792">
      <c r="A792" s="91">
        <v>1.0</v>
      </c>
      <c r="B792" s="91" t="s">
        <v>509</v>
      </c>
      <c r="C792" s="91"/>
      <c r="D792" s="171" t="str">
        <f t="shared" si="1"/>
        <v>Intimissimi</v>
      </c>
      <c r="F792" s="91" t="s">
        <v>1573</v>
      </c>
      <c r="G792" s="170" t="str">
        <f t="shared" si="2"/>
        <v>Intimissimi&gt;English Home</v>
      </c>
    </row>
    <row r="793">
      <c r="A793" s="91">
        <v>1.0</v>
      </c>
      <c r="B793" s="91" t="s">
        <v>509</v>
      </c>
      <c r="C793" s="91"/>
      <c r="D793" s="171" t="str">
        <f t="shared" si="1"/>
        <v>Intimissimi</v>
      </c>
      <c r="F793" s="91" t="s">
        <v>1337</v>
      </c>
      <c r="G793" s="170" t="str">
        <f t="shared" si="2"/>
        <v>Intimissimi&gt;Godiva</v>
      </c>
    </row>
    <row r="794">
      <c r="A794" s="91">
        <v>1.0</v>
      </c>
      <c r="B794" s="91" t="s">
        <v>509</v>
      </c>
      <c r="C794" s="91"/>
      <c r="D794" s="171" t="str">
        <f t="shared" si="1"/>
        <v>Intimissimi</v>
      </c>
      <c r="F794" s="91" t="s">
        <v>1065</v>
      </c>
      <c r="G794" s="170" t="str">
        <f t="shared" si="2"/>
        <v>Intimissimi&gt;Günaydın Kasap &amp; Steakhouse</v>
      </c>
    </row>
    <row r="795">
      <c r="A795" s="91">
        <v>1.0</v>
      </c>
      <c r="B795" s="91" t="s">
        <v>509</v>
      </c>
      <c r="C795" s="91"/>
      <c r="D795" s="171" t="str">
        <f t="shared" si="1"/>
        <v>Intimissimi</v>
      </c>
      <c r="F795" s="91" t="s">
        <v>2427</v>
      </c>
      <c r="G795" s="170" t="str">
        <f t="shared" si="2"/>
        <v>Intimissimi&gt;MAC Mars Athletic Club</v>
      </c>
    </row>
    <row r="796">
      <c r="A796" s="91">
        <v>1.0</v>
      </c>
      <c r="B796" s="91" t="s">
        <v>509</v>
      </c>
      <c r="C796" s="91"/>
      <c r="D796" s="171" t="str">
        <f t="shared" si="1"/>
        <v>Intimissimi</v>
      </c>
      <c r="F796" s="91" t="s">
        <v>94</v>
      </c>
      <c r="G796" s="170" t="str">
        <f t="shared" si="2"/>
        <v>Intimissimi&gt;MediaMarkt</v>
      </c>
    </row>
    <row r="797">
      <c r="A797" s="91">
        <v>1.0</v>
      </c>
      <c r="B797" s="91" t="s">
        <v>509</v>
      </c>
      <c r="C797" s="91"/>
      <c r="D797" s="171" t="str">
        <f t="shared" si="1"/>
        <v>Intimissimi</v>
      </c>
      <c r="F797" s="91" t="s">
        <v>1228</v>
      </c>
      <c r="G797" s="170" t="str">
        <f t="shared" si="2"/>
        <v>Intimissimi&gt;Mer's</v>
      </c>
    </row>
    <row r="798">
      <c r="A798" s="91">
        <v>1.0</v>
      </c>
      <c r="B798" s="91" t="s">
        <v>509</v>
      </c>
      <c r="C798" s="91"/>
      <c r="D798" s="171" t="str">
        <f t="shared" si="1"/>
        <v>Intimissimi</v>
      </c>
      <c r="F798" s="91" t="s">
        <v>1380</v>
      </c>
      <c r="G798" s="170" t="str">
        <f t="shared" si="2"/>
        <v>Intimissimi&gt;Nespresso</v>
      </c>
    </row>
    <row r="799">
      <c r="A799" s="91">
        <v>1.0</v>
      </c>
      <c r="B799" s="91" t="s">
        <v>509</v>
      </c>
      <c r="C799" s="91"/>
      <c r="D799" s="171" t="str">
        <f t="shared" si="1"/>
        <v>Intimissimi</v>
      </c>
      <c r="F799" s="91" t="s">
        <v>3849</v>
      </c>
      <c r="G799" s="170" t="str">
        <f t="shared" si="2"/>
        <v>Intimissimi&gt;Prayer Room</v>
      </c>
    </row>
    <row r="800">
      <c r="A800" s="91">
        <v>1.0</v>
      </c>
      <c r="B800" s="91" t="s">
        <v>509</v>
      </c>
      <c r="C800" s="91"/>
      <c r="D800" s="171" t="str">
        <f t="shared" si="1"/>
        <v>Intimissimi</v>
      </c>
      <c r="F800" s="91" t="s">
        <v>1076</v>
      </c>
      <c r="G800" s="170" t="str">
        <f t="shared" si="2"/>
        <v>Intimissimi&gt;SushiCo</v>
      </c>
    </row>
    <row r="801">
      <c r="A801" s="91">
        <v>1.0</v>
      </c>
      <c r="B801" s="91" t="s">
        <v>509</v>
      </c>
      <c r="C801" s="91"/>
      <c r="D801" s="171" t="str">
        <f t="shared" si="1"/>
        <v>Intimissimi</v>
      </c>
      <c r="F801" s="91" t="s">
        <v>676</v>
      </c>
      <c r="G801" s="170" t="str">
        <f t="shared" si="2"/>
        <v>Intimissimi&gt;Tommy Hilfiger</v>
      </c>
    </row>
    <row r="802">
      <c r="A802" s="91">
        <v>1.0</v>
      </c>
      <c r="B802" s="91" t="s">
        <v>509</v>
      </c>
      <c r="C802" s="91"/>
      <c r="D802" s="171" t="str">
        <f t="shared" si="1"/>
        <v>Intimissimi</v>
      </c>
      <c r="F802" s="91" t="s">
        <v>1548</v>
      </c>
      <c r="G802" s="170" t="str">
        <f t="shared" si="2"/>
        <v>Intimissimi&gt;Toyzz Shop</v>
      </c>
    </row>
    <row r="803">
      <c r="A803" s="91">
        <v>1.0</v>
      </c>
      <c r="B803" s="91" t="s">
        <v>509</v>
      </c>
      <c r="C803" s="91"/>
      <c r="D803" s="171" t="str">
        <f t="shared" si="1"/>
        <v>Intimissimi</v>
      </c>
      <c r="F803" s="91" t="s">
        <v>1542</v>
      </c>
      <c r="G803" s="170" t="str">
        <f t="shared" si="2"/>
        <v>Intimissimi&gt;Vestel</v>
      </c>
    </row>
    <row r="804">
      <c r="A804" s="91">
        <v>1.0</v>
      </c>
      <c r="B804" s="91" t="s">
        <v>509</v>
      </c>
      <c r="C804" s="91"/>
      <c r="D804" s="171" t="str">
        <f t="shared" si="1"/>
        <v>Intimissimi</v>
      </c>
      <c r="F804" s="91" t="s">
        <v>1668</v>
      </c>
      <c r="G804" s="170" t="str">
        <f t="shared" si="2"/>
        <v>Intimissimi&gt;Zula</v>
      </c>
    </row>
    <row r="805">
      <c r="A805" s="91">
        <v>1.0</v>
      </c>
      <c r="B805" s="91" t="s">
        <v>1352</v>
      </c>
      <c r="C805" s="91"/>
      <c r="D805" s="171" t="str">
        <f t="shared" si="1"/>
        <v>Isokyo</v>
      </c>
      <c r="F805" s="91" t="s">
        <v>1352</v>
      </c>
      <c r="G805" s="170" t="str">
        <f t="shared" si="2"/>
        <v>Isokyo&gt;Isokyo</v>
      </c>
    </row>
    <row r="806">
      <c r="A806" s="91">
        <v>1.0</v>
      </c>
      <c r="B806" s="91" t="s">
        <v>1673</v>
      </c>
      <c r="C806" s="91"/>
      <c r="D806" s="171" t="str">
        <f t="shared" si="1"/>
        <v>JBL</v>
      </c>
      <c r="F806" s="91" t="s">
        <v>2266</v>
      </c>
      <c r="G806" s="170" t="str">
        <f t="shared" si="2"/>
        <v>JBL&gt;Kafe Vesto</v>
      </c>
    </row>
    <row r="807">
      <c r="A807" s="91">
        <v>1.0</v>
      </c>
      <c r="B807" s="91" t="s">
        <v>1673</v>
      </c>
      <c r="C807" s="91"/>
      <c r="D807" s="171" t="str">
        <f t="shared" si="1"/>
        <v>JBL</v>
      </c>
      <c r="F807" s="91" t="s">
        <v>474</v>
      </c>
      <c r="G807" s="170" t="str">
        <f t="shared" si="2"/>
        <v>JBL&gt;Zara</v>
      </c>
    </row>
    <row r="808">
      <c r="A808" s="91">
        <v>1.0</v>
      </c>
      <c r="B808" s="91" t="s">
        <v>1673</v>
      </c>
      <c r="C808" s="91"/>
      <c r="D808" s="171" t="str">
        <f t="shared" si="1"/>
        <v>JBL</v>
      </c>
      <c r="F808" s="91" t="s">
        <v>1668</v>
      </c>
      <c r="G808" s="170" t="str">
        <f t="shared" si="2"/>
        <v>JBL&gt;Zula</v>
      </c>
    </row>
    <row r="809">
      <c r="A809" s="91">
        <v>1.0</v>
      </c>
      <c r="B809" s="91" t="s">
        <v>350</v>
      </c>
      <c r="C809" s="91"/>
      <c r="D809" s="171" t="str">
        <f t="shared" si="1"/>
        <v>Jacadi Paris</v>
      </c>
      <c r="F809" s="91" t="s">
        <v>3858</v>
      </c>
      <c r="G809" s="170" t="str">
        <f t="shared" si="2"/>
        <v>Jacadi Paris&gt;Information Desk</v>
      </c>
    </row>
    <row r="810">
      <c r="A810" s="91">
        <v>1.0</v>
      </c>
      <c r="B810" s="91" t="s">
        <v>1319</v>
      </c>
      <c r="C810" s="91"/>
      <c r="D810" s="171" t="str">
        <f t="shared" si="1"/>
        <v>Jo Malone</v>
      </c>
      <c r="F810" s="91" t="s">
        <v>1065</v>
      </c>
      <c r="G810" s="170" t="str">
        <f t="shared" si="2"/>
        <v>Jo Malone&gt;Günaydın Kasap &amp; Steakhouse</v>
      </c>
    </row>
    <row r="811">
      <c r="A811" s="91">
        <v>1.0</v>
      </c>
      <c r="B811" s="91" t="s">
        <v>2249</v>
      </c>
      <c r="C811" s="91"/>
      <c r="D811" s="171" t="str">
        <f t="shared" si="1"/>
        <v>KFC</v>
      </c>
      <c r="F811" s="91" t="s">
        <v>1278</v>
      </c>
      <c r="G811" s="170" t="str">
        <f t="shared" si="2"/>
        <v>KFC&gt;Louis Vuitton</v>
      </c>
    </row>
    <row r="812">
      <c r="A812" s="91">
        <v>1.0</v>
      </c>
      <c r="B812" s="91" t="s">
        <v>2249</v>
      </c>
      <c r="C812" s="91"/>
      <c r="D812" s="171" t="str">
        <f t="shared" si="1"/>
        <v>KFC</v>
      </c>
      <c r="F812" s="91" t="s">
        <v>3860</v>
      </c>
      <c r="G812" s="170" t="str">
        <f t="shared" si="2"/>
        <v>KFC&gt;Raffles İstanbul</v>
      </c>
    </row>
    <row r="813">
      <c r="A813" s="91">
        <v>1.0</v>
      </c>
      <c r="B813" s="91" t="s">
        <v>2249</v>
      </c>
      <c r="C813" s="91"/>
      <c r="D813" s="171" t="str">
        <f t="shared" si="1"/>
        <v>KFC</v>
      </c>
      <c r="F813" s="91" t="s">
        <v>2903</v>
      </c>
      <c r="G813" s="170" t="str">
        <f t="shared" si="2"/>
        <v>KFC&gt;Taxi</v>
      </c>
    </row>
    <row r="814">
      <c r="A814" s="91">
        <v>1.0</v>
      </c>
      <c r="B814" s="91" t="s">
        <v>2266</v>
      </c>
      <c r="C814" s="91"/>
      <c r="D814" s="171" t="str">
        <f t="shared" si="1"/>
        <v>Kafe Vesto</v>
      </c>
      <c r="F814" s="91" t="s">
        <v>2266</v>
      </c>
      <c r="G814" s="170" t="str">
        <f t="shared" si="2"/>
        <v>Kafe Vesto&gt;Kafe Vesto</v>
      </c>
    </row>
    <row r="815">
      <c r="A815" s="91">
        <v>1.0</v>
      </c>
      <c r="B815" s="91" t="s">
        <v>794</v>
      </c>
      <c r="C815" s="91"/>
      <c r="D815" s="171" t="str">
        <f t="shared" si="1"/>
        <v>Kiehl's</v>
      </c>
      <c r="F815" s="91" t="s">
        <v>658</v>
      </c>
      <c r="G815" s="170" t="str">
        <f t="shared" si="2"/>
        <v>Kiehl's&gt;Pandora</v>
      </c>
    </row>
    <row r="816">
      <c r="A816" s="91">
        <v>1.0</v>
      </c>
      <c r="B816" s="91" t="s">
        <v>3847</v>
      </c>
      <c r="C816" s="91" t="s">
        <v>2712</v>
      </c>
      <c r="D816" s="171" t="str">
        <f t="shared" si="1"/>
        <v>QR-104</v>
      </c>
      <c r="F816" s="91" t="s">
        <v>1042</v>
      </c>
      <c r="G816" s="170" t="str">
        <f t="shared" si="2"/>
        <v>QR-104&gt;Alexander McQueen</v>
      </c>
    </row>
    <row r="817">
      <c r="A817" s="91">
        <v>1.0</v>
      </c>
      <c r="B817" s="91" t="s">
        <v>3847</v>
      </c>
      <c r="C817" s="91" t="s">
        <v>2712</v>
      </c>
      <c r="D817" s="171" t="str">
        <f t="shared" si="1"/>
        <v>QR-104</v>
      </c>
      <c r="F817" s="91" t="s">
        <v>3869</v>
      </c>
      <c r="G817" s="170" t="str">
        <f t="shared" si="2"/>
        <v>QR-104&gt;Bebek Bakım Odası</v>
      </c>
    </row>
    <row r="818">
      <c r="A818" s="91">
        <v>1.0</v>
      </c>
      <c r="B818" s="91" t="s">
        <v>3847</v>
      </c>
      <c r="C818" s="91" t="s">
        <v>2712</v>
      </c>
      <c r="D818" s="171" t="str">
        <f t="shared" si="1"/>
        <v>QR-104</v>
      </c>
      <c r="F818" s="91" t="s">
        <v>752</v>
      </c>
      <c r="G818" s="170" t="str">
        <f t="shared" si="2"/>
        <v>QR-104&gt;Beymen Club</v>
      </c>
    </row>
    <row r="819">
      <c r="A819" s="91">
        <v>1.0</v>
      </c>
      <c r="B819" s="91" t="s">
        <v>3847</v>
      </c>
      <c r="C819" s="91" t="s">
        <v>2712</v>
      </c>
      <c r="D819" s="171" t="str">
        <f t="shared" si="1"/>
        <v>QR-104</v>
      </c>
      <c r="F819" s="91" t="s">
        <v>694</v>
      </c>
      <c r="G819" s="170" t="str">
        <f t="shared" si="2"/>
        <v>QR-104&gt;Brooks Brothers</v>
      </c>
    </row>
    <row r="820">
      <c r="A820" s="91">
        <v>1.0</v>
      </c>
      <c r="B820" s="91" t="s">
        <v>3847</v>
      </c>
      <c r="C820" s="91" t="s">
        <v>2712</v>
      </c>
      <c r="D820" s="171" t="str">
        <f t="shared" si="1"/>
        <v>QR-104</v>
      </c>
      <c r="F820" s="91" t="s">
        <v>569</v>
      </c>
      <c r="G820" s="170" t="str">
        <f t="shared" si="2"/>
        <v>QR-104&gt;Burger King</v>
      </c>
    </row>
    <row r="821">
      <c r="A821" s="91">
        <v>1.0</v>
      </c>
      <c r="B821" s="91" t="s">
        <v>3847</v>
      </c>
      <c r="C821" s="91" t="s">
        <v>2712</v>
      </c>
      <c r="D821" s="171" t="str">
        <f t="shared" si="1"/>
        <v>QR-104</v>
      </c>
      <c r="F821" s="91" t="s">
        <v>297</v>
      </c>
      <c r="G821" s="170" t="str">
        <f t="shared" si="2"/>
        <v>QR-104&gt;Camper</v>
      </c>
    </row>
    <row r="822">
      <c r="A822" s="91">
        <v>1.0</v>
      </c>
      <c r="B822" s="91" t="s">
        <v>3847</v>
      </c>
      <c r="C822" s="91" t="s">
        <v>2712</v>
      </c>
      <c r="D822" s="171" t="str">
        <f t="shared" si="1"/>
        <v>QR-104</v>
      </c>
      <c r="F822" s="91" t="s">
        <v>1290</v>
      </c>
      <c r="G822" s="170" t="str">
        <f t="shared" si="2"/>
        <v>QR-104&gt;Dior</v>
      </c>
    </row>
    <row r="823">
      <c r="A823" s="91">
        <v>1.0</v>
      </c>
      <c r="B823" s="91" t="s">
        <v>3847</v>
      </c>
      <c r="C823" s="91" t="s">
        <v>2712</v>
      </c>
      <c r="D823" s="171" t="str">
        <f t="shared" si="1"/>
        <v>QR-104</v>
      </c>
      <c r="F823" s="91" t="s">
        <v>418</v>
      </c>
      <c r="G823" s="170" t="str">
        <f t="shared" si="2"/>
        <v>QR-104&gt;Dyson</v>
      </c>
    </row>
    <row r="824">
      <c r="A824" s="91">
        <v>1.0</v>
      </c>
      <c r="B824" s="91" t="s">
        <v>3847</v>
      </c>
      <c r="C824" s="91" t="s">
        <v>2712</v>
      </c>
      <c r="D824" s="171" t="str">
        <f t="shared" si="1"/>
        <v>QR-104</v>
      </c>
      <c r="F824" s="91" t="s">
        <v>3031</v>
      </c>
      <c r="G824" s="170" t="str">
        <f t="shared" si="2"/>
        <v>QR-104&gt;Eczane Zorlu Center</v>
      </c>
    </row>
    <row r="825">
      <c r="A825" s="91">
        <v>1.0</v>
      </c>
      <c r="B825" s="91" t="s">
        <v>3847</v>
      </c>
      <c r="C825" s="91" t="s">
        <v>2712</v>
      </c>
      <c r="D825" s="171" t="str">
        <f t="shared" si="1"/>
        <v>QR-104</v>
      </c>
      <c r="F825" s="91" t="s">
        <v>386</v>
      </c>
      <c r="G825" s="170" t="str">
        <f t="shared" si="2"/>
        <v>QR-104&gt;Emo Optik</v>
      </c>
    </row>
    <row r="826">
      <c r="A826" s="91">
        <v>1.0</v>
      </c>
      <c r="B826" s="91" t="s">
        <v>3847</v>
      </c>
      <c r="C826" s="91" t="s">
        <v>2712</v>
      </c>
      <c r="D826" s="171" t="str">
        <f t="shared" si="1"/>
        <v>QR-104</v>
      </c>
      <c r="F826" s="91" t="s">
        <v>1308</v>
      </c>
      <c r="G826" s="170" t="str">
        <f t="shared" si="2"/>
        <v>QR-104&gt;Five O'Clock</v>
      </c>
    </row>
    <row r="827">
      <c r="A827" s="91">
        <v>1.0</v>
      </c>
      <c r="B827" s="91" t="s">
        <v>3847</v>
      </c>
      <c r="C827" s="91" t="s">
        <v>2712</v>
      </c>
      <c r="D827" s="171" t="str">
        <f t="shared" si="1"/>
        <v>QR-104</v>
      </c>
      <c r="F827" s="91" t="s">
        <v>222</v>
      </c>
      <c r="G827" s="170" t="str">
        <f t="shared" si="2"/>
        <v>QR-104&gt;Gap</v>
      </c>
    </row>
    <row r="828">
      <c r="A828" s="91">
        <v>1.0</v>
      </c>
      <c r="B828" s="91" t="s">
        <v>3847</v>
      </c>
      <c r="C828" s="91" t="s">
        <v>2712</v>
      </c>
      <c r="D828" s="171" t="str">
        <f t="shared" si="1"/>
        <v>QR-104</v>
      </c>
      <c r="F828" s="91" t="s">
        <v>3145</v>
      </c>
      <c r="G828" s="170" t="str">
        <f t="shared" si="2"/>
        <v>QR-104&gt;Giriş Levazım</v>
      </c>
    </row>
    <row r="829">
      <c r="A829" s="91">
        <v>1.0</v>
      </c>
      <c r="B829" s="91" t="s">
        <v>3847</v>
      </c>
      <c r="C829" s="91" t="s">
        <v>2712</v>
      </c>
      <c r="D829" s="171" t="str">
        <f t="shared" si="1"/>
        <v>QR-104</v>
      </c>
      <c r="F829" s="91" t="s">
        <v>3134</v>
      </c>
      <c r="G829" s="170" t="str">
        <f t="shared" si="2"/>
        <v>QR-104&gt;Giriş Zincirlikuyu</v>
      </c>
    </row>
    <row r="830">
      <c r="A830" s="91">
        <v>1.0</v>
      </c>
      <c r="B830" s="91" t="s">
        <v>3847</v>
      </c>
      <c r="C830" s="91" t="s">
        <v>2712</v>
      </c>
      <c r="D830" s="171" t="str">
        <f t="shared" si="1"/>
        <v>QR-104</v>
      </c>
      <c r="F830" s="91" t="s">
        <v>2412</v>
      </c>
      <c r="G830" s="170" t="str">
        <f t="shared" si="2"/>
        <v>QR-104&gt;Gözgrup Optik</v>
      </c>
    </row>
    <row r="831">
      <c r="A831" s="91">
        <v>1.0</v>
      </c>
      <c r="B831" s="91" t="s">
        <v>3847</v>
      </c>
      <c r="C831" s="91" t="s">
        <v>2712</v>
      </c>
      <c r="D831" s="171" t="str">
        <f t="shared" si="1"/>
        <v>QR-104</v>
      </c>
      <c r="F831" s="91" t="s">
        <v>1065</v>
      </c>
      <c r="G831" s="170" t="str">
        <f t="shared" si="2"/>
        <v>QR-104&gt;Günaydın Kasap &amp; Steakhouse</v>
      </c>
    </row>
    <row r="832">
      <c r="A832" s="91">
        <v>1.0</v>
      </c>
      <c r="B832" s="91" t="s">
        <v>3847</v>
      </c>
      <c r="C832" s="91" t="s">
        <v>2712</v>
      </c>
      <c r="D832" s="171" t="str">
        <f t="shared" si="1"/>
        <v>QR-104</v>
      </c>
      <c r="F832" s="91" t="s">
        <v>555</v>
      </c>
      <c r="G832" s="170" t="str">
        <f t="shared" si="2"/>
        <v>QR-104&gt;Günaydın Köfte &amp; Döner</v>
      </c>
    </row>
    <row r="833">
      <c r="A833" s="91">
        <v>1.0</v>
      </c>
      <c r="B833" s="91" t="s">
        <v>3847</v>
      </c>
      <c r="C833" s="91" t="s">
        <v>2712</v>
      </c>
      <c r="D833" s="171" t="str">
        <f t="shared" si="1"/>
        <v>QR-104</v>
      </c>
      <c r="F833" s="91" t="s">
        <v>509</v>
      </c>
      <c r="G833" s="170" t="str">
        <f t="shared" si="2"/>
        <v>QR-104&gt;Intimissimi</v>
      </c>
    </row>
    <row r="834">
      <c r="A834" s="91">
        <v>1.0</v>
      </c>
      <c r="B834" s="91" t="s">
        <v>3847</v>
      </c>
      <c r="C834" s="91" t="s">
        <v>2712</v>
      </c>
      <c r="D834" s="171" t="str">
        <f t="shared" si="1"/>
        <v>QR-104</v>
      </c>
      <c r="F834" s="91" t="s">
        <v>794</v>
      </c>
      <c r="G834" s="170" t="str">
        <f t="shared" si="2"/>
        <v>QR-104&gt;Kiehl's</v>
      </c>
    </row>
    <row r="835">
      <c r="A835" s="91">
        <v>1.0</v>
      </c>
      <c r="B835" s="91" t="s">
        <v>3847</v>
      </c>
      <c r="C835" s="91" t="s">
        <v>2712</v>
      </c>
      <c r="D835" s="171" t="str">
        <f t="shared" si="1"/>
        <v>QR-104</v>
      </c>
      <c r="F835" s="91" t="s">
        <v>309</v>
      </c>
      <c r="G835" s="170" t="str">
        <f t="shared" si="2"/>
        <v>QR-104&gt;MAC</v>
      </c>
    </row>
    <row r="836">
      <c r="A836" s="91">
        <v>1.0</v>
      </c>
      <c r="B836" s="91" t="s">
        <v>3847</v>
      </c>
      <c r="C836" s="91" t="s">
        <v>2712</v>
      </c>
      <c r="D836" s="171" t="str">
        <f t="shared" si="1"/>
        <v>QR-104</v>
      </c>
      <c r="F836" s="91" t="s">
        <v>2427</v>
      </c>
      <c r="G836" s="170" t="str">
        <f t="shared" si="2"/>
        <v>QR-104&gt;MAC Mars Athletic Club</v>
      </c>
    </row>
    <row r="837">
      <c r="A837" s="91">
        <v>1.0</v>
      </c>
      <c r="B837" s="91" t="s">
        <v>3847</v>
      </c>
      <c r="C837" s="91" t="s">
        <v>2712</v>
      </c>
      <c r="D837" s="171" t="str">
        <f t="shared" si="1"/>
        <v>QR-104</v>
      </c>
      <c r="F837" s="91" t="s">
        <v>2051</v>
      </c>
      <c r="G837" s="170" t="str">
        <f t="shared" si="2"/>
        <v>QR-104&gt;Mariposa</v>
      </c>
    </row>
    <row r="838">
      <c r="A838" s="91">
        <v>1.0</v>
      </c>
      <c r="B838" s="91" t="s">
        <v>3847</v>
      </c>
      <c r="C838" s="91" t="s">
        <v>2712</v>
      </c>
      <c r="D838" s="171" t="str">
        <f t="shared" si="1"/>
        <v>QR-104</v>
      </c>
      <c r="F838" s="91" t="s">
        <v>922</v>
      </c>
      <c r="G838" s="170" t="str">
        <f t="shared" si="2"/>
        <v>QR-104&gt;Masgold Kuyumculuk</v>
      </c>
    </row>
    <row r="839">
      <c r="A839" s="91">
        <v>1.0</v>
      </c>
      <c r="B839" s="91" t="s">
        <v>3847</v>
      </c>
      <c r="C839" s="91" t="s">
        <v>2712</v>
      </c>
      <c r="D839" s="171" t="str">
        <f t="shared" si="1"/>
        <v>QR-104</v>
      </c>
      <c r="F839" s="91" t="s">
        <v>630</v>
      </c>
      <c r="G839" s="170" t="str">
        <f t="shared" si="2"/>
        <v>QR-104&gt;McDonald's</v>
      </c>
    </row>
    <row r="840">
      <c r="A840" s="91">
        <v>1.0</v>
      </c>
      <c r="B840" s="91" t="s">
        <v>3847</v>
      </c>
      <c r="C840" s="91" t="s">
        <v>2712</v>
      </c>
      <c r="D840" s="171" t="str">
        <f t="shared" si="1"/>
        <v>QR-104</v>
      </c>
      <c r="F840" s="91" t="s">
        <v>1331</v>
      </c>
      <c r="G840" s="170" t="str">
        <f t="shared" si="2"/>
        <v>QR-104&gt;Miu Miu</v>
      </c>
    </row>
    <row r="841">
      <c r="A841" s="91">
        <v>1.0</v>
      </c>
      <c r="B841" s="91" t="s">
        <v>3847</v>
      </c>
      <c r="C841" s="91" t="s">
        <v>2712</v>
      </c>
      <c r="D841" s="171" t="str">
        <f t="shared" si="1"/>
        <v>QR-104</v>
      </c>
      <c r="F841" s="91" t="s">
        <v>664</v>
      </c>
      <c r="G841" s="170" t="str">
        <f t="shared" si="2"/>
        <v>QR-104&gt;Network</v>
      </c>
    </row>
    <row r="842">
      <c r="A842" s="91">
        <v>1.0</v>
      </c>
      <c r="B842" s="91" t="s">
        <v>3847</v>
      </c>
      <c r="C842" s="91" t="s">
        <v>2712</v>
      </c>
      <c r="D842" s="171" t="str">
        <f t="shared" si="1"/>
        <v>QR-104</v>
      </c>
      <c r="F842" s="91" t="s">
        <v>2917</v>
      </c>
      <c r="G842" s="170" t="str">
        <f t="shared" si="2"/>
        <v>QR-104&gt;Otopark</v>
      </c>
    </row>
    <row r="843">
      <c r="A843" s="91">
        <v>1.0</v>
      </c>
      <c r="B843" s="91" t="s">
        <v>3847</v>
      </c>
      <c r="C843" s="91" t="s">
        <v>2712</v>
      </c>
      <c r="D843" s="171" t="str">
        <f t="shared" si="1"/>
        <v>QR-104</v>
      </c>
      <c r="F843" s="91" t="s">
        <v>3071</v>
      </c>
      <c r="G843" s="170" t="str">
        <f t="shared" si="2"/>
        <v>QR-104&gt;Otopark Giriş Levazım</v>
      </c>
    </row>
    <row r="844">
      <c r="A844" s="91">
        <v>1.0</v>
      </c>
      <c r="B844" s="91" t="s">
        <v>3847</v>
      </c>
      <c r="C844" s="91" t="s">
        <v>2712</v>
      </c>
      <c r="D844" s="171" t="str">
        <f t="shared" si="1"/>
        <v>QR-104</v>
      </c>
      <c r="F844" s="91" t="s">
        <v>3486</v>
      </c>
      <c r="G844" s="170" t="str">
        <f t="shared" si="2"/>
        <v>QR-104&gt;Otopark Giriş Zincirlikuyu</v>
      </c>
    </row>
    <row r="845">
      <c r="A845" s="91">
        <v>1.0</v>
      </c>
      <c r="B845" s="91" t="s">
        <v>3847</v>
      </c>
      <c r="C845" s="91" t="s">
        <v>2712</v>
      </c>
      <c r="D845" s="171" t="str">
        <f t="shared" si="1"/>
        <v>QR-104</v>
      </c>
      <c r="F845" s="91" t="s">
        <v>1112</v>
      </c>
      <c r="G845" s="170" t="str">
        <f t="shared" si="2"/>
        <v>QR-104&gt;Prada</v>
      </c>
    </row>
    <row r="846">
      <c r="A846" s="91">
        <v>1.0</v>
      </c>
      <c r="B846" s="91" t="s">
        <v>3847</v>
      </c>
      <c r="C846" s="91" t="s">
        <v>2712</v>
      </c>
      <c r="D846" s="171" t="str">
        <f t="shared" si="1"/>
        <v>QR-104</v>
      </c>
      <c r="F846" s="91" t="s">
        <v>806</v>
      </c>
      <c r="G846" s="170" t="str">
        <f t="shared" si="2"/>
        <v>QR-104&gt;Remzi Kitabevi</v>
      </c>
    </row>
    <row r="847">
      <c r="A847" s="91">
        <v>1.0</v>
      </c>
      <c r="B847" s="91" t="s">
        <v>3847</v>
      </c>
      <c r="C847" s="91" t="s">
        <v>2712</v>
      </c>
      <c r="D847" s="171" t="str">
        <f t="shared" si="1"/>
        <v>QR-104</v>
      </c>
      <c r="F847" s="91" t="s">
        <v>1364</v>
      </c>
      <c r="G847" s="170" t="str">
        <f t="shared" si="2"/>
        <v>QR-104&gt;Sabit Akkaya Hair Stylist</v>
      </c>
    </row>
    <row r="848">
      <c r="A848" s="91">
        <v>1.0</v>
      </c>
      <c r="B848" s="91" t="s">
        <v>3847</v>
      </c>
      <c r="C848" s="91" t="s">
        <v>2712</v>
      </c>
      <c r="D848" s="171" t="str">
        <f t="shared" si="1"/>
        <v>QR-104</v>
      </c>
      <c r="F848" s="91" t="s">
        <v>533</v>
      </c>
      <c r="G848" s="170" t="str">
        <f t="shared" si="2"/>
        <v>QR-104&gt;Sevil Parfümeri</v>
      </c>
    </row>
    <row r="849">
      <c r="A849" s="91">
        <v>1.0</v>
      </c>
      <c r="B849" s="91" t="s">
        <v>3847</v>
      </c>
      <c r="C849" s="91" t="s">
        <v>2712</v>
      </c>
      <c r="D849" s="171" t="str">
        <f t="shared" si="1"/>
        <v>QR-104</v>
      </c>
      <c r="F849" s="91" t="s">
        <v>2325</v>
      </c>
      <c r="G849" s="170" t="str">
        <f t="shared" si="2"/>
        <v>QR-104&gt;Superstep</v>
      </c>
    </row>
    <row r="850">
      <c r="A850" s="91">
        <v>1.0</v>
      </c>
      <c r="B850" s="91" t="s">
        <v>3847</v>
      </c>
      <c r="C850" s="91" t="s">
        <v>2712</v>
      </c>
      <c r="D850" s="171" t="str">
        <f t="shared" si="1"/>
        <v>QR-104</v>
      </c>
      <c r="F850" s="91" t="s">
        <v>3583</v>
      </c>
      <c r="G850" s="170" t="str">
        <f t="shared" si="2"/>
        <v>QR-104&gt;Taksi</v>
      </c>
    </row>
    <row r="851">
      <c r="A851" s="91">
        <v>1.0</v>
      </c>
      <c r="B851" s="91" t="s">
        <v>3847</v>
      </c>
      <c r="C851" s="91" t="s">
        <v>2712</v>
      </c>
      <c r="D851" s="171" t="str">
        <f t="shared" si="1"/>
        <v>QR-104</v>
      </c>
      <c r="F851" s="91" t="s">
        <v>3276</v>
      </c>
      <c r="G851" s="170" t="str">
        <f t="shared" si="2"/>
        <v>QR-104&gt;Tax Free Zone (Danışma Masası)</v>
      </c>
    </row>
    <row r="852">
      <c r="A852" s="91">
        <v>1.0</v>
      </c>
      <c r="B852" s="91" t="s">
        <v>3847</v>
      </c>
      <c r="C852" s="91" t="s">
        <v>2712</v>
      </c>
      <c r="D852" s="171" t="str">
        <f t="shared" si="1"/>
        <v>QR-104</v>
      </c>
      <c r="F852" s="91" t="s">
        <v>2349</v>
      </c>
      <c r="G852" s="170" t="str">
        <f t="shared" si="2"/>
        <v>QR-104&gt;Togg Deneyim Merkezi</v>
      </c>
    </row>
    <row r="853">
      <c r="A853" s="91">
        <v>1.0</v>
      </c>
      <c r="B853" s="91" t="s">
        <v>3847</v>
      </c>
      <c r="C853" s="91" t="s">
        <v>2712</v>
      </c>
      <c r="D853" s="171" t="str">
        <f t="shared" si="1"/>
        <v>QR-104</v>
      </c>
      <c r="F853" s="91" t="s">
        <v>2321</v>
      </c>
      <c r="G853" s="170" t="str">
        <f t="shared" si="2"/>
        <v>QR-104&gt;Tommi Brasserie</v>
      </c>
    </row>
    <row r="854">
      <c r="A854" s="91">
        <v>1.0</v>
      </c>
      <c r="B854" s="91" t="s">
        <v>3847</v>
      </c>
      <c r="C854" s="91" t="s">
        <v>2712</v>
      </c>
      <c r="D854" s="171" t="str">
        <f t="shared" si="1"/>
        <v>QR-104</v>
      </c>
      <c r="F854" s="91" t="s">
        <v>199</v>
      </c>
      <c r="G854" s="170" t="str">
        <f t="shared" si="2"/>
        <v>QR-104&gt;Under Armour</v>
      </c>
    </row>
    <row r="855">
      <c r="A855" s="91">
        <v>1.0</v>
      </c>
      <c r="B855" s="91" t="s">
        <v>3847</v>
      </c>
      <c r="C855" s="91" t="s">
        <v>2712</v>
      </c>
      <c r="D855" s="171" t="str">
        <f t="shared" si="1"/>
        <v>QR-104</v>
      </c>
      <c r="F855" s="91" t="s">
        <v>993</v>
      </c>
      <c r="G855" s="170" t="str">
        <f t="shared" si="2"/>
        <v>QR-104&gt;Vakkorama</v>
      </c>
    </row>
    <row r="856">
      <c r="A856" s="91">
        <v>1.0</v>
      </c>
      <c r="B856" s="91" t="s">
        <v>3847</v>
      </c>
      <c r="C856" s="91" t="s">
        <v>2712</v>
      </c>
      <c r="D856" s="171" t="str">
        <f t="shared" si="1"/>
        <v>QR-104</v>
      </c>
      <c r="F856" s="91" t="s">
        <v>1053</v>
      </c>
      <c r="G856" s="170" t="str">
        <f t="shared" si="2"/>
        <v>QR-104&gt;Valentino</v>
      </c>
    </row>
    <row r="857">
      <c r="A857" s="91">
        <v>1.0</v>
      </c>
      <c r="B857" s="91" t="s">
        <v>3847</v>
      </c>
      <c r="C857" s="91" t="s">
        <v>2712</v>
      </c>
      <c r="D857" s="171" t="str">
        <f t="shared" si="1"/>
        <v>QR-104</v>
      </c>
      <c r="F857" s="91" t="s">
        <v>250</v>
      </c>
      <c r="G857" s="170" t="str">
        <f t="shared" si="2"/>
        <v>QR-104&gt;Victoria's Secret</v>
      </c>
    </row>
    <row r="858">
      <c r="A858" s="91">
        <v>1.0</v>
      </c>
      <c r="B858" s="91" t="s">
        <v>3847</v>
      </c>
      <c r="C858" s="91" t="s">
        <v>2712</v>
      </c>
      <c r="D858" s="171" t="str">
        <f t="shared" si="1"/>
        <v>QR-104</v>
      </c>
      <c r="F858" s="91" t="s">
        <v>585</v>
      </c>
      <c r="G858" s="170" t="str">
        <f t="shared" si="2"/>
        <v>QR-104&gt;Ziyafe Kayseri Mutfağı</v>
      </c>
    </row>
    <row r="859">
      <c r="A859" s="91">
        <v>1.0</v>
      </c>
      <c r="B859" s="91" t="s">
        <v>3847</v>
      </c>
      <c r="C859" s="91" t="s">
        <v>2724</v>
      </c>
      <c r="D859" s="171" t="str">
        <f t="shared" si="1"/>
        <v>QR-108</v>
      </c>
      <c r="F859" s="91" t="s">
        <v>569</v>
      </c>
      <c r="G859" s="170" t="str">
        <f t="shared" si="2"/>
        <v>QR-108&gt;Burger King</v>
      </c>
    </row>
    <row r="860">
      <c r="A860" s="91">
        <v>1.0</v>
      </c>
      <c r="B860" s="91" t="s">
        <v>3847</v>
      </c>
      <c r="C860" s="91" t="s">
        <v>2724</v>
      </c>
      <c r="D860" s="171" t="str">
        <f t="shared" si="1"/>
        <v>QR-108</v>
      </c>
      <c r="F860" s="91" t="s">
        <v>1579</v>
      </c>
      <c r="G860" s="170" t="str">
        <f t="shared" si="2"/>
        <v>QR-108&gt;D&amp;R</v>
      </c>
    </row>
    <row r="861">
      <c r="A861" s="91">
        <v>1.0</v>
      </c>
      <c r="B861" s="91" t="s">
        <v>3847</v>
      </c>
      <c r="C861" s="91" t="s">
        <v>2724</v>
      </c>
      <c r="D861" s="171" t="str">
        <f t="shared" si="1"/>
        <v>QR-108</v>
      </c>
      <c r="F861" s="91" t="s">
        <v>3305</v>
      </c>
      <c r="G861" s="170" t="str">
        <f t="shared" si="2"/>
        <v>QR-108&gt;Eczane</v>
      </c>
    </row>
    <row r="862">
      <c r="A862" s="91">
        <v>1.0</v>
      </c>
      <c r="B862" s="91" t="s">
        <v>3847</v>
      </c>
      <c r="C862" s="91" t="s">
        <v>2724</v>
      </c>
      <c r="D862" s="171" t="str">
        <f t="shared" si="1"/>
        <v>QR-108</v>
      </c>
      <c r="F862" s="91" t="s">
        <v>1536</v>
      </c>
      <c r="G862" s="170" t="str">
        <f t="shared" si="2"/>
        <v>QR-108&gt;Macrocenter</v>
      </c>
    </row>
    <row r="863">
      <c r="A863" s="91">
        <v>1.0</v>
      </c>
      <c r="B863" s="91" t="s">
        <v>3847</v>
      </c>
      <c r="C863" s="91" t="s">
        <v>2724</v>
      </c>
      <c r="D863" s="171" t="str">
        <f t="shared" si="1"/>
        <v>QR-108</v>
      </c>
      <c r="F863" s="91" t="s">
        <v>94</v>
      </c>
      <c r="G863" s="170" t="str">
        <f t="shared" si="2"/>
        <v>QR-108&gt;MediaMarkt</v>
      </c>
    </row>
    <row r="864">
      <c r="A864" s="91">
        <v>1.0</v>
      </c>
      <c r="B864" s="91" t="s">
        <v>3847</v>
      </c>
      <c r="C864" s="91" t="s">
        <v>2724</v>
      </c>
      <c r="D864" s="171" t="str">
        <f t="shared" si="1"/>
        <v>QR-108</v>
      </c>
      <c r="F864" s="91" t="s">
        <v>746</v>
      </c>
      <c r="G864" s="170" t="str">
        <f t="shared" si="2"/>
        <v>QR-108&gt;Mocassini</v>
      </c>
    </row>
    <row r="865">
      <c r="A865" s="91">
        <v>1.0</v>
      </c>
      <c r="B865" s="91" t="s">
        <v>3847</v>
      </c>
      <c r="C865" s="91" t="s">
        <v>2724</v>
      </c>
      <c r="D865" s="171" t="str">
        <f t="shared" si="1"/>
        <v>QR-108</v>
      </c>
      <c r="F865" s="91" t="s">
        <v>2917</v>
      </c>
      <c r="G865" s="170" t="str">
        <f t="shared" si="2"/>
        <v>QR-108&gt;Otopark</v>
      </c>
    </row>
    <row r="866">
      <c r="A866" s="91">
        <v>1.0</v>
      </c>
      <c r="B866" s="91" t="s">
        <v>3847</v>
      </c>
      <c r="C866" s="91" t="s">
        <v>2724</v>
      </c>
      <c r="D866" s="171" t="str">
        <f t="shared" si="1"/>
        <v>QR-108</v>
      </c>
      <c r="F866" s="91" t="s">
        <v>173</v>
      </c>
      <c r="G866" s="170" t="str">
        <f t="shared" si="2"/>
        <v>QR-108&gt;Skechers</v>
      </c>
    </row>
    <row r="867">
      <c r="A867" s="91">
        <v>1.0</v>
      </c>
      <c r="B867" s="91" t="s">
        <v>3847</v>
      </c>
      <c r="C867" s="91" t="s">
        <v>2724</v>
      </c>
      <c r="D867" s="171" t="str">
        <f t="shared" si="1"/>
        <v>QR-108</v>
      </c>
      <c r="F867" s="91" t="s">
        <v>2989</v>
      </c>
      <c r="G867" s="170" t="str">
        <f t="shared" si="2"/>
        <v>QR-108&gt;Zorlu PSM Boğaz Katı</v>
      </c>
    </row>
    <row r="868">
      <c r="A868" s="91">
        <v>1.0</v>
      </c>
      <c r="B868" s="91" t="s">
        <v>3847</v>
      </c>
      <c r="C868" s="91" t="s">
        <v>2727</v>
      </c>
      <c r="D868" s="171" t="str">
        <f t="shared" si="1"/>
        <v>QR-109</v>
      </c>
      <c r="F868" s="91" t="s">
        <v>1059</v>
      </c>
      <c r="G868" s="170" t="str">
        <f t="shared" si="2"/>
        <v>QR-109&gt;BigChefs</v>
      </c>
    </row>
    <row r="869">
      <c r="A869" s="91">
        <v>1.0</v>
      </c>
      <c r="B869" s="91" t="s">
        <v>3847</v>
      </c>
      <c r="C869" s="91" t="s">
        <v>2727</v>
      </c>
      <c r="D869" s="171" t="str">
        <f t="shared" si="1"/>
        <v>QR-109</v>
      </c>
      <c r="F869" s="91" t="s">
        <v>777</v>
      </c>
      <c r="G869" s="170" t="str">
        <f t="shared" si="2"/>
        <v>QR-109&gt;COS</v>
      </c>
    </row>
    <row r="870">
      <c r="A870" s="91">
        <v>1.0</v>
      </c>
      <c r="B870" s="91" t="s">
        <v>3847</v>
      </c>
      <c r="C870" s="91" t="s">
        <v>2727</v>
      </c>
      <c r="D870" s="171" t="str">
        <f t="shared" si="1"/>
        <v>QR-109</v>
      </c>
      <c r="F870" s="91" t="s">
        <v>699</v>
      </c>
      <c r="G870" s="170" t="str">
        <f t="shared" si="2"/>
        <v>QR-109&gt;Cup of Joy</v>
      </c>
    </row>
    <row r="871">
      <c r="A871" s="91">
        <v>1.0</v>
      </c>
      <c r="B871" s="91" t="s">
        <v>3847</v>
      </c>
      <c r="C871" s="91" t="s">
        <v>2727</v>
      </c>
      <c r="D871" s="171" t="str">
        <f t="shared" si="1"/>
        <v>QR-109</v>
      </c>
      <c r="F871" s="91" t="s">
        <v>1579</v>
      </c>
      <c r="G871" s="170" t="str">
        <f t="shared" si="2"/>
        <v>QR-109&gt;D&amp;R</v>
      </c>
    </row>
    <row r="872">
      <c r="A872" s="91">
        <v>1.0</v>
      </c>
      <c r="B872" s="91" t="s">
        <v>3847</v>
      </c>
      <c r="C872" s="91" t="s">
        <v>2727</v>
      </c>
      <c r="D872" s="171" t="str">
        <f t="shared" si="1"/>
        <v>QR-109</v>
      </c>
      <c r="F872" s="91" t="s">
        <v>1626</v>
      </c>
      <c r="G872" s="170" t="str">
        <f t="shared" si="2"/>
        <v>QR-109&gt;Funloft</v>
      </c>
    </row>
    <row r="873">
      <c r="A873" s="91">
        <v>1.0</v>
      </c>
      <c r="B873" s="91" t="s">
        <v>3847</v>
      </c>
      <c r="C873" s="91" t="s">
        <v>2727</v>
      </c>
      <c r="D873" s="171" t="str">
        <f t="shared" si="1"/>
        <v>QR-109</v>
      </c>
      <c r="F873" s="91" t="s">
        <v>2870</v>
      </c>
      <c r="G873" s="170" t="str">
        <f t="shared" si="2"/>
        <v>QR-109&gt;Mescit</v>
      </c>
    </row>
    <row r="874">
      <c r="A874" s="91">
        <v>1.0</v>
      </c>
      <c r="B874" s="91" t="s">
        <v>3847</v>
      </c>
      <c r="C874" s="91" t="s">
        <v>2727</v>
      </c>
      <c r="D874" s="171" t="str">
        <f t="shared" si="1"/>
        <v>QR-109</v>
      </c>
      <c r="F874" s="91" t="s">
        <v>3071</v>
      </c>
      <c r="G874" s="170" t="str">
        <f t="shared" si="2"/>
        <v>QR-109&gt;Otopark Giriş Levazım</v>
      </c>
    </row>
    <row r="875">
      <c r="A875" s="91">
        <v>1.0</v>
      </c>
      <c r="B875" s="91" t="s">
        <v>3847</v>
      </c>
      <c r="C875" s="91" t="s">
        <v>2727</v>
      </c>
      <c r="D875" s="171" t="str">
        <f t="shared" si="1"/>
        <v>QR-109</v>
      </c>
      <c r="F875" s="91" t="s">
        <v>2271</v>
      </c>
      <c r="G875" s="170" t="str">
        <f t="shared" si="2"/>
        <v>QR-109&gt;Otopark Ödeme</v>
      </c>
    </row>
    <row r="876">
      <c r="A876" s="91">
        <v>1.0</v>
      </c>
      <c r="B876" s="91" t="s">
        <v>3847</v>
      </c>
      <c r="C876" s="91" t="s">
        <v>2727</v>
      </c>
      <c r="D876" s="171" t="str">
        <f t="shared" si="1"/>
        <v>QR-109</v>
      </c>
      <c r="F876" s="91" t="s">
        <v>1400</v>
      </c>
      <c r="G876" s="170" t="str">
        <f t="shared" si="2"/>
        <v>QR-109&gt;Park Alanı</v>
      </c>
    </row>
    <row r="877">
      <c r="A877" s="91">
        <v>1.0</v>
      </c>
      <c r="B877" s="91" t="s">
        <v>3847</v>
      </c>
      <c r="C877" s="91" t="s">
        <v>2727</v>
      </c>
      <c r="D877" s="171" t="str">
        <f t="shared" si="1"/>
        <v>QR-109</v>
      </c>
      <c r="F877" s="91" t="s">
        <v>1082</v>
      </c>
      <c r="G877" s="170" t="str">
        <f t="shared" si="2"/>
        <v>QR-109&gt;Saray Muhallebicisi</v>
      </c>
    </row>
    <row r="878">
      <c r="A878" s="91">
        <v>1.0</v>
      </c>
      <c r="B878" s="91" t="s">
        <v>3847</v>
      </c>
      <c r="C878" s="91" t="s">
        <v>2727</v>
      </c>
      <c r="D878" s="171" t="str">
        <f t="shared" si="1"/>
        <v>QR-109</v>
      </c>
      <c r="F878" s="91" t="s">
        <v>3857</v>
      </c>
      <c r="G878" s="170" t="str">
        <f t="shared" si="2"/>
        <v>QR-109&gt;Sinema</v>
      </c>
    </row>
    <row r="879">
      <c r="A879" s="91">
        <v>1.0</v>
      </c>
      <c r="B879" s="91" t="s">
        <v>3847</v>
      </c>
      <c r="C879" s="91" t="s">
        <v>2727</v>
      </c>
      <c r="D879" s="171" t="str">
        <f t="shared" si="1"/>
        <v>QR-109</v>
      </c>
      <c r="F879" s="91" t="s">
        <v>173</v>
      </c>
      <c r="G879" s="170" t="str">
        <f t="shared" si="2"/>
        <v>QR-109&gt;Skechers</v>
      </c>
    </row>
    <row r="880">
      <c r="A880" s="91">
        <v>1.0</v>
      </c>
      <c r="B880" s="91" t="s">
        <v>3847</v>
      </c>
      <c r="C880" s="91" t="s">
        <v>2727</v>
      </c>
      <c r="D880" s="171" t="str">
        <f t="shared" si="1"/>
        <v>QR-109</v>
      </c>
      <c r="F880" s="91" t="s">
        <v>181</v>
      </c>
      <c r="G880" s="170" t="str">
        <f t="shared" si="2"/>
        <v>QR-109&gt;Starbucks</v>
      </c>
    </row>
    <row r="881">
      <c r="A881" s="91">
        <v>1.0</v>
      </c>
      <c r="B881" s="91" t="s">
        <v>3847</v>
      </c>
      <c r="C881" s="91" t="s">
        <v>2727</v>
      </c>
      <c r="D881" s="171" t="str">
        <f t="shared" si="1"/>
        <v>QR-109</v>
      </c>
      <c r="F881" s="91" t="s">
        <v>2858</v>
      </c>
      <c r="G881" s="170" t="str">
        <f t="shared" si="2"/>
        <v>QR-109&gt;Türkiye İş Bankası (ATM)</v>
      </c>
    </row>
    <row r="882">
      <c r="A882" s="91">
        <v>1.0</v>
      </c>
      <c r="B882" s="91" t="s">
        <v>3847</v>
      </c>
      <c r="C882" s="91" t="s">
        <v>2727</v>
      </c>
      <c r="D882" s="171" t="str">
        <f t="shared" si="1"/>
        <v>QR-109</v>
      </c>
      <c r="F882" s="91" t="s">
        <v>245</v>
      </c>
      <c r="G882" s="170" t="str">
        <f t="shared" si="2"/>
        <v>QR-109&gt;Victoria's Secret Pink</v>
      </c>
    </row>
    <row r="883">
      <c r="A883" s="91">
        <v>1.0</v>
      </c>
      <c r="B883" s="91" t="s">
        <v>3847</v>
      </c>
      <c r="C883" s="91" t="s">
        <v>2727</v>
      </c>
      <c r="D883" s="171" t="str">
        <f t="shared" si="1"/>
        <v>QR-109</v>
      </c>
      <c r="F883" s="91" t="s">
        <v>3122</v>
      </c>
      <c r="G883" s="170" t="str">
        <f t="shared" si="2"/>
        <v>QR-109&gt;Zorlu PSM Meydan Katı</v>
      </c>
    </row>
    <row r="884">
      <c r="A884" s="91">
        <v>1.0</v>
      </c>
      <c r="B884" s="91" t="s">
        <v>3847</v>
      </c>
      <c r="C884" s="91" t="s">
        <v>2736</v>
      </c>
      <c r="D884" s="171" t="str">
        <f t="shared" si="1"/>
        <v>QR-112</v>
      </c>
      <c r="F884" s="91" t="s">
        <v>430</v>
      </c>
      <c r="G884" s="170" t="str">
        <f t="shared" si="2"/>
        <v>QR-112&gt;Ametist</v>
      </c>
    </row>
    <row r="885">
      <c r="A885" s="91">
        <v>1.0</v>
      </c>
      <c r="B885" s="91" t="s">
        <v>3847</v>
      </c>
      <c r="C885" s="91" t="s">
        <v>2736</v>
      </c>
      <c r="D885" s="171" t="str">
        <f t="shared" si="1"/>
        <v>QR-112</v>
      </c>
      <c r="F885" s="91" t="s">
        <v>682</v>
      </c>
      <c r="G885" s="170" t="str">
        <f t="shared" si="2"/>
        <v>QR-112&gt;Beymen</v>
      </c>
    </row>
    <row r="886">
      <c r="A886" s="91">
        <v>1.0</v>
      </c>
      <c r="B886" s="91" t="s">
        <v>3847</v>
      </c>
      <c r="C886" s="91" t="s">
        <v>2736</v>
      </c>
      <c r="D886" s="171" t="str">
        <f t="shared" si="1"/>
        <v>QR-112</v>
      </c>
      <c r="F886" s="91" t="s">
        <v>543</v>
      </c>
      <c r="G886" s="170" t="str">
        <f t="shared" si="2"/>
        <v>QR-112&gt;Divarese</v>
      </c>
    </row>
    <row r="887">
      <c r="A887" s="91">
        <v>1.0</v>
      </c>
      <c r="B887" s="91" t="s">
        <v>3847</v>
      </c>
      <c r="C887" s="91" t="s">
        <v>2736</v>
      </c>
      <c r="D887" s="171" t="str">
        <f t="shared" si="1"/>
        <v>QR-112</v>
      </c>
      <c r="F887" s="91" t="s">
        <v>1065</v>
      </c>
      <c r="G887" s="170" t="str">
        <f t="shared" si="2"/>
        <v>QR-112&gt;Günaydın Kasap &amp; Steakhouse</v>
      </c>
    </row>
    <row r="888">
      <c r="A888" s="91">
        <v>1.0</v>
      </c>
      <c r="B888" s="91" t="s">
        <v>3847</v>
      </c>
      <c r="C888" s="91" t="s">
        <v>2736</v>
      </c>
      <c r="D888" s="171" t="str">
        <f t="shared" si="1"/>
        <v>QR-112</v>
      </c>
      <c r="F888" s="91" t="s">
        <v>1031</v>
      </c>
      <c r="G888" s="170" t="str">
        <f t="shared" si="2"/>
        <v>QR-112&gt;Happy Moon's</v>
      </c>
    </row>
    <row r="889">
      <c r="A889" s="91">
        <v>1.0</v>
      </c>
      <c r="B889" s="91" t="s">
        <v>3847</v>
      </c>
      <c r="C889" s="91" t="s">
        <v>2736</v>
      </c>
      <c r="D889" s="171" t="str">
        <f t="shared" si="1"/>
        <v>QR-112</v>
      </c>
      <c r="F889" s="91" t="s">
        <v>1657</v>
      </c>
      <c r="G889" s="170" t="str">
        <f t="shared" si="2"/>
        <v>QR-112&gt;Kısmet by Milka</v>
      </c>
    </row>
    <row r="890">
      <c r="A890" s="91">
        <v>1.0</v>
      </c>
      <c r="B890" s="91" t="s">
        <v>3847</v>
      </c>
      <c r="C890" s="91" t="s">
        <v>2736</v>
      </c>
      <c r="D890" s="171" t="str">
        <f t="shared" si="1"/>
        <v>QR-112</v>
      </c>
      <c r="F890" s="91" t="s">
        <v>368</v>
      </c>
      <c r="G890" s="170" t="str">
        <f t="shared" si="2"/>
        <v>QR-112&gt;Levi's</v>
      </c>
    </row>
    <row r="891">
      <c r="A891" s="91">
        <v>1.0</v>
      </c>
      <c r="B891" s="91" t="s">
        <v>3847</v>
      </c>
      <c r="C891" s="91" t="s">
        <v>2736</v>
      </c>
      <c r="D891" s="171" t="str">
        <f t="shared" si="1"/>
        <v>QR-112</v>
      </c>
      <c r="F891" s="91" t="s">
        <v>315</v>
      </c>
      <c r="G891" s="170" t="str">
        <f t="shared" si="2"/>
        <v>QR-112&gt;Mango</v>
      </c>
    </row>
    <row r="892">
      <c r="A892" s="91">
        <v>1.0</v>
      </c>
      <c r="B892" s="91" t="s">
        <v>3847</v>
      </c>
      <c r="C892" s="91" t="s">
        <v>2736</v>
      </c>
      <c r="D892" s="171" t="str">
        <f t="shared" si="1"/>
        <v>QR-112</v>
      </c>
      <c r="F892" s="91" t="s">
        <v>2870</v>
      </c>
      <c r="G892" s="170" t="str">
        <f t="shared" si="2"/>
        <v>QR-112&gt;Mescit</v>
      </c>
    </row>
    <row r="893">
      <c r="A893" s="91">
        <v>1.0</v>
      </c>
      <c r="B893" s="91" t="s">
        <v>3847</v>
      </c>
      <c r="C893" s="91" t="s">
        <v>2736</v>
      </c>
      <c r="D893" s="171" t="str">
        <f t="shared" si="1"/>
        <v>QR-112</v>
      </c>
      <c r="F893" s="91" t="s">
        <v>658</v>
      </c>
      <c r="G893" s="170" t="str">
        <f t="shared" si="2"/>
        <v>QR-112&gt;Pandora</v>
      </c>
    </row>
    <row r="894">
      <c r="A894" s="91">
        <v>1.0</v>
      </c>
      <c r="B894" s="91" t="s">
        <v>3847</v>
      </c>
      <c r="C894" s="91" t="s">
        <v>2736</v>
      </c>
      <c r="D894" s="171" t="str">
        <f t="shared" si="1"/>
        <v>QR-112</v>
      </c>
      <c r="F894" s="91" t="s">
        <v>1400</v>
      </c>
      <c r="G894" s="170" t="str">
        <f t="shared" si="2"/>
        <v>QR-112&gt;Park Alanı</v>
      </c>
    </row>
    <row r="895">
      <c r="A895" s="91">
        <v>1.0</v>
      </c>
      <c r="B895" s="91" t="s">
        <v>3847</v>
      </c>
      <c r="C895" s="91" t="s">
        <v>2736</v>
      </c>
      <c r="D895" s="171" t="str">
        <f t="shared" si="1"/>
        <v>QR-112</v>
      </c>
      <c r="F895" s="91" t="s">
        <v>173</v>
      </c>
      <c r="G895" s="170" t="str">
        <f t="shared" si="2"/>
        <v>QR-112&gt;Skechers</v>
      </c>
    </row>
    <row r="896">
      <c r="A896" s="91">
        <v>1.0</v>
      </c>
      <c r="B896" s="91" t="s">
        <v>3847</v>
      </c>
      <c r="C896" s="91" t="s">
        <v>2736</v>
      </c>
      <c r="D896" s="171" t="str">
        <f t="shared" si="1"/>
        <v>QR-112</v>
      </c>
      <c r="F896" s="91" t="s">
        <v>1165</v>
      </c>
      <c r="G896" s="170" t="str">
        <f t="shared" si="2"/>
        <v>QR-112&gt;Tiffany &amp; Co.</v>
      </c>
    </row>
    <row r="897">
      <c r="A897" s="91">
        <v>1.0</v>
      </c>
      <c r="B897" s="91" t="s">
        <v>3847</v>
      </c>
      <c r="C897" s="91" t="s">
        <v>2736</v>
      </c>
      <c r="D897" s="171" t="str">
        <f t="shared" si="1"/>
        <v>QR-112</v>
      </c>
      <c r="F897" s="91" t="s">
        <v>2349</v>
      </c>
      <c r="G897" s="170" t="str">
        <f t="shared" si="2"/>
        <v>QR-112&gt;Togg Deneyim Merkezi</v>
      </c>
    </row>
    <row r="898">
      <c r="A898" s="91">
        <v>1.0</v>
      </c>
      <c r="B898" s="91" t="s">
        <v>3847</v>
      </c>
      <c r="C898" s="91" t="s">
        <v>2736</v>
      </c>
      <c r="D898" s="171" t="str">
        <f t="shared" si="1"/>
        <v>QR-112</v>
      </c>
      <c r="F898" s="91" t="s">
        <v>410</v>
      </c>
      <c r="G898" s="170" t="str">
        <f t="shared" si="2"/>
        <v>QR-112&gt;Touche</v>
      </c>
    </row>
    <row r="899">
      <c r="A899" s="91">
        <v>1.0</v>
      </c>
      <c r="B899" s="91" t="s">
        <v>3847</v>
      </c>
      <c r="C899" s="91" t="s">
        <v>2736</v>
      </c>
      <c r="D899" s="171" t="str">
        <f t="shared" si="1"/>
        <v>QR-112</v>
      </c>
      <c r="F899" s="91" t="s">
        <v>1548</v>
      </c>
      <c r="G899" s="170" t="str">
        <f t="shared" si="2"/>
        <v>QR-112&gt;Toyzz Shop</v>
      </c>
    </row>
    <row r="900">
      <c r="A900" s="91">
        <v>1.0</v>
      </c>
      <c r="B900" s="91" t="s">
        <v>3847</v>
      </c>
      <c r="C900" s="91" t="s">
        <v>2736</v>
      </c>
      <c r="D900" s="171" t="str">
        <f t="shared" si="1"/>
        <v>QR-112</v>
      </c>
      <c r="F900" s="91" t="s">
        <v>1020</v>
      </c>
      <c r="G900" s="170" t="str">
        <f t="shared" si="2"/>
        <v>QR-112&gt;Vakko</v>
      </c>
    </row>
    <row r="901">
      <c r="A901" s="91">
        <v>1.0</v>
      </c>
      <c r="B901" s="91" t="s">
        <v>3847</v>
      </c>
      <c r="C901" s="91" t="s">
        <v>2736</v>
      </c>
      <c r="D901" s="171" t="str">
        <f t="shared" si="1"/>
        <v>QR-112</v>
      </c>
      <c r="F901" s="91" t="s">
        <v>1692</v>
      </c>
      <c r="G901" s="170" t="str">
        <f t="shared" si="2"/>
        <v>QR-112&gt;Voi Coffee Company</v>
      </c>
    </row>
    <row r="902">
      <c r="A902" s="91">
        <v>1.0</v>
      </c>
      <c r="B902" s="91" t="s">
        <v>3847</v>
      </c>
      <c r="C902" s="91" t="s">
        <v>2745</v>
      </c>
      <c r="D902" s="171" t="str">
        <f t="shared" si="1"/>
        <v>QR-203</v>
      </c>
      <c r="F902" s="91" t="s">
        <v>579</v>
      </c>
      <c r="G902" s="170" t="str">
        <f t="shared" si="2"/>
        <v>QR-203&gt;Arby's</v>
      </c>
    </row>
    <row r="903">
      <c r="A903" s="91">
        <v>1.0</v>
      </c>
      <c r="B903" s="91" t="s">
        <v>3847</v>
      </c>
      <c r="C903" s="91" t="s">
        <v>2745</v>
      </c>
      <c r="D903" s="171" t="str">
        <f t="shared" si="1"/>
        <v>QR-203</v>
      </c>
      <c r="F903" s="91" t="s">
        <v>211</v>
      </c>
      <c r="G903" s="170" t="str">
        <f t="shared" si="2"/>
        <v>QR-203&gt;Asics</v>
      </c>
    </row>
    <row r="904">
      <c r="A904" s="91">
        <v>1.0</v>
      </c>
      <c r="B904" s="91" t="s">
        <v>3847</v>
      </c>
      <c r="C904" s="91" t="s">
        <v>2745</v>
      </c>
      <c r="D904" s="171" t="str">
        <f t="shared" si="1"/>
        <v>QR-203</v>
      </c>
      <c r="F904" s="91" t="s">
        <v>618</v>
      </c>
      <c r="G904" s="170" t="str">
        <f t="shared" si="2"/>
        <v>QR-203&gt;Carl's Jr.</v>
      </c>
    </row>
    <row r="905">
      <c r="A905" s="91">
        <v>1.0</v>
      </c>
      <c r="B905" s="91" t="s">
        <v>3847</v>
      </c>
      <c r="C905" s="91" t="s">
        <v>2745</v>
      </c>
      <c r="D905" s="171" t="str">
        <f t="shared" si="1"/>
        <v>QR-203</v>
      </c>
      <c r="F905" s="91" t="s">
        <v>3870</v>
      </c>
      <c r="G905" s="170" t="str">
        <f t="shared" si="2"/>
        <v>QR-203&gt;D</v>
      </c>
    </row>
    <row r="906">
      <c r="A906" s="91">
        <v>1.0</v>
      </c>
      <c r="B906" s="91" t="s">
        <v>3847</v>
      </c>
      <c r="C906" s="91" t="s">
        <v>2745</v>
      </c>
      <c r="D906" s="171" t="str">
        <f t="shared" si="1"/>
        <v>QR-203</v>
      </c>
      <c r="F906" s="91" t="s">
        <v>543</v>
      </c>
      <c r="G906" s="170" t="str">
        <f t="shared" si="2"/>
        <v>QR-203&gt;Divarese</v>
      </c>
    </row>
    <row r="907">
      <c r="A907" s="91">
        <v>1.0</v>
      </c>
      <c r="B907" s="91" t="s">
        <v>3847</v>
      </c>
      <c r="C907" s="91" t="s">
        <v>2745</v>
      </c>
      <c r="D907" s="171" t="str">
        <f t="shared" si="1"/>
        <v>QR-203</v>
      </c>
      <c r="F907" s="91" t="s">
        <v>1376</v>
      </c>
      <c r="G907" s="170" t="str">
        <f t="shared" si="2"/>
        <v>QR-203&gt;Easy Point</v>
      </c>
    </row>
    <row r="908">
      <c r="A908" s="91">
        <v>1.0</v>
      </c>
      <c r="B908" s="91" t="s">
        <v>3847</v>
      </c>
      <c r="C908" s="91" t="s">
        <v>2745</v>
      </c>
      <c r="D908" s="171" t="str">
        <f t="shared" si="1"/>
        <v>QR-203</v>
      </c>
      <c r="F908" s="91" t="s">
        <v>3031</v>
      </c>
      <c r="G908" s="170" t="str">
        <f t="shared" si="2"/>
        <v>QR-203&gt;Eczane Zorlu Center</v>
      </c>
    </row>
    <row r="909">
      <c r="A909" s="91">
        <v>1.0</v>
      </c>
      <c r="B909" s="91" t="s">
        <v>3847</v>
      </c>
      <c r="C909" s="91" t="s">
        <v>2745</v>
      </c>
      <c r="D909" s="171" t="str">
        <f t="shared" si="1"/>
        <v>QR-203</v>
      </c>
      <c r="F909" s="91" t="s">
        <v>222</v>
      </c>
      <c r="G909" s="170" t="str">
        <f t="shared" si="2"/>
        <v>QR-203&gt;Gap</v>
      </c>
    </row>
    <row r="910">
      <c r="A910" s="91">
        <v>1.0</v>
      </c>
      <c r="B910" s="91" t="s">
        <v>3847</v>
      </c>
      <c r="C910" s="91" t="s">
        <v>2745</v>
      </c>
      <c r="D910" s="171" t="str">
        <f t="shared" si="1"/>
        <v>QR-203</v>
      </c>
      <c r="F910" s="91" t="s">
        <v>3145</v>
      </c>
      <c r="G910" s="170" t="str">
        <f t="shared" si="2"/>
        <v>QR-203&gt;Giriş Levazım</v>
      </c>
    </row>
    <row r="911">
      <c r="A911" s="91">
        <v>1.0</v>
      </c>
      <c r="B911" s="91" t="s">
        <v>3847</v>
      </c>
      <c r="C911" s="91" t="s">
        <v>2745</v>
      </c>
      <c r="D911" s="171" t="str">
        <f t="shared" si="1"/>
        <v>QR-203</v>
      </c>
      <c r="F911" s="91" t="s">
        <v>1337</v>
      </c>
      <c r="G911" s="170" t="str">
        <f t="shared" si="2"/>
        <v>QR-203&gt;Godiva</v>
      </c>
    </row>
    <row r="912">
      <c r="A912" s="91">
        <v>1.0</v>
      </c>
      <c r="B912" s="91" t="s">
        <v>3847</v>
      </c>
      <c r="C912" s="91" t="s">
        <v>2745</v>
      </c>
      <c r="D912" s="171" t="str">
        <f t="shared" si="1"/>
        <v>QR-203</v>
      </c>
      <c r="F912" s="91" t="s">
        <v>2412</v>
      </c>
      <c r="G912" s="170" t="str">
        <f t="shared" si="2"/>
        <v>QR-203&gt;Gözgrup Optik</v>
      </c>
    </row>
    <row r="913">
      <c r="A913" s="91">
        <v>1.0</v>
      </c>
      <c r="B913" s="91" t="s">
        <v>3847</v>
      </c>
      <c r="C913" s="91" t="s">
        <v>2745</v>
      </c>
      <c r="D913" s="171" t="str">
        <f t="shared" si="1"/>
        <v>QR-203</v>
      </c>
      <c r="F913" s="91" t="s">
        <v>818</v>
      </c>
      <c r="G913" s="170" t="str">
        <f t="shared" si="2"/>
        <v>QR-203&gt;Intimissimi Uomo</v>
      </c>
    </row>
    <row r="914">
      <c r="A914" s="91">
        <v>1.0</v>
      </c>
      <c r="B914" s="91" t="s">
        <v>3847</v>
      </c>
      <c r="C914" s="91" t="s">
        <v>2745</v>
      </c>
      <c r="D914" s="171" t="str">
        <f t="shared" si="1"/>
        <v>QR-203</v>
      </c>
      <c r="F914" s="91" t="s">
        <v>2266</v>
      </c>
      <c r="G914" s="170" t="str">
        <f t="shared" si="2"/>
        <v>QR-203&gt;Kafe Vesto</v>
      </c>
    </row>
    <row r="915">
      <c r="A915" s="91">
        <v>1.0</v>
      </c>
      <c r="B915" s="91" t="s">
        <v>3847</v>
      </c>
      <c r="C915" s="91" t="s">
        <v>2745</v>
      </c>
      <c r="D915" s="171" t="str">
        <f t="shared" si="1"/>
        <v>QR-203</v>
      </c>
      <c r="F915" s="91" t="s">
        <v>46</v>
      </c>
      <c r="G915" s="170" t="str">
        <f t="shared" si="2"/>
        <v>QR-203&gt;Levent Lostra</v>
      </c>
    </row>
    <row r="916">
      <c r="A916" s="91">
        <v>1.0</v>
      </c>
      <c r="B916" s="91" t="s">
        <v>3847</v>
      </c>
      <c r="C916" s="91" t="s">
        <v>2745</v>
      </c>
      <c r="D916" s="171" t="str">
        <f t="shared" si="1"/>
        <v>QR-203</v>
      </c>
      <c r="F916" s="91" t="s">
        <v>1530</v>
      </c>
      <c r="G916" s="170" t="str">
        <f t="shared" si="2"/>
        <v>QR-203&gt;Linens</v>
      </c>
    </row>
    <row r="917">
      <c r="A917" s="91">
        <v>1.0</v>
      </c>
      <c r="B917" s="91" t="s">
        <v>3847</v>
      </c>
      <c r="C917" s="91" t="s">
        <v>2745</v>
      </c>
      <c r="D917" s="171" t="str">
        <f t="shared" si="1"/>
        <v>QR-203</v>
      </c>
      <c r="F917" s="91" t="s">
        <v>1696</v>
      </c>
      <c r="G917" s="170" t="str">
        <f t="shared" si="2"/>
        <v>QR-203&gt;MOC</v>
      </c>
    </row>
    <row r="918">
      <c r="A918" s="91">
        <v>1.0</v>
      </c>
      <c r="B918" s="91" t="s">
        <v>3847</v>
      </c>
      <c r="C918" s="91" t="s">
        <v>2745</v>
      </c>
      <c r="D918" s="171" t="str">
        <f t="shared" si="1"/>
        <v>QR-203</v>
      </c>
      <c r="F918" s="91" t="s">
        <v>326</v>
      </c>
      <c r="G918" s="170" t="str">
        <f t="shared" si="2"/>
        <v>QR-203&gt;Massimo Dutti</v>
      </c>
    </row>
    <row r="919">
      <c r="A919" s="91">
        <v>1.0</v>
      </c>
      <c r="B919" s="91" t="s">
        <v>3847</v>
      </c>
      <c r="C919" s="91" t="s">
        <v>2745</v>
      </c>
      <c r="D919" s="171" t="str">
        <f t="shared" si="1"/>
        <v>QR-203</v>
      </c>
      <c r="F919" s="91" t="s">
        <v>1228</v>
      </c>
      <c r="G919" s="170" t="str">
        <f t="shared" si="2"/>
        <v>QR-203&gt;Mer's</v>
      </c>
    </row>
    <row r="920">
      <c r="A920" s="91">
        <v>1.0</v>
      </c>
      <c r="B920" s="91" t="s">
        <v>3847</v>
      </c>
      <c r="C920" s="91" t="s">
        <v>2745</v>
      </c>
      <c r="D920" s="171" t="str">
        <f t="shared" si="1"/>
        <v>QR-203</v>
      </c>
      <c r="F920" s="91" t="s">
        <v>664</v>
      </c>
      <c r="G920" s="170" t="str">
        <f t="shared" si="2"/>
        <v>QR-203&gt;Network</v>
      </c>
    </row>
    <row r="921">
      <c r="A921" s="91">
        <v>1.0</v>
      </c>
      <c r="B921" s="91" t="s">
        <v>3847</v>
      </c>
      <c r="C921" s="91" t="s">
        <v>2745</v>
      </c>
      <c r="D921" s="171" t="str">
        <f t="shared" si="1"/>
        <v>QR-203</v>
      </c>
      <c r="F921" s="91" t="s">
        <v>240</v>
      </c>
      <c r="G921" s="170" t="str">
        <f t="shared" si="2"/>
        <v>QR-203&gt;Nike by Levazım</v>
      </c>
    </row>
    <row r="922">
      <c r="A922" s="91">
        <v>1.0</v>
      </c>
      <c r="B922" s="91" t="s">
        <v>3847</v>
      </c>
      <c r="C922" s="91" t="s">
        <v>2745</v>
      </c>
      <c r="D922" s="171" t="str">
        <f t="shared" si="1"/>
        <v>QR-203</v>
      </c>
      <c r="F922" s="91" t="s">
        <v>143</v>
      </c>
      <c r="G922" s="170" t="str">
        <f t="shared" si="2"/>
        <v>QR-203&gt;Paribu Cineverse</v>
      </c>
    </row>
    <row r="923">
      <c r="A923" s="91">
        <v>1.0</v>
      </c>
      <c r="B923" s="91" t="s">
        <v>3847</v>
      </c>
      <c r="C923" s="91" t="s">
        <v>2745</v>
      </c>
      <c r="D923" s="171" t="str">
        <f t="shared" si="1"/>
        <v>QR-203</v>
      </c>
      <c r="F923" s="91" t="s">
        <v>1554</v>
      </c>
      <c r="G923" s="170" t="str">
        <f t="shared" si="2"/>
        <v>QR-203&gt;Paşabahçe Mağazaları</v>
      </c>
    </row>
    <row r="924">
      <c r="A924" s="91">
        <v>1.0</v>
      </c>
      <c r="B924" s="91" t="s">
        <v>3847</v>
      </c>
      <c r="C924" s="91" t="s">
        <v>2745</v>
      </c>
      <c r="D924" s="171" t="str">
        <f t="shared" si="1"/>
        <v>QR-203</v>
      </c>
      <c r="F924" s="91" t="s">
        <v>261</v>
      </c>
      <c r="G924" s="170" t="str">
        <f t="shared" si="2"/>
        <v>QR-203&gt;Penti</v>
      </c>
    </row>
    <row r="925">
      <c r="A925" s="91">
        <v>1.0</v>
      </c>
      <c r="B925" s="91" t="s">
        <v>3847</v>
      </c>
      <c r="C925" s="91" t="s">
        <v>2745</v>
      </c>
      <c r="D925" s="171" t="str">
        <f t="shared" si="1"/>
        <v>QR-203</v>
      </c>
      <c r="F925" s="91" t="s">
        <v>503</v>
      </c>
      <c r="G925" s="170" t="str">
        <f t="shared" si="2"/>
        <v>QR-203&gt;Plus Kitchen</v>
      </c>
    </row>
    <row r="926">
      <c r="A926" s="91">
        <v>1.0</v>
      </c>
      <c r="B926" s="91" t="s">
        <v>3847</v>
      </c>
      <c r="C926" s="91" t="s">
        <v>2745</v>
      </c>
      <c r="D926" s="171" t="str">
        <f t="shared" si="1"/>
        <v>QR-203</v>
      </c>
      <c r="F926" s="91" t="s">
        <v>1112</v>
      </c>
      <c r="G926" s="170" t="str">
        <f t="shared" si="2"/>
        <v>QR-203&gt;Prada</v>
      </c>
    </row>
    <row r="927">
      <c r="A927" s="91">
        <v>1.0</v>
      </c>
      <c r="B927" s="91" t="s">
        <v>3847</v>
      </c>
      <c r="C927" s="91" t="s">
        <v>2745</v>
      </c>
      <c r="D927" s="171" t="str">
        <f t="shared" si="1"/>
        <v>QR-203</v>
      </c>
      <c r="F927" s="91" t="s">
        <v>3331</v>
      </c>
      <c r="G927" s="170" t="str">
        <f t="shared" si="2"/>
        <v>QR-203&gt;QNB Finansbank (ATM)</v>
      </c>
    </row>
    <row r="928">
      <c r="A928" s="91">
        <v>1.0</v>
      </c>
      <c r="B928" s="91" t="s">
        <v>3847</v>
      </c>
      <c r="C928" s="91" t="s">
        <v>2745</v>
      </c>
      <c r="D928" s="171" t="str">
        <f t="shared" si="1"/>
        <v>QR-203</v>
      </c>
      <c r="F928" s="91" t="s">
        <v>806</v>
      </c>
      <c r="G928" s="170" t="str">
        <f t="shared" si="2"/>
        <v>QR-203&gt;Remzi Kitabevi</v>
      </c>
    </row>
    <row r="929">
      <c r="A929" s="91">
        <v>1.0</v>
      </c>
      <c r="B929" s="91" t="s">
        <v>3847</v>
      </c>
      <c r="C929" s="91" t="s">
        <v>2745</v>
      </c>
      <c r="D929" s="171" t="str">
        <f t="shared" si="1"/>
        <v>QR-203</v>
      </c>
      <c r="F929" s="91" t="s">
        <v>193</v>
      </c>
      <c r="G929" s="170" t="str">
        <f t="shared" si="2"/>
        <v>QR-203&gt;Sephora</v>
      </c>
    </row>
    <row r="930">
      <c r="A930" s="91">
        <v>1.0</v>
      </c>
      <c r="B930" s="91" t="s">
        <v>3847</v>
      </c>
      <c r="C930" s="91" t="s">
        <v>2745</v>
      </c>
      <c r="D930" s="171" t="str">
        <f t="shared" si="1"/>
        <v>QR-203</v>
      </c>
      <c r="F930" s="91" t="s">
        <v>533</v>
      </c>
      <c r="G930" s="170" t="str">
        <f t="shared" si="2"/>
        <v>QR-203&gt;Sevil Parfümeri</v>
      </c>
    </row>
    <row r="931">
      <c r="A931" s="91">
        <v>1.0</v>
      </c>
      <c r="B931" s="91" t="s">
        <v>3847</v>
      </c>
      <c r="C931" s="91" t="s">
        <v>2745</v>
      </c>
      <c r="D931" s="171" t="str">
        <f t="shared" si="1"/>
        <v>QR-203</v>
      </c>
      <c r="F931" s="91" t="s">
        <v>173</v>
      </c>
      <c r="G931" s="170" t="str">
        <f t="shared" si="2"/>
        <v>QR-203&gt;Skechers</v>
      </c>
    </row>
    <row r="932">
      <c r="A932" s="91">
        <v>1.0</v>
      </c>
      <c r="B932" s="91" t="s">
        <v>3847</v>
      </c>
      <c r="C932" s="91" t="s">
        <v>2745</v>
      </c>
      <c r="D932" s="171" t="str">
        <f t="shared" si="1"/>
        <v>QR-203</v>
      </c>
      <c r="F932" s="91" t="s">
        <v>181</v>
      </c>
      <c r="G932" s="170" t="str">
        <f t="shared" si="2"/>
        <v>QR-203&gt;Starbucks</v>
      </c>
    </row>
    <row r="933">
      <c r="A933" s="91">
        <v>1.0</v>
      </c>
      <c r="B933" s="91" t="s">
        <v>3847</v>
      </c>
      <c r="C933" s="91" t="s">
        <v>2745</v>
      </c>
      <c r="D933" s="171" t="str">
        <f t="shared" si="1"/>
        <v>QR-203</v>
      </c>
      <c r="F933" s="91" t="s">
        <v>812</v>
      </c>
      <c r="G933" s="170" t="str">
        <f t="shared" si="2"/>
        <v>QR-203&gt;Swarovski</v>
      </c>
    </row>
    <row r="934">
      <c r="A934" s="91">
        <v>1.0</v>
      </c>
      <c r="B934" s="91" t="s">
        <v>3847</v>
      </c>
      <c r="C934" s="91" t="s">
        <v>2745</v>
      </c>
      <c r="D934" s="171" t="str">
        <f t="shared" si="1"/>
        <v>QR-203</v>
      </c>
      <c r="F934" s="91" t="s">
        <v>491</v>
      </c>
      <c r="G934" s="170" t="str">
        <f t="shared" si="2"/>
        <v>QR-203&gt;Turkcell</v>
      </c>
    </row>
    <row r="935">
      <c r="A935" s="91">
        <v>1.0</v>
      </c>
      <c r="B935" s="91" t="s">
        <v>3847</v>
      </c>
      <c r="C935" s="91" t="s">
        <v>2745</v>
      </c>
      <c r="D935" s="171" t="str">
        <f t="shared" si="1"/>
        <v>QR-203</v>
      </c>
      <c r="F935" s="91" t="s">
        <v>279</v>
      </c>
      <c r="G935" s="170" t="str">
        <f t="shared" si="2"/>
        <v>QR-203&gt;Twist</v>
      </c>
    </row>
    <row r="936">
      <c r="A936" s="91">
        <v>1.0</v>
      </c>
      <c r="B936" s="91" t="s">
        <v>3847</v>
      </c>
      <c r="C936" s="91" t="s">
        <v>2745</v>
      </c>
      <c r="D936" s="171" t="str">
        <f t="shared" si="1"/>
        <v>QR-203</v>
      </c>
      <c r="F936" s="91" t="s">
        <v>2858</v>
      </c>
      <c r="G936" s="170" t="str">
        <f t="shared" si="2"/>
        <v>QR-203&gt;Türkiye İş Bankası (ATM)</v>
      </c>
    </row>
    <row r="937">
      <c r="A937" s="91">
        <v>1.0</v>
      </c>
      <c r="B937" s="91" t="s">
        <v>3847</v>
      </c>
      <c r="C937" s="91" t="s">
        <v>2745</v>
      </c>
      <c r="D937" s="171" t="str">
        <f t="shared" si="1"/>
        <v>QR-203</v>
      </c>
      <c r="F937" s="91" t="s">
        <v>1020</v>
      </c>
      <c r="G937" s="170" t="str">
        <f t="shared" si="2"/>
        <v>QR-203&gt;Vakko</v>
      </c>
    </row>
    <row r="938">
      <c r="A938" s="91">
        <v>1.0</v>
      </c>
      <c r="B938" s="91" t="s">
        <v>3847</v>
      </c>
      <c r="C938" s="91" t="s">
        <v>2745</v>
      </c>
      <c r="D938" s="171" t="str">
        <f t="shared" si="1"/>
        <v>QR-203</v>
      </c>
      <c r="F938" s="91" t="s">
        <v>993</v>
      </c>
      <c r="G938" s="170" t="str">
        <f t="shared" si="2"/>
        <v>QR-203&gt;Vakkorama</v>
      </c>
    </row>
    <row r="939">
      <c r="A939" s="91">
        <v>1.0</v>
      </c>
      <c r="B939" s="91" t="s">
        <v>3847</v>
      </c>
      <c r="C939" s="91" t="s">
        <v>2745</v>
      </c>
      <c r="D939" s="171" t="str">
        <f t="shared" si="1"/>
        <v>QR-203</v>
      </c>
      <c r="F939" s="91" t="s">
        <v>250</v>
      </c>
      <c r="G939" s="170" t="str">
        <f t="shared" si="2"/>
        <v>QR-203&gt;Victoria's Secret</v>
      </c>
    </row>
    <row r="940">
      <c r="A940" s="91">
        <v>1.0</v>
      </c>
      <c r="B940" s="91" t="s">
        <v>3847</v>
      </c>
      <c r="C940" s="91" t="s">
        <v>2745</v>
      </c>
      <c r="D940" s="171" t="str">
        <f t="shared" si="1"/>
        <v>QR-203</v>
      </c>
      <c r="F940" s="91" t="s">
        <v>108</v>
      </c>
      <c r="G940" s="170" t="str">
        <f t="shared" si="2"/>
        <v>QR-203&gt;Yalçınlar</v>
      </c>
    </row>
    <row r="941">
      <c r="A941" s="91">
        <v>1.0</v>
      </c>
      <c r="B941" s="91" t="s">
        <v>3847</v>
      </c>
      <c r="C941" s="91" t="s">
        <v>2745</v>
      </c>
      <c r="D941" s="171" t="str">
        <f t="shared" si="1"/>
        <v>QR-203</v>
      </c>
      <c r="F941" s="91" t="s">
        <v>823</v>
      </c>
      <c r="G941" s="170" t="str">
        <f t="shared" si="2"/>
        <v>QR-203&gt;Yargıcı</v>
      </c>
    </row>
    <row r="942">
      <c r="A942" s="91">
        <v>1.0</v>
      </c>
      <c r="B942" s="91" t="s">
        <v>3847</v>
      </c>
      <c r="C942" s="91" t="s">
        <v>2745</v>
      </c>
      <c r="D942" s="171" t="str">
        <f t="shared" si="1"/>
        <v>QR-203</v>
      </c>
      <c r="F942" s="91" t="s">
        <v>58</v>
      </c>
      <c r="G942" s="170" t="str">
        <f t="shared" si="2"/>
        <v>QR-203&gt;Z Terzi</v>
      </c>
    </row>
    <row r="943">
      <c r="A943" s="91">
        <v>1.0</v>
      </c>
      <c r="B943" s="91" t="s">
        <v>3847</v>
      </c>
      <c r="C943" s="91" t="s">
        <v>2745</v>
      </c>
      <c r="D943" s="171" t="str">
        <f t="shared" si="1"/>
        <v>QR-203</v>
      </c>
      <c r="F943" s="91" t="s">
        <v>228</v>
      </c>
      <c r="G943" s="170" t="str">
        <f t="shared" si="2"/>
        <v>QR-203&gt;İpekyol</v>
      </c>
    </row>
    <row r="944">
      <c r="A944" s="91">
        <v>1.0</v>
      </c>
      <c r="B944" s="91" t="s">
        <v>3847</v>
      </c>
      <c r="C944" s="91" t="s">
        <v>2757</v>
      </c>
      <c r="D944" s="171" t="str">
        <f t="shared" si="1"/>
        <v>QR-301</v>
      </c>
      <c r="F944" s="91" t="s">
        <v>211</v>
      </c>
      <c r="G944" s="170" t="str">
        <f t="shared" si="2"/>
        <v>QR-301&gt;Asics</v>
      </c>
    </row>
    <row r="945">
      <c r="A945" s="91">
        <v>1.0</v>
      </c>
      <c r="B945" s="91" t="s">
        <v>3847</v>
      </c>
      <c r="C945" s="91" t="s">
        <v>2757</v>
      </c>
      <c r="D945" s="171" t="str">
        <f t="shared" si="1"/>
        <v>QR-301</v>
      </c>
      <c r="F945" s="91" t="s">
        <v>1100</v>
      </c>
      <c r="G945" s="170" t="str">
        <f t="shared" si="2"/>
        <v>QR-301&gt;Burberry</v>
      </c>
    </row>
    <row r="946">
      <c r="A946" s="91">
        <v>1.0</v>
      </c>
      <c r="B946" s="91" t="s">
        <v>3847</v>
      </c>
      <c r="C946" s="91" t="s">
        <v>2757</v>
      </c>
      <c r="D946" s="171" t="str">
        <f t="shared" si="1"/>
        <v>QR-301</v>
      </c>
      <c r="F946" s="91" t="s">
        <v>569</v>
      </c>
      <c r="G946" s="170" t="str">
        <f t="shared" si="2"/>
        <v>QR-301&gt;Burger King</v>
      </c>
    </row>
    <row r="947">
      <c r="A947" s="91">
        <v>1.0</v>
      </c>
      <c r="B947" s="91" t="s">
        <v>3847</v>
      </c>
      <c r="C947" s="91" t="s">
        <v>2757</v>
      </c>
      <c r="D947" s="171" t="str">
        <f t="shared" si="1"/>
        <v>QR-301</v>
      </c>
      <c r="F947" s="91" t="s">
        <v>728</v>
      </c>
      <c r="G947" s="170" t="str">
        <f t="shared" si="2"/>
        <v>QR-301&gt;Calvin Klein Jeans</v>
      </c>
    </row>
    <row r="948">
      <c r="A948" s="91">
        <v>1.0</v>
      </c>
      <c r="B948" s="91" t="s">
        <v>3847</v>
      </c>
      <c r="C948" s="91" t="s">
        <v>2757</v>
      </c>
      <c r="D948" s="171" t="str">
        <f t="shared" si="1"/>
        <v>QR-301</v>
      </c>
      <c r="F948" s="91" t="s">
        <v>521</v>
      </c>
      <c r="G948" s="170" t="str">
        <f t="shared" si="2"/>
        <v>QR-301&gt;Calzedonia</v>
      </c>
    </row>
    <row r="949">
      <c r="A949" s="91">
        <v>1.0</v>
      </c>
      <c r="B949" s="91" t="s">
        <v>3847</v>
      </c>
      <c r="C949" s="91" t="s">
        <v>2757</v>
      </c>
      <c r="D949" s="171" t="str">
        <f t="shared" si="1"/>
        <v>QR-301</v>
      </c>
      <c r="F949" s="91" t="s">
        <v>1106</v>
      </c>
      <c r="G949" s="170" t="str">
        <f t="shared" si="2"/>
        <v>QR-301&gt;Cantinery</v>
      </c>
    </row>
    <row r="950">
      <c r="A950" s="91">
        <v>1.0</v>
      </c>
      <c r="B950" s="91" t="s">
        <v>3847</v>
      </c>
      <c r="C950" s="91" t="s">
        <v>2757</v>
      </c>
      <c r="D950" s="171" t="str">
        <f t="shared" si="1"/>
        <v>QR-301</v>
      </c>
      <c r="F950" s="91" t="s">
        <v>1708</v>
      </c>
      <c r="G950" s="170" t="str">
        <f t="shared" si="2"/>
        <v>QR-301&gt;Chakra</v>
      </c>
    </row>
    <row r="951">
      <c r="A951" s="91">
        <v>1.0</v>
      </c>
      <c r="B951" s="91" t="s">
        <v>3847</v>
      </c>
      <c r="C951" s="91" t="s">
        <v>2757</v>
      </c>
      <c r="D951" s="171" t="str">
        <f t="shared" si="1"/>
        <v>QR-301</v>
      </c>
      <c r="F951" s="91" t="s">
        <v>418</v>
      </c>
      <c r="G951" s="170" t="str">
        <f t="shared" si="2"/>
        <v>QR-301&gt;Dyson</v>
      </c>
    </row>
    <row r="952">
      <c r="A952" s="91">
        <v>1.0</v>
      </c>
      <c r="B952" s="91" t="s">
        <v>3847</v>
      </c>
      <c r="C952" s="91" t="s">
        <v>2757</v>
      </c>
      <c r="D952" s="171" t="str">
        <f t="shared" si="1"/>
        <v>QR-301</v>
      </c>
      <c r="F952" s="91" t="s">
        <v>2083</v>
      </c>
      <c r="G952" s="170" t="str">
        <f t="shared" si="2"/>
        <v>QR-301&gt;Döner Stop</v>
      </c>
    </row>
    <row r="953">
      <c r="A953" s="91">
        <v>1.0</v>
      </c>
      <c r="B953" s="91" t="s">
        <v>3847</v>
      </c>
      <c r="C953" s="91" t="s">
        <v>2757</v>
      </c>
      <c r="D953" s="171" t="str">
        <f t="shared" si="1"/>
        <v>QR-301</v>
      </c>
      <c r="F953" s="91" t="s">
        <v>2238</v>
      </c>
      <c r="G953" s="170" t="str">
        <f t="shared" si="2"/>
        <v>QR-301&gt;Et İşleri</v>
      </c>
    </row>
    <row r="954">
      <c r="A954" s="91">
        <v>1.0</v>
      </c>
      <c r="B954" s="91" t="s">
        <v>3847</v>
      </c>
      <c r="C954" s="91" t="s">
        <v>2757</v>
      </c>
      <c r="D954" s="171" t="str">
        <f t="shared" si="1"/>
        <v>QR-301</v>
      </c>
      <c r="F954" s="91" t="s">
        <v>771</v>
      </c>
      <c r="G954" s="170" t="str">
        <f t="shared" si="2"/>
        <v>QR-301&gt;Lacoste</v>
      </c>
    </row>
    <row r="955">
      <c r="A955" s="91">
        <v>1.0</v>
      </c>
      <c r="B955" s="91" t="s">
        <v>3847</v>
      </c>
      <c r="C955" s="91" t="s">
        <v>2757</v>
      </c>
      <c r="D955" s="171" t="str">
        <f t="shared" si="1"/>
        <v>QR-301</v>
      </c>
      <c r="F955" s="91" t="s">
        <v>1536</v>
      </c>
      <c r="G955" s="170" t="str">
        <f t="shared" si="2"/>
        <v>QR-301&gt;Macrocenter</v>
      </c>
    </row>
    <row r="956">
      <c r="A956" s="91">
        <v>1.0</v>
      </c>
      <c r="B956" s="91" t="s">
        <v>3847</v>
      </c>
      <c r="C956" s="91" t="s">
        <v>2757</v>
      </c>
      <c r="D956" s="171" t="str">
        <f t="shared" si="1"/>
        <v>QR-301</v>
      </c>
      <c r="F956" s="91" t="s">
        <v>630</v>
      </c>
      <c r="G956" s="170" t="str">
        <f t="shared" si="2"/>
        <v>QR-301&gt;McDonald's</v>
      </c>
    </row>
    <row r="957">
      <c r="A957" s="91">
        <v>1.0</v>
      </c>
      <c r="B957" s="91" t="s">
        <v>3847</v>
      </c>
      <c r="C957" s="91" t="s">
        <v>2757</v>
      </c>
      <c r="D957" s="171" t="str">
        <f t="shared" si="1"/>
        <v>QR-301</v>
      </c>
      <c r="F957" s="91" t="s">
        <v>664</v>
      </c>
      <c r="G957" s="170" t="str">
        <f t="shared" si="2"/>
        <v>QR-301&gt;Network</v>
      </c>
    </row>
    <row r="958">
      <c r="A958" s="91">
        <v>1.0</v>
      </c>
      <c r="B958" s="91" t="s">
        <v>3847</v>
      </c>
      <c r="C958" s="91" t="s">
        <v>2757</v>
      </c>
      <c r="D958" s="171" t="str">
        <f t="shared" si="1"/>
        <v>QR-301</v>
      </c>
      <c r="F958" s="91" t="s">
        <v>3486</v>
      </c>
      <c r="G958" s="170" t="str">
        <f t="shared" si="2"/>
        <v>QR-301&gt;Otopark Giriş Zincirlikuyu</v>
      </c>
    </row>
    <row r="959">
      <c r="A959" s="91">
        <v>1.0</v>
      </c>
      <c r="B959" s="91" t="s">
        <v>3847</v>
      </c>
      <c r="C959" s="91" t="s">
        <v>2757</v>
      </c>
      <c r="D959" s="171" t="str">
        <f t="shared" si="1"/>
        <v>QR-301</v>
      </c>
      <c r="F959" s="91" t="s">
        <v>2271</v>
      </c>
      <c r="G959" s="170" t="str">
        <f t="shared" si="2"/>
        <v>QR-301&gt;Otopark Ödeme</v>
      </c>
    </row>
    <row r="960">
      <c r="A960" s="91">
        <v>1.0</v>
      </c>
      <c r="B960" s="91" t="s">
        <v>3847</v>
      </c>
      <c r="C960" s="91" t="s">
        <v>2757</v>
      </c>
      <c r="D960" s="171" t="str">
        <f t="shared" si="1"/>
        <v>QR-301</v>
      </c>
      <c r="F960" s="91" t="s">
        <v>3783</v>
      </c>
      <c r="G960" s="170" t="str">
        <f t="shared" si="2"/>
        <v>QR-301&gt;PSM</v>
      </c>
    </row>
    <row r="961">
      <c r="A961" s="91">
        <v>1.0</v>
      </c>
      <c r="B961" s="91" t="s">
        <v>3847</v>
      </c>
      <c r="C961" s="91" t="s">
        <v>2757</v>
      </c>
      <c r="D961" s="171" t="str">
        <f t="shared" si="1"/>
        <v>QR-301</v>
      </c>
      <c r="F961" s="91" t="s">
        <v>1554</v>
      </c>
      <c r="G961" s="170" t="str">
        <f t="shared" si="2"/>
        <v>QR-301&gt;Paşabahçe Mağazaları</v>
      </c>
    </row>
    <row r="962">
      <c r="A962" s="91">
        <v>1.0</v>
      </c>
      <c r="B962" s="91" t="s">
        <v>3847</v>
      </c>
      <c r="C962" s="91" t="s">
        <v>2757</v>
      </c>
      <c r="D962" s="171" t="str">
        <f t="shared" si="1"/>
        <v>QR-301</v>
      </c>
      <c r="F962" s="91" t="s">
        <v>563</v>
      </c>
      <c r="G962" s="170" t="str">
        <f t="shared" si="2"/>
        <v>QR-301&gt;Popeyes</v>
      </c>
    </row>
    <row r="963">
      <c r="A963" s="91">
        <v>1.0</v>
      </c>
      <c r="B963" s="91" t="s">
        <v>3847</v>
      </c>
      <c r="C963" s="91" t="s">
        <v>2757</v>
      </c>
      <c r="D963" s="171" t="str">
        <f t="shared" si="1"/>
        <v>QR-301</v>
      </c>
      <c r="F963" s="91" t="s">
        <v>3860</v>
      </c>
      <c r="G963" s="170" t="str">
        <f t="shared" si="2"/>
        <v>QR-301&gt;Raffles İstanbul</v>
      </c>
    </row>
    <row r="964">
      <c r="A964" s="91">
        <v>1.0</v>
      </c>
      <c r="B964" s="91" t="s">
        <v>3847</v>
      </c>
      <c r="C964" s="91" t="s">
        <v>2757</v>
      </c>
      <c r="D964" s="171" t="str">
        <f t="shared" si="1"/>
        <v>QR-301</v>
      </c>
      <c r="F964" s="91" t="s">
        <v>806</v>
      </c>
      <c r="G964" s="170" t="str">
        <f t="shared" si="2"/>
        <v>QR-301&gt;Remzi Kitabevi</v>
      </c>
    </row>
    <row r="965">
      <c r="A965" s="91">
        <v>1.0</v>
      </c>
      <c r="B965" s="91" t="s">
        <v>3847</v>
      </c>
      <c r="C965" s="91" t="s">
        <v>2757</v>
      </c>
      <c r="D965" s="171" t="str">
        <f t="shared" si="1"/>
        <v>QR-301</v>
      </c>
      <c r="F965" s="91" t="s">
        <v>1047</v>
      </c>
      <c r="G965" s="170" t="str">
        <f t="shared" si="2"/>
        <v>QR-301&gt;Rolex</v>
      </c>
    </row>
    <row r="966">
      <c r="A966" s="91">
        <v>1.0</v>
      </c>
      <c r="B966" s="91" t="s">
        <v>3847</v>
      </c>
      <c r="C966" s="91" t="s">
        <v>2757</v>
      </c>
      <c r="D966" s="171" t="str">
        <f t="shared" si="1"/>
        <v>QR-301</v>
      </c>
      <c r="F966" s="91" t="s">
        <v>181</v>
      </c>
      <c r="G966" s="170" t="str">
        <f t="shared" si="2"/>
        <v>QR-301&gt;Starbucks</v>
      </c>
    </row>
    <row r="967">
      <c r="A967" s="91">
        <v>1.0</v>
      </c>
      <c r="B967" s="91" t="s">
        <v>3847</v>
      </c>
      <c r="C967" s="91" t="s">
        <v>2757</v>
      </c>
      <c r="D967" s="171" t="str">
        <f t="shared" si="1"/>
        <v>QR-301</v>
      </c>
      <c r="F967" s="91" t="s">
        <v>491</v>
      </c>
      <c r="G967" s="170" t="str">
        <f t="shared" si="2"/>
        <v>QR-301&gt;Turkcell</v>
      </c>
    </row>
    <row r="968">
      <c r="A968" s="91">
        <v>1.0</v>
      </c>
      <c r="B968" s="91" t="s">
        <v>3847</v>
      </c>
      <c r="C968" s="91" t="s">
        <v>2757</v>
      </c>
      <c r="D968" s="171" t="str">
        <f t="shared" si="1"/>
        <v>QR-301</v>
      </c>
      <c r="F968" s="91" t="s">
        <v>1020</v>
      </c>
      <c r="G968" s="170" t="str">
        <f t="shared" si="2"/>
        <v>QR-301&gt;Vakko</v>
      </c>
    </row>
    <row r="969">
      <c r="A969" s="91">
        <v>1.0</v>
      </c>
      <c r="B969" s="91" t="s">
        <v>3847</v>
      </c>
      <c r="C969" s="91" t="s">
        <v>2757</v>
      </c>
      <c r="D969" s="171" t="str">
        <f t="shared" si="1"/>
        <v>QR-301</v>
      </c>
      <c r="F969" s="91" t="s">
        <v>993</v>
      </c>
      <c r="G969" s="170" t="str">
        <f t="shared" si="2"/>
        <v>QR-301&gt;Vakkorama</v>
      </c>
    </row>
    <row r="970">
      <c r="A970" s="91">
        <v>1.0</v>
      </c>
      <c r="B970" s="91" t="s">
        <v>3847</v>
      </c>
      <c r="C970" s="91" t="s">
        <v>2757</v>
      </c>
      <c r="D970" s="171" t="str">
        <f t="shared" si="1"/>
        <v>QR-301</v>
      </c>
      <c r="F970" s="91" t="s">
        <v>1053</v>
      </c>
      <c r="G970" s="170" t="str">
        <f t="shared" si="2"/>
        <v>QR-301&gt;Valentino</v>
      </c>
    </row>
    <row r="971">
      <c r="A971" s="91">
        <v>1.0</v>
      </c>
      <c r="B971" s="91" t="s">
        <v>3847</v>
      </c>
      <c r="C971" s="91" t="s">
        <v>2757</v>
      </c>
      <c r="D971" s="171" t="str">
        <f t="shared" si="1"/>
        <v>QR-301</v>
      </c>
      <c r="F971" s="91" t="s">
        <v>1009</v>
      </c>
      <c r="G971" s="170" t="str">
        <f t="shared" si="2"/>
        <v>QR-301&gt;Welldone</v>
      </c>
    </row>
    <row r="972">
      <c r="A972" s="91">
        <v>1.0</v>
      </c>
      <c r="B972" s="91" t="s">
        <v>3847</v>
      </c>
      <c r="C972" s="91" t="s">
        <v>2757</v>
      </c>
      <c r="D972" s="171" t="str">
        <f t="shared" si="1"/>
        <v>QR-301</v>
      </c>
      <c r="F972" s="91" t="s">
        <v>228</v>
      </c>
      <c r="G972" s="170" t="str">
        <f t="shared" si="2"/>
        <v>QR-301&gt;İpekyol</v>
      </c>
    </row>
    <row r="973">
      <c r="A973" s="91">
        <v>1.0</v>
      </c>
      <c r="B973" s="91" t="s">
        <v>3847</v>
      </c>
      <c r="C973" s="91" t="s">
        <v>2760</v>
      </c>
      <c r="D973" s="171" t="str">
        <f t="shared" si="1"/>
        <v>QR-302</v>
      </c>
      <c r="F973" s="91" t="s">
        <v>2816</v>
      </c>
      <c r="G973" s="170" t="str">
        <f t="shared" si="2"/>
        <v>QR-302&gt;_x0010_0 Pub</v>
      </c>
    </row>
    <row r="974">
      <c r="A974" s="91">
        <v>1.0</v>
      </c>
      <c r="B974" s="91" t="s">
        <v>3847</v>
      </c>
      <c r="C974" s="91" t="s">
        <v>2760</v>
      </c>
      <c r="D974" s="171" t="str">
        <f t="shared" si="1"/>
        <v>QR-302</v>
      </c>
      <c r="F974" s="91" t="s">
        <v>2816</v>
      </c>
      <c r="G974" s="170" t="str">
        <f t="shared" si="2"/>
        <v>QR-302&gt;_x0010_0 Pub</v>
      </c>
    </row>
    <row r="975">
      <c r="A975" s="91">
        <v>1.0</v>
      </c>
      <c r="B975" s="91" t="s">
        <v>3847</v>
      </c>
      <c r="C975" s="91" t="s">
        <v>2760</v>
      </c>
      <c r="D975" s="171" t="str">
        <f t="shared" si="1"/>
        <v>QR-302</v>
      </c>
      <c r="F975" s="91" t="s">
        <v>2801</v>
      </c>
      <c r="G975" s="170" t="str">
        <f t="shared" si="2"/>
        <v>QR-302&gt;Akbank (ATM)</v>
      </c>
    </row>
    <row r="976">
      <c r="A976" s="91">
        <v>1.0</v>
      </c>
      <c r="B976" s="91" t="s">
        <v>3847</v>
      </c>
      <c r="C976" s="91" t="s">
        <v>2760</v>
      </c>
      <c r="D976" s="171" t="str">
        <f t="shared" si="1"/>
        <v>QR-302</v>
      </c>
      <c r="F976" s="91" t="s">
        <v>3138</v>
      </c>
      <c r="G976" s="170" t="str">
        <f t="shared" si="2"/>
        <v>QR-302&gt;Akbank (Şube)</v>
      </c>
    </row>
    <row r="977">
      <c r="A977" s="91">
        <v>1.0</v>
      </c>
      <c r="B977" s="91" t="s">
        <v>3847</v>
      </c>
      <c r="C977" s="91" t="s">
        <v>2760</v>
      </c>
      <c r="D977" s="171" t="str">
        <f t="shared" si="1"/>
        <v>QR-302</v>
      </c>
      <c r="F977" s="91" t="s">
        <v>1042</v>
      </c>
      <c r="G977" s="170" t="str">
        <f t="shared" si="2"/>
        <v>QR-302&gt;Alexander McQueen</v>
      </c>
    </row>
    <row r="978">
      <c r="A978" s="91">
        <v>1.0</v>
      </c>
      <c r="B978" s="91" t="s">
        <v>3847</v>
      </c>
      <c r="C978" s="91" t="s">
        <v>2760</v>
      </c>
      <c r="D978" s="171" t="str">
        <f t="shared" si="1"/>
        <v>QR-302</v>
      </c>
      <c r="F978" s="91" t="s">
        <v>211</v>
      </c>
      <c r="G978" s="170" t="str">
        <f t="shared" si="2"/>
        <v>QR-302&gt;Asics</v>
      </c>
    </row>
    <row r="979">
      <c r="A979" s="91">
        <v>1.0</v>
      </c>
      <c r="B979" s="91" t="s">
        <v>3847</v>
      </c>
      <c r="C979" s="91" t="s">
        <v>2760</v>
      </c>
      <c r="D979" s="171" t="str">
        <f t="shared" si="1"/>
        <v>QR-302</v>
      </c>
      <c r="F979" s="91" t="s">
        <v>777</v>
      </c>
      <c r="G979" s="170" t="str">
        <f t="shared" si="2"/>
        <v>QR-302&gt;COS</v>
      </c>
    </row>
    <row r="980">
      <c r="A980" s="91">
        <v>1.0</v>
      </c>
      <c r="B980" s="91" t="s">
        <v>3847</v>
      </c>
      <c r="C980" s="91" t="s">
        <v>2760</v>
      </c>
      <c r="D980" s="171" t="str">
        <f t="shared" si="1"/>
        <v>QR-302</v>
      </c>
      <c r="F980" s="91" t="s">
        <v>549</v>
      </c>
      <c r="G980" s="170" t="str">
        <f t="shared" si="2"/>
        <v>QR-302&gt;Caffe Nero</v>
      </c>
    </row>
    <row r="981">
      <c r="A981" s="91">
        <v>1.0</v>
      </c>
      <c r="B981" s="91" t="s">
        <v>3847</v>
      </c>
      <c r="C981" s="91" t="s">
        <v>2760</v>
      </c>
      <c r="D981" s="171" t="str">
        <f t="shared" si="1"/>
        <v>QR-302</v>
      </c>
      <c r="F981" s="91" t="s">
        <v>1708</v>
      </c>
      <c r="G981" s="170" t="str">
        <f t="shared" si="2"/>
        <v>QR-302&gt;Chakra</v>
      </c>
    </row>
    <row r="982">
      <c r="A982" s="91">
        <v>1.0</v>
      </c>
      <c r="B982" s="91" t="s">
        <v>3847</v>
      </c>
      <c r="C982" s="91" t="s">
        <v>2760</v>
      </c>
      <c r="D982" s="171" t="str">
        <f t="shared" si="1"/>
        <v>QR-302</v>
      </c>
      <c r="F982" s="91" t="s">
        <v>2238</v>
      </c>
      <c r="G982" s="170" t="str">
        <f t="shared" si="2"/>
        <v>QR-302&gt;Et İşleri</v>
      </c>
    </row>
    <row r="983">
      <c r="A983" s="91">
        <v>1.0</v>
      </c>
      <c r="B983" s="91" t="s">
        <v>3847</v>
      </c>
      <c r="C983" s="91" t="s">
        <v>2760</v>
      </c>
      <c r="D983" s="171" t="str">
        <f t="shared" si="1"/>
        <v>QR-302</v>
      </c>
      <c r="F983" s="91" t="s">
        <v>1065</v>
      </c>
      <c r="G983" s="170" t="str">
        <f t="shared" si="2"/>
        <v>QR-302&gt;Günaydın Kasap &amp; Steakhouse</v>
      </c>
    </row>
    <row r="984">
      <c r="A984" s="91">
        <v>1.0</v>
      </c>
      <c r="B984" s="91" t="s">
        <v>3847</v>
      </c>
      <c r="C984" s="91" t="s">
        <v>2760</v>
      </c>
      <c r="D984" s="171" t="str">
        <f t="shared" si="1"/>
        <v>QR-302</v>
      </c>
      <c r="F984" s="91" t="s">
        <v>309</v>
      </c>
      <c r="G984" s="170" t="str">
        <f t="shared" si="2"/>
        <v>QR-302&gt;MAC</v>
      </c>
    </row>
    <row r="985">
      <c r="A985" s="91">
        <v>1.0</v>
      </c>
      <c r="B985" s="91" t="s">
        <v>3847</v>
      </c>
      <c r="C985" s="91" t="s">
        <v>2760</v>
      </c>
      <c r="D985" s="171" t="str">
        <f t="shared" si="1"/>
        <v>QR-302</v>
      </c>
      <c r="F985" s="91" t="s">
        <v>94</v>
      </c>
      <c r="G985" s="170" t="str">
        <f t="shared" si="2"/>
        <v>QR-302&gt;MediaMarkt</v>
      </c>
    </row>
    <row r="986">
      <c r="A986" s="91">
        <v>1.0</v>
      </c>
      <c r="B986" s="91" t="s">
        <v>3847</v>
      </c>
      <c r="C986" s="91" t="s">
        <v>2760</v>
      </c>
      <c r="D986" s="171" t="str">
        <f t="shared" si="1"/>
        <v>QR-302</v>
      </c>
      <c r="F986" s="91" t="s">
        <v>2917</v>
      </c>
      <c r="G986" s="170" t="str">
        <f t="shared" si="2"/>
        <v>QR-302&gt;Otopark</v>
      </c>
    </row>
    <row r="987">
      <c r="A987" s="91">
        <v>1.0</v>
      </c>
      <c r="B987" s="91" t="s">
        <v>3847</v>
      </c>
      <c r="C987" s="91" t="s">
        <v>2760</v>
      </c>
      <c r="D987" s="171" t="str">
        <f t="shared" si="1"/>
        <v>QR-302</v>
      </c>
      <c r="F987" s="91" t="s">
        <v>3783</v>
      </c>
      <c r="G987" s="170" t="str">
        <f t="shared" si="2"/>
        <v>QR-302&gt;PSM</v>
      </c>
    </row>
    <row r="988">
      <c r="A988" s="91">
        <v>1.0</v>
      </c>
      <c r="B988" s="91" t="s">
        <v>3847</v>
      </c>
      <c r="C988" s="91" t="s">
        <v>2760</v>
      </c>
      <c r="D988" s="171" t="str">
        <f t="shared" si="1"/>
        <v>QR-302</v>
      </c>
      <c r="F988" s="91" t="s">
        <v>1554</v>
      </c>
      <c r="G988" s="170" t="str">
        <f t="shared" si="2"/>
        <v>QR-302&gt;Paşabahçe Mağazaları</v>
      </c>
    </row>
    <row r="989">
      <c r="A989" s="91">
        <v>1.0</v>
      </c>
      <c r="B989" s="91" t="s">
        <v>3847</v>
      </c>
      <c r="C989" s="91" t="s">
        <v>2760</v>
      </c>
      <c r="D989" s="171" t="str">
        <f t="shared" si="1"/>
        <v>QR-302</v>
      </c>
      <c r="F989" s="91" t="s">
        <v>3871</v>
      </c>
      <c r="G989" s="170" t="str">
        <f t="shared" si="2"/>
        <v>QR-302&gt;Revir</v>
      </c>
    </row>
    <row r="990">
      <c r="A990" s="91">
        <v>1.0</v>
      </c>
      <c r="B990" s="91" t="s">
        <v>3847</v>
      </c>
      <c r="C990" s="91" t="s">
        <v>2760</v>
      </c>
      <c r="D990" s="171" t="str">
        <f t="shared" si="1"/>
        <v>QR-302</v>
      </c>
      <c r="F990" s="91" t="s">
        <v>3857</v>
      </c>
      <c r="G990" s="170" t="str">
        <f t="shared" si="2"/>
        <v>QR-302&gt;Sinema</v>
      </c>
    </row>
    <row r="991">
      <c r="A991" s="91">
        <v>1.0</v>
      </c>
      <c r="B991" s="91" t="s">
        <v>3847</v>
      </c>
      <c r="C991" s="91" t="s">
        <v>2760</v>
      </c>
      <c r="D991" s="171" t="str">
        <f t="shared" si="1"/>
        <v>QR-302</v>
      </c>
      <c r="F991" s="91" t="s">
        <v>2349</v>
      </c>
      <c r="G991" s="170" t="str">
        <f t="shared" si="2"/>
        <v>QR-302&gt;Togg Deneyim Merkezi</v>
      </c>
    </row>
    <row r="992">
      <c r="A992" s="91">
        <v>1.0</v>
      </c>
      <c r="B992" s="91" t="s">
        <v>3847</v>
      </c>
      <c r="C992" s="91" t="s">
        <v>2760</v>
      </c>
      <c r="D992" s="171" t="str">
        <f t="shared" si="1"/>
        <v>QR-302</v>
      </c>
      <c r="F992" s="91" t="s">
        <v>676</v>
      </c>
      <c r="G992" s="170" t="str">
        <f t="shared" si="2"/>
        <v>QR-302&gt;Tommy Hilfiger</v>
      </c>
    </row>
    <row r="993">
      <c r="A993" s="91">
        <v>1.0</v>
      </c>
      <c r="B993" s="91" t="s">
        <v>3847</v>
      </c>
      <c r="C993" s="91" t="s">
        <v>2760</v>
      </c>
      <c r="D993" s="171" t="str">
        <f t="shared" si="1"/>
        <v>QR-302</v>
      </c>
      <c r="F993" s="91" t="s">
        <v>2132</v>
      </c>
      <c r="G993" s="170" t="str">
        <f t="shared" si="2"/>
        <v>QR-302&gt;Vakkorama Cafe</v>
      </c>
    </row>
    <row r="994">
      <c r="A994" s="91">
        <v>1.0</v>
      </c>
      <c r="B994" s="91" t="s">
        <v>3847</v>
      </c>
      <c r="C994" s="91" t="s">
        <v>2760</v>
      </c>
      <c r="D994" s="171" t="str">
        <f t="shared" si="1"/>
        <v>QR-302</v>
      </c>
      <c r="F994" s="91" t="s">
        <v>2343</v>
      </c>
      <c r="G994" s="170" t="str">
        <f t="shared" si="2"/>
        <v>QR-302&gt;Zanzibar</v>
      </c>
    </row>
    <row r="995">
      <c r="A995" s="91">
        <v>1.0</v>
      </c>
      <c r="B995" s="91" t="s">
        <v>3847</v>
      </c>
      <c r="C995" s="91" t="s">
        <v>2677</v>
      </c>
      <c r="D995" s="171" t="str">
        <f t="shared" si="1"/>
        <v>QR003</v>
      </c>
      <c r="F995" s="91" t="s">
        <v>1059</v>
      </c>
      <c r="G995" s="170" t="str">
        <f t="shared" si="2"/>
        <v>QR003&gt;BigChefs</v>
      </c>
    </row>
    <row r="996">
      <c r="A996" s="91">
        <v>1.0</v>
      </c>
      <c r="B996" s="91" t="s">
        <v>3847</v>
      </c>
      <c r="C996" s="91" t="s">
        <v>2677</v>
      </c>
      <c r="D996" s="171" t="str">
        <f t="shared" si="1"/>
        <v>QR003</v>
      </c>
      <c r="F996" s="91" t="s">
        <v>1106</v>
      </c>
      <c r="G996" s="170" t="str">
        <f t="shared" si="2"/>
        <v>QR003&gt;Cantinery</v>
      </c>
    </row>
    <row r="997">
      <c r="A997" s="91">
        <v>1.0</v>
      </c>
      <c r="B997" s="91" t="s">
        <v>3847</v>
      </c>
      <c r="C997" s="91" t="s">
        <v>2677</v>
      </c>
      <c r="D997" s="171" t="str">
        <f t="shared" si="1"/>
        <v>QR003</v>
      </c>
      <c r="F997" s="91" t="s">
        <v>1400</v>
      </c>
      <c r="G997" s="170" t="str">
        <f t="shared" si="2"/>
        <v>QR003&gt;Park Alanı</v>
      </c>
    </row>
    <row r="998">
      <c r="A998" s="91">
        <v>1.0</v>
      </c>
      <c r="B998" s="91" t="s">
        <v>3847</v>
      </c>
      <c r="C998" s="91" t="s">
        <v>2677</v>
      </c>
      <c r="D998" s="171" t="str">
        <f t="shared" si="1"/>
        <v>QR003</v>
      </c>
      <c r="F998" s="91" t="s">
        <v>1009</v>
      </c>
      <c r="G998" s="170" t="str">
        <f t="shared" si="2"/>
        <v>QR003&gt;Welldone</v>
      </c>
    </row>
    <row r="999">
      <c r="A999" s="91">
        <v>1.0</v>
      </c>
      <c r="B999" s="91" t="s">
        <v>3847</v>
      </c>
      <c r="C999" s="91" t="s">
        <v>2677</v>
      </c>
      <c r="D999" s="171" t="str">
        <f t="shared" si="1"/>
        <v>QR003</v>
      </c>
      <c r="F999" s="91" t="s">
        <v>474</v>
      </c>
      <c r="G999" s="170" t="str">
        <f t="shared" si="2"/>
        <v>QR003&gt;Zara</v>
      </c>
    </row>
    <row r="1000">
      <c r="A1000" s="91">
        <v>1.0</v>
      </c>
      <c r="B1000" s="91" t="s">
        <v>3847</v>
      </c>
      <c r="C1000" s="91" t="s">
        <v>2677</v>
      </c>
      <c r="D1000" s="171" t="str">
        <f t="shared" si="1"/>
        <v>QR003</v>
      </c>
      <c r="F1000" s="91" t="s">
        <v>1403</v>
      </c>
      <c r="G1000" s="170" t="str">
        <f t="shared" si="2"/>
        <v>QR003&gt;Zorlu Center Açık Hava</v>
      </c>
    </row>
    <row r="1001">
      <c r="A1001" s="91">
        <v>1.0</v>
      </c>
      <c r="B1001" s="91" t="s">
        <v>3847</v>
      </c>
      <c r="C1001" s="91" t="s">
        <v>2677</v>
      </c>
      <c r="D1001" s="171" t="str">
        <f t="shared" si="1"/>
        <v>QR003</v>
      </c>
      <c r="F1001" s="91" t="s">
        <v>1668</v>
      </c>
      <c r="G1001" s="170" t="str">
        <f t="shared" si="2"/>
        <v>QR003&gt;Zula</v>
      </c>
    </row>
    <row r="1002">
      <c r="A1002" s="91">
        <v>1.0</v>
      </c>
      <c r="B1002" s="91" t="s">
        <v>3847</v>
      </c>
      <c r="C1002" s="91" t="s">
        <v>2679</v>
      </c>
      <c r="D1002" s="171" t="str">
        <f t="shared" si="1"/>
        <v>QR004</v>
      </c>
      <c r="F1002" s="91" t="s">
        <v>569</v>
      </c>
      <c r="G1002" s="170" t="str">
        <f t="shared" si="2"/>
        <v>QR004&gt;Burger King</v>
      </c>
    </row>
    <row r="1003">
      <c r="A1003" s="91">
        <v>1.0</v>
      </c>
      <c r="B1003" s="91" t="s">
        <v>3847</v>
      </c>
      <c r="C1003" s="91" t="s">
        <v>2679</v>
      </c>
      <c r="D1003" s="171" t="str">
        <f t="shared" si="1"/>
        <v>QR004</v>
      </c>
      <c r="F1003" s="91" t="s">
        <v>1015</v>
      </c>
      <c r="G1003" s="170" t="str">
        <f t="shared" si="2"/>
        <v>QR004&gt;Crossing</v>
      </c>
    </row>
    <row r="1004">
      <c r="A1004" s="91">
        <v>1.0</v>
      </c>
      <c r="B1004" s="91" t="s">
        <v>3847</v>
      </c>
      <c r="C1004" s="91" t="s">
        <v>2679</v>
      </c>
      <c r="D1004" s="171" t="str">
        <f t="shared" si="1"/>
        <v>QR004</v>
      </c>
      <c r="F1004" s="91" t="s">
        <v>3402</v>
      </c>
      <c r="G1004" s="170" t="str">
        <f t="shared" si="2"/>
        <v>QR004&gt;Tuvalet</v>
      </c>
    </row>
    <row r="1005">
      <c r="A1005" s="91">
        <v>1.0</v>
      </c>
      <c r="B1005" s="91" t="s">
        <v>3847</v>
      </c>
      <c r="C1005" s="91" t="s">
        <v>2682</v>
      </c>
      <c r="D1005" s="171" t="str">
        <f t="shared" si="1"/>
        <v>QR005</v>
      </c>
      <c r="F1005" s="91" t="s">
        <v>399</v>
      </c>
      <c r="G1005" s="170" t="str">
        <f t="shared" si="2"/>
        <v>QR005&gt;Apple</v>
      </c>
    </row>
    <row r="1006">
      <c r="A1006" s="91">
        <v>1.0</v>
      </c>
      <c r="B1006" s="91" t="s">
        <v>3847</v>
      </c>
      <c r="C1006" s="91" t="s">
        <v>2682</v>
      </c>
      <c r="D1006" s="171" t="str">
        <f t="shared" si="1"/>
        <v>QR005</v>
      </c>
      <c r="F1006" s="91" t="s">
        <v>1579</v>
      </c>
      <c r="G1006" s="170" t="str">
        <f t="shared" si="2"/>
        <v>QR005&gt;D&amp;R</v>
      </c>
    </row>
    <row r="1007">
      <c r="A1007" s="91">
        <v>1.0</v>
      </c>
      <c r="B1007" s="91" t="s">
        <v>3847</v>
      </c>
      <c r="C1007" s="91" t="s">
        <v>2682</v>
      </c>
      <c r="D1007" s="171" t="str">
        <f t="shared" si="1"/>
        <v>QR005</v>
      </c>
      <c r="F1007" s="91" t="s">
        <v>94</v>
      </c>
      <c r="G1007" s="170" t="str">
        <f t="shared" si="2"/>
        <v>QR005&gt;MediaMarkt</v>
      </c>
    </row>
    <row r="1008">
      <c r="A1008" s="91">
        <v>1.0</v>
      </c>
      <c r="B1008" s="91" t="s">
        <v>3847</v>
      </c>
      <c r="C1008" s="91" t="s">
        <v>2682</v>
      </c>
      <c r="D1008" s="171" t="str">
        <f t="shared" si="1"/>
        <v>QR005</v>
      </c>
      <c r="F1008" s="91" t="s">
        <v>1611</v>
      </c>
      <c r="G1008" s="170" t="str">
        <f t="shared" si="2"/>
        <v>QR005&gt;Terazza Italia</v>
      </c>
    </row>
    <row r="1009">
      <c r="A1009" s="91">
        <v>1.0</v>
      </c>
      <c r="B1009" s="91" t="s">
        <v>3847</v>
      </c>
      <c r="C1009" s="91" t="s">
        <v>2682</v>
      </c>
      <c r="D1009" s="171" t="str">
        <f t="shared" si="1"/>
        <v>QR005</v>
      </c>
      <c r="F1009" s="91" t="s">
        <v>2321</v>
      </c>
      <c r="G1009" s="170" t="str">
        <f t="shared" si="2"/>
        <v>QR005&gt;Tommi Brasserie</v>
      </c>
    </row>
    <row r="1010">
      <c r="A1010" s="91">
        <v>1.0</v>
      </c>
      <c r="B1010" s="91" t="s">
        <v>3847</v>
      </c>
      <c r="C1010" s="91" t="s">
        <v>2682</v>
      </c>
      <c r="D1010" s="171" t="str">
        <f t="shared" si="1"/>
        <v>QR005</v>
      </c>
      <c r="F1010" s="91" t="s">
        <v>993</v>
      </c>
      <c r="G1010" s="170" t="str">
        <f t="shared" si="2"/>
        <v>QR005&gt;Vakkorama</v>
      </c>
    </row>
    <row r="1011">
      <c r="A1011" s="91">
        <v>1.0</v>
      </c>
      <c r="B1011" s="91" t="s">
        <v>3847</v>
      </c>
      <c r="C1011" s="91" t="s">
        <v>2682</v>
      </c>
      <c r="D1011" s="171" t="str">
        <f t="shared" si="1"/>
        <v>QR005</v>
      </c>
      <c r="F1011" s="91" t="s">
        <v>2343</v>
      </c>
      <c r="G1011" s="170" t="str">
        <f t="shared" si="2"/>
        <v>QR005&gt;Zanzibar</v>
      </c>
    </row>
    <row r="1012">
      <c r="A1012" s="91">
        <v>1.0</v>
      </c>
      <c r="B1012" s="91" t="s">
        <v>3847</v>
      </c>
      <c r="C1012" s="91" t="s">
        <v>2685</v>
      </c>
      <c r="D1012" s="171" t="str">
        <f t="shared" si="1"/>
        <v>QR006</v>
      </c>
      <c r="F1012" s="91" t="s">
        <v>285</v>
      </c>
      <c r="G1012" s="170" t="str">
        <f t="shared" si="2"/>
        <v>QR006&gt;Aldo</v>
      </c>
    </row>
    <row r="1013">
      <c r="A1013" s="91">
        <v>1.0</v>
      </c>
      <c r="B1013" s="91" t="s">
        <v>3847</v>
      </c>
      <c r="C1013" s="91" t="s">
        <v>2685</v>
      </c>
      <c r="D1013" s="171" t="str">
        <f t="shared" si="1"/>
        <v>QR006</v>
      </c>
      <c r="F1013" s="91" t="s">
        <v>579</v>
      </c>
      <c r="G1013" s="170" t="str">
        <f t="shared" si="2"/>
        <v>QR006&gt;Arby's</v>
      </c>
    </row>
    <row r="1014">
      <c r="A1014" s="91">
        <v>1.0</v>
      </c>
      <c r="B1014" s="91" t="s">
        <v>3847</v>
      </c>
      <c r="C1014" s="91" t="s">
        <v>2685</v>
      </c>
      <c r="D1014" s="171" t="str">
        <f t="shared" si="1"/>
        <v>QR006</v>
      </c>
      <c r="F1014" s="91" t="s">
        <v>682</v>
      </c>
      <c r="G1014" s="170" t="str">
        <f t="shared" si="2"/>
        <v>QR006&gt;Beymen</v>
      </c>
    </row>
    <row r="1015">
      <c r="A1015" s="91">
        <v>1.0</v>
      </c>
      <c r="B1015" s="91" t="s">
        <v>3847</v>
      </c>
      <c r="C1015" s="91" t="s">
        <v>2685</v>
      </c>
      <c r="D1015" s="171" t="str">
        <f t="shared" si="1"/>
        <v>QR006</v>
      </c>
      <c r="F1015" s="91" t="s">
        <v>569</v>
      </c>
      <c r="G1015" s="170" t="str">
        <f t="shared" si="2"/>
        <v>QR006&gt;Burger King</v>
      </c>
    </row>
    <row r="1016">
      <c r="A1016" s="91">
        <v>1.0</v>
      </c>
      <c r="B1016" s="91" t="s">
        <v>3847</v>
      </c>
      <c r="C1016" s="91" t="s">
        <v>2685</v>
      </c>
      <c r="D1016" s="171" t="str">
        <f t="shared" si="1"/>
        <v>QR006</v>
      </c>
      <c r="F1016" s="91" t="s">
        <v>418</v>
      </c>
      <c r="G1016" s="170" t="str">
        <f t="shared" si="2"/>
        <v>QR006&gt;Dyson</v>
      </c>
    </row>
    <row r="1017">
      <c r="A1017" s="91">
        <v>1.0</v>
      </c>
      <c r="B1017" s="91" t="s">
        <v>3847</v>
      </c>
      <c r="C1017" s="91" t="s">
        <v>2685</v>
      </c>
      <c r="D1017" s="171" t="str">
        <f t="shared" si="1"/>
        <v>QR006</v>
      </c>
      <c r="F1017" s="91" t="s">
        <v>1337</v>
      </c>
      <c r="G1017" s="170" t="str">
        <f t="shared" si="2"/>
        <v>QR006&gt;Godiva</v>
      </c>
    </row>
    <row r="1018">
      <c r="A1018" s="91">
        <v>1.0</v>
      </c>
      <c r="B1018" s="91" t="s">
        <v>3847</v>
      </c>
      <c r="C1018" s="91" t="s">
        <v>2685</v>
      </c>
      <c r="D1018" s="171" t="str">
        <f t="shared" si="1"/>
        <v>QR006</v>
      </c>
      <c r="F1018" s="91" t="s">
        <v>1031</v>
      </c>
      <c r="G1018" s="170" t="str">
        <f t="shared" si="2"/>
        <v>QR006&gt;Happy Moon's</v>
      </c>
    </row>
    <row r="1019">
      <c r="A1019" s="91">
        <v>1.0</v>
      </c>
      <c r="B1019" s="91" t="s">
        <v>3847</v>
      </c>
      <c r="C1019" s="91" t="s">
        <v>2685</v>
      </c>
      <c r="D1019" s="171" t="str">
        <f t="shared" si="1"/>
        <v>QR006</v>
      </c>
      <c r="F1019" s="91" t="s">
        <v>2427</v>
      </c>
      <c r="G1019" s="170" t="str">
        <f t="shared" si="2"/>
        <v>QR006&gt;MAC Mars Athletic Club</v>
      </c>
    </row>
    <row r="1020">
      <c r="A1020" s="91">
        <v>1.0</v>
      </c>
      <c r="B1020" s="91" t="s">
        <v>3847</v>
      </c>
      <c r="C1020" s="91" t="s">
        <v>2685</v>
      </c>
      <c r="D1020" s="171" t="str">
        <f t="shared" si="1"/>
        <v>QR006</v>
      </c>
      <c r="F1020" s="91" t="s">
        <v>1536</v>
      </c>
      <c r="G1020" s="170" t="str">
        <f t="shared" si="2"/>
        <v>QR006&gt;Macrocenter</v>
      </c>
    </row>
    <row r="1021">
      <c r="A1021" s="91">
        <v>1.0</v>
      </c>
      <c r="B1021" s="91" t="s">
        <v>3847</v>
      </c>
      <c r="C1021" s="91" t="s">
        <v>2685</v>
      </c>
      <c r="D1021" s="171" t="str">
        <f t="shared" si="1"/>
        <v>QR006</v>
      </c>
      <c r="F1021" s="91" t="s">
        <v>326</v>
      </c>
      <c r="G1021" s="170" t="str">
        <f t="shared" si="2"/>
        <v>QR006&gt;Massimo Dutti</v>
      </c>
    </row>
    <row r="1022">
      <c r="A1022" s="91">
        <v>1.0</v>
      </c>
      <c r="B1022" s="91" t="s">
        <v>3847</v>
      </c>
      <c r="C1022" s="91" t="s">
        <v>2685</v>
      </c>
      <c r="D1022" s="171" t="str">
        <f t="shared" si="1"/>
        <v>QR006</v>
      </c>
      <c r="F1022" s="91" t="s">
        <v>94</v>
      </c>
      <c r="G1022" s="170" t="str">
        <f t="shared" si="2"/>
        <v>QR006&gt;MediaMarkt</v>
      </c>
    </row>
    <row r="1023">
      <c r="A1023" s="91">
        <v>1.0</v>
      </c>
      <c r="B1023" s="91" t="s">
        <v>3847</v>
      </c>
      <c r="C1023" s="91" t="s">
        <v>2685</v>
      </c>
      <c r="D1023" s="171" t="str">
        <f t="shared" si="1"/>
        <v>QR006</v>
      </c>
      <c r="F1023" s="91" t="s">
        <v>2277</v>
      </c>
      <c r="G1023" s="170" t="str">
        <f t="shared" si="2"/>
        <v>QR006&gt;Memorial Wellness</v>
      </c>
    </row>
    <row r="1024">
      <c r="A1024" s="91">
        <v>1.0</v>
      </c>
      <c r="B1024" s="91" t="s">
        <v>3847</v>
      </c>
      <c r="C1024" s="91" t="s">
        <v>2685</v>
      </c>
      <c r="D1024" s="171" t="str">
        <f t="shared" si="1"/>
        <v>QR006</v>
      </c>
      <c r="F1024" s="91" t="s">
        <v>640</v>
      </c>
      <c r="G1024" s="170" t="str">
        <f t="shared" si="2"/>
        <v>QR006&gt;Sosa</v>
      </c>
    </row>
    <row r="1025">
      <c r="A1025" s="91">
        <v>1.0</v>
      </c>
      <c r="B1025" s="91" t="s">
        <v>3847</v>
      </c>
      <c r="C1025" s="91" t="s">
        <v>2685</v>
      </c>
      <c r="D1025" s="171" t="str">
        <f t="shared" si="1"/>
        <v>QR006</v>
      </c>
      <c r="F1025" s="91" t="s">
        <v>181</v>
      </c>
      <c r="G1025" s="170" t="str">
        <f t="shared" si="2"/>
        <v>QR006&gt;Starbucks</v>
      </c>
    </row>
    <row r="1026">
      <c r="A1026" s="91">
        <v>1.0</v>
      </c>
      <c r="B1026" s="91" t="s">
        <v>3847</v>
      </c>
      <c r="C1026" s="91" t="s">
        <v>2685</v>
      </c>
      <c r="D1026" s="171" t="str">
        <f t="shared" si="1"/>
        <v>QR006</v>
      </c>
      <c r="F1026" s="91" t="s">
        <v>3402</v>
      </c>
      <c r="G1026" s="170" t="str">
        <f t="shared" si="2"/>
        <v>QR006&gt;Tuvalet</v>
      </c>
    </row>
    <row r="1027">
      <c r="A1027" s="91">
        <v>1.0</v>
      </c>
      <c r="B1027" s="91" t="s">
        <v>3847</v>
      </c>
      <c r="C1027" s="91" t="s">
        <v>2685</v>
      </c>
      <c r="D1027" s="171" t="str">
        <f t="shared" si="1"/>
        <v>QR006</v>
      </c>
      <c r="F1027" s="91" t="s">
        <v>1009</v>
      </c>
      <c r="G1027" s="170" t="str">
        <f t="shared" si="2"/>
        <v>QR006&gt;Welldone</v>
      </c>
    </row>
    <row r="1028">
      <c r="A1028" s="91">
        <v>1.0</v>
      </c>
      <c r="B1028" s="91" t="s">
        <v>3847</v>
      </c>
      <c r="C1028" s="91" t="s">
        <v>2685</v>
      </c>
      <c r="D1028" s="171" t="str">
        <f t="shared" si="1"/>
        <v>QR006</v>
      </c>
      <c r="F1028" s="91" t="s">
        <v>2343</v>
      </c>
      <c r="G1028" s="170" t="str">
        <f t="shared" si="2"/>
        <v>QR006&gt;Zanzibar</v>
      </c>
    </row>
    <row r="1029">
      <c r="A1029" s="91">
        <v>1.0</v>
      </c>
      <c r="B1029" s="91" t="s">
        <v>3847</v>
      </c>
      <c r="C1029" s="91" t="s">
        <v>2685</v>
      </c>
      <c r="D1029" s="171" t="str">
        <f t="shared" si="1"/>
        <v>QR006</v>
      </c>
      <c r="F1029" s="91" t="s">
        <v>3122</v>
      </c>
      <c r="G1029" s="170" t="str">
        <f t="shared" si="2"/>
        <v>QR006&gt;Zorlu PSM Meydan Katı</v>
      </c>
    </row>
    <row r="1030">
      <c r="A1030" s="91">
        <v>1.0</v>
      </c>
      <c r="B1030" s="91" t="s">
        <v>3847</v>
      </c>
      <c r="C1030" s="91" t="s">
        <v>2688</v>
      </c>
      <c r="D1030" s="171" t="str">
        <f t="shared" si="1"/>
        <v>QR007</v>
      </c>
      <c r="F1030" s="91" t="s">
        <v>1668</v>
      </c>
      <c r="G1030" s="170" t="str">
        <f t="shared" si="2"/>
        <v>QR007&gt;Zula</v>
      </c>
    </row>
    <row r="1031">
      <c r="A1031" s="91">
        <v>1.0</v>
      </c>
      <c r="B1031" s="91" t="s">
        <v>3847</v>
      </c>
      <c r="C1031" s="91" t="s">
        <v>970</v>
      </c>
      <c r="D1031" s="171" t="str">
        <f t="shared" si="1"/>
        <v>atm001</v>
      </c>
      <c r="F1031" s="91" t="s">
        <v>2801</v>
      </c>
      <c r="G1031" s="170" t="str">
        <f t="shared" si="2"/>
        <v>atm001&gt;Akbank (ATM)</v>
      </c>
    </row>
    <row r="1032">
      <c r="A1032" s="91">
        <v>1.0</v>
      </c>
      <c r="B1032" s="91" t="s">
        <v>1657</v>
      </c>
      <c r="C1032" s="91"/>
      <c r="D1032" s="171" t="str">
        <f t="shared" si="1"/>
        <v>Kısmet by Milka</v>
      </c>
      <c r="F1032" s="91" t="s">
        <v>1626</v>
      </c>
      <c r="G1032" s="170" t="str">
        <f t="shared" si="2"/>
        <v>Kısmet by Milka&gt;Funloft</v>
      </c>
    </row>
    <row r="1033">
      <c r="A1033" s="91">
        <v>1.0</v>
      </c>
      <c r="B1033" s="91" t="s">
        <v>527</v>
      </c>
      <c r="C1033" s="91"/>
      <c r="D1033" s="171" t="str">
        <f t="shared" si="1"/>
        <v>L'Occitane</v>
      </c>
      <c r="F1033" s="91" t="s">
        <v>2427</v>
      </c>
      <c r="G1033" s="170" t="str">
        <f t="shared" si="2"/>
        <v>L'Occitane&gt;MAC Mars Athletic Club</v>
      </c>
    </row>
    <row r="1034">
      <c r="A1034" s="91">
        <v>1.0</v>
      </c>
      <c r="B1034" s="91" t="s">
        <v>527</v>
      </c>
      <c r="C1034" s="91"/>
      <c r="D1034" s="171" t="str">
        <f t="shared" si="1"/>
        <v>L'Occitane</v>
      </c>
      <c r="F1034" s="91" t="s">
        <v>3851</v>
      </c>
      <c r="G1034" s="170" t="str">
        <f t="shared" si="2"/>
        <v>L'Occitane&gt;Park Area</v>
      </c>
    </row>
    <row r="1035">
      <c r="A1035" s="91">
        <v>1.0</v>
      </c>
      <c r="B1035" s="91" t="s">
        <v>771</v>
      </c>
      <c r="C1035" s="91"/>
      <c r="D1035" s="171" t="str">
        <f t="shared" si="1"/>
        <v>Lacoste</v>
      </c>
      <c r="F1035" s="91" t="s">
        <v>2843</v>
      </c>
      <c r="G1035" s="170" t="str">
        <f t="shared" si="2"/>
        <v>Lacoste&gt;ATM</v>
      </c>
    </row>
    <row r="1036">
      <c r="A1036" s="91">
        <v>1.0</v>
      </c>
      <c r="B1036" s="91" t="s">
        <v>771</v>
      </c>
      <c r="C1036" s="91"/>
      <c r="D1036" s="171" t="str">
        <f t="shared" si="1"/>
        <v>Lacoste</v>
      </c>
      <c r="F1036" s="91" t="s">
        <v>1337</v>
      </c>
      <c r="G1036" s="170" t="str">
        <f t="shared" si="2"/>
        <v>Lacoste&gt;Godiva</v>
      </c>
    </row>
    <row r="1037">
      <c r="A1037" s="91">
        <v>1.0</v>
      </c>
      <c r="B1037" s="91" t="s">
        <v>771</v>
      </c>
      <c r="C1037" s="91"/>
      <c r="D1037" s="171" t="str">
        <f t="shared" si="1"/>
        <v>Lacoste</v>
      </c>
      <c r="F1037" s="91" t="s">
        <v>630</v>
      </c>
      <c r="G1037" s="170" t="str">
        <f t="shared" si="2"/>
        <v>Lacoste&gt;McDonald's</v>
      </c>
    </row>
    <row r="1038">
      <c r="A1038" s="91">
        <v>1.0</v>
      </c>
      <c r="B1038" s="91" t="s">
        <v>771</v>
      </c>
      <c r="C1038" s="91"/>
      <c r="D1038" s="171" t="str">
        <f t="shared" si="1"/>
        <v>Lacoste</v>
      </c>
      <c r="F1038" s="91" t="s">
        <v>2226</v>
      </c>
      <c r="G1038" s="170" t="str">
        <f t="shared" si="2"/>
        <v>Lacoste&gt;Nev Lokanta Meze</v>
      </c>
    </row>
    <row r="1039">
      <c r="A1039" s="91">
        <v>1.0</v>
      </c>
      <c r="B1039" s="91" t="s">
        <v>771</v>
      </c>
      <c r="C1039" s="91"/>
      <c r="D1039" s="171" t="str">
        <f t="shared" si="1"/>
        <v>Lacoste</v>
      </c>
      <c r="F1039" s="91" t="s">
        <v>658</v>
      </c>
      <c r="G1039" s="170" t="str">
        <f t="shared" si="2"/>
        <v>Lacoste&gt;Pandora</v>
      </c>
    </row>
    <row r="1040">
      <c r="A1040" s="91">
        <v>1.0</v>
      </c>
      <c r="B1040" s="91" t="s">
        <v>771</v>
      </c>
      <c r="C1040" s="91"/>
      <c r="D1040" s="171" t="str">
        <f t="shared" si="1"/>
        <v>Lacoste</v>
      </c>
      <c r="F1040" s="91" t="s">
        <v>3854</v>
      </c>
      <c r="G1040" s="170" t="str">
        <f t="shared" si="2"/>
        <v>Lacoste&gt;Pharmacy</v>
      </c>
    </row>
    <row r="1041">
      <c r="A1041" s="91">
        <v>1.0</v>
      </c>
      <c r="B1041" s="91" t="s">
        <v>771</v>
      </c>
      <c r="C1041" s="91"/>
      <c r="D1041" s="171" t="str">
        <f t="shared" si="1"/>
        <v>Lacoste</v>
      </c>
      <c r="F1041" s="91" t="s">
        <v>181</v>
      </c>
      <c r="G1041" s="170" t="str">
        <f t="shared" si="2"/>
        <v>Lacoste&gt;Starbucks</v>
      </c>
    </row>
    <row r="1042">
      <c r="A1042" s="91">
        <v>1.0</v>
      </c>
      <c r="B1042" s="91" t="s">
        <v>771</v>
      </c>
      <c r="C1042" s="91"/>
      <c r="D1042" s="171" t="str">
        <f t="shared" si="1"/>
        <v>Lacoste</v>
      </c>
      <c r="F1042" s="91" t="s">
        <v>491</v>
      </c>
      <c r="G1042" s="170" t="str">
        <f t="shared" si="2"/>
        <v>Lacoste&gt;Turkcell</v>
      </c>
    </row>
    <row r="1043">
      <c r="A1043" s="91">
        <v>1.0</v>
      </c>
      <c r="B1043" s="91" t="s">
        <v>771</v>
      </c>
      <c r="C1043" s="91"/>
      <c r="D1043" s="171" t="str">
        <f t="shared" si="1"/>
        <v>Lacoste</v>
      </c>
      <c r="F1043" s="91" t="s">
        <v>474</v>
      </c>
      <c r="G1043" s="170" t="str">
        <f t="shared" si="2"/>
        <v>Lacoste&gt;Zara</v>
      </c>
    </row>
    <row r="1044">
      <c r="A1044" s="91">
        <v>1.0</v>
      </c>
      <c r="B1044" s="91" t="s">
        <v>46</v>
      </c>
      <c r="C1044" s="91"/>
      <c r="D1044" s="171" t="str">
        <f t="shared" si="1"/>
        <v>Levent Lostra</v>
      </c>
      <c r="F1044" s="91" t="s">
        <v>549</v>
      </c>
      <c r="G1044" s="170" t="str">
        <f t="shared" si="2"/>
        <v>Levent Lostra&gt;Caffe Nero</v>
      </c>
    </row>
    <row r="1045">
      <c r="A1045" s="91">
        <v>1.0</v>
      </c>
      <c r="B1045" s="91" t="s">
        <v>368</v>
      </c>
      <c r="C1045" s="91"/>
      <c r="D1045" s="171" t="str">
        <f t="shared" si="1"/>
        <v>Levi's</v>
      </c>
      <c r="F1045" s="91" t="s">
        <v>1495</v>
      </c>
      <c r="G1045" s="170" t="str">
        <f t="shared" si="2"/>
        <v>Levi's&gt;Damac</v>
      </c>
    </row>
    <row r="1046">
      <c r="A1046" s="91">
        <v>1.0</v>
      </c>
      <c r="B1046" s="91" t="s">
        <v>368</v>
      </c>
      <c r="C1046" s="91"/>
      <c r="D1046" s="171" t="str">
        <f t="shared" si="1"/>
        <v>Levi's</v>
      </c>
      <c r="F1046" s="91" t="s">
        <v>1603</v>
      </c>
      <c r="G1046" s="170" t="str">
        <f t="shared" si="2"/>
        <v>Levi's&gt;Eataly</v>
      </c>
    </row>
    <row r="1047">
      <c r="A1047" s="91">
        <v>1.0</v>
      </c>
      <c r="B1047" s="91" t="s">
        <v>368</v>
      </c>
      <c r="C1047" s="91"/>
      <c r="D1047" s="171" t="str">
        <f t="shared" si="1"/>
        <v>Levi's</v>
      </c>
      <c r="F1047" s="91" t="s">
        <v>368</v>
      </c>
      <c r="G1047" s="170" t="str">
        <f t="shared" si="2"/>
        <v>Levi's&gt;Levi's</v>
      </c>
    </row>
    <row r="1048">
      <c r="A1048" s="91">
        <v>1.0</v>
      </c>
      <c r="B1048" s="91" t="s">
        <v>368</v>
      </c>
      <c r="C1048" s="91"/>
      <c r="D1048" s="171" t="str">
        <f t="shared" si="1"/>
        <v>Levi's</v>
      </c>
      <c r="F1048" s="91" t="s">
        <v>2427</v>
      </c>
      <c r="G1048" s="170" t="str">
        <f t="shared" si="2"/>
        <v>Levi's&gt;MAC Mars Athletic Club</v>
      </c>
    </row>
    <row r="1049">
      <c r="A1049" s="91">
        <v>1.0</v>
      </c>
      <c r="B1049" s="91" t="s">
        <v>368</v>
      </c>
      <c r="C1049" s="91"/>
      <c r="D1049" s="171" t="str">
        <f t="shared" si="1"/>
        <v>Levi's</v>
      </c>
      <c r="F1049" s="91" t="s">
        <v>326</v>
      </c>
      <c r="G1049" s="170" t="str">
        <f t="shared" si="2"/>
        <v>Levi's&gt;Massimo Dutti</v>
      </c>
    </row>
    <row r="1050">
      <c r="A1050" s="91">
        <v>1.0</v>
      </c>
      <c r="B1050" s="91" t="s">
        <v>368</v>
      </c>
      <c r="C1050" s="91"/>
      <c r="D1050" s="171" t="str">
        <f t="shared" si="1"/>
        <v>Levi's</v>
      </c>
      <c r="F1050" s="91" t="s">
        <v>1228</v>
      </c>
      <c r="G1050" s="170" t="str">
        <f t="shared" si="2"/>
        <v>Levi's&gt;Mer's</v>
      </c>
    </row>
    <row r="1051">
      <c r="A1051" s="91">
        <v>1.0</v>
      </c>
      <c r="B1051" s="91" t="s">
        <v>368</v>
      </c>
      <c r="C1051" s="91"/>
      <c r="D1051" s="171" t="str">
        <f t="shared" si="1"/>
        <v>Levi's</v>
      </c>
      <c r="F1051" s="91" t="s">
        <v>240</v>
      </c>
      <c r="G1051" s="170" t="str">
        <f t="shared" si="2"/>
        <v>Levi's&gt;Nike by Levazım</v>
      </c>
    </row>
    <row r="1052">
      <c r="A1052" s="91">
        <v>1.0</v>
      </c>
      <c r="B1052" s="91" t="s">
        <v>368</v>
      </c>
      <c r="C1052" s="91"/>
      <c r="D1052" s="171" t="str">
        <f t="shared" si="1"/>
        <v>Levi's</v>
      </c>
      <c r="F1052" s="91" t="s">
        <v>2917</v>
      </c>
      <c r="G1052" s="170" t="str">
        <f t="shared" si="2"/>
        <v>Levi's&gt;Otopark</v>
      </c>
    </row>
    <row r="1053">
      <c r="A1053" s="91">
        <v>1.0</v>
      </c>
      <c r="B1053" s="91" t="s">
        <v>1530</v>
      </c>
      <c r="C1053" s="91"/>
      <c r="D1053" s="171" t="str">
        <f t="shared" si="1"/>
        <v>Linens</v>
      </c>
      <c r="F1053" s="91" t="s">
        <v>2249</v>
      </c>
      <c r="G1053" s="170" t="str">
        <f t="shared" si="2"/>
        <v>Linens&gt;KFC</v>
      </c>
    </row>
    <row r="1054">
      <c r="A1054" s="91">
        <v>1.0</v>
      </c>
      <c r="B1054" s="91" t="s">
        <v>1530</v>
      </c>
      <c r="C1054" s="91"/>
      <c r="D1054" s="171" t="str">
        <f t="shared" si="1"/>
        <v>Linens</v>
      </c>
      <c r="F1054" s="91" t="s">
        <v>2870</v>
      </c>
      <c r="G1054" s="170" t="str">
        <f t="shared" si="2"/>
        <v>Linens&gt;Mescit</v>
      </c>
    </row>
    <row r="1055">
      <c r="A1055" s="91">
        <v>1.0</v>
      </c>
      <c r="B1055" s="91" t="s">
        <v>1530</v>
      </c>
      <c r="C1055" s="91"/>
      <c r="D1055" s="171" t="str">
        <f t="shared" si="1"/>
        <v>Linens</v>
      </c>
      <c r="F1055" s="91" t="s">
        <v>563</v>
      </c>
      <c r="G1055" s="170" t="str">
        <f t="shared" si="2"/>
        <v>Linens&gt;Popeyes</v>
      </c>
    </row>
    <row r="1056">
      <c r="A1056" s="91">
        <v>1.0</v>
      </c>
      <c r="B1056" s="91" t="s">
        <v>1530</v>
      </c>
      <c r="C1056" s="91"/>
      <c r="D1056" s="171" t="str">
        <f t="shared" si="1"/>
        <v>Linens</v>
      </c>
      <c r="F1056" s="91" t="s">
        <v>2325</v>
      </c>
      <c r="G1056" s="170" t="str">
        <f t="shared" si="2"/>
        <v>Linens&gt;Superstep</v>
      </c>
    </row>
    <row r="1057">
      <c r="A1057" s="91">
        <v>1.0</v>
      </c>
      <c r="B1057" s="91" t="s">
        <v>1530</v>
      </c>
      <c r="C1057" s="91"/>
      <c r="D1057" s="171" t="str">
        <f t="shared" si="1"/>
        <v>Linens</v>
      </c>
      <c r="F1057" s="91" t="s">
        <v>2858</v>
      </c>
      <c r="G1057" s="170" t="str">
        <f t="shared" si="2"/>
        <v>Linens&gt;Türkiye İş Bankası (ATM)</v>
      </c>
    </row>
    <row r="1058">
      <c r="A1058" s="91">
        <v>1.0</v>
      </c>
      <c r="B1058" s="91" t="s">
        <v>1530</v>
      </c>
      <c r="C1058" s="91"/>
      <c r="D1058" s="171" t="str">
        <f t="shared" si="1"/>
        <v>Linens</v>
      </c>
      <c r="F1058" s="91" t="s">
        <v>1692</v>
      </c>
      <c r="G1058" s="170" t="str">
        <f t="shared" si="2"/>
        <v>Linens&gt;Voi Coffee Company</v>
      </c>
    </row>
    <row r="1059">
      <c r="A1059" s="91">
        <v>1.0</v>
      </c>
      <c r="B1059" s="91" t="s">
        <v>1530</v>
      </c>
      <c r="C1059" s="91"/>
      <c r="D1059" s="171" t="str">
        <f t="shared" si="1"/>
        <v>Linens</v>
      </c>
      <c r="F1059" s="91" t="s">
        <v>1009</v>
      </c>
      <c r="G1059" s="170" t="str">
        <f t="shared" si="2"/>
        <v>Linens&gt;Welldone</v>
      </c>
    </row>
    <row r="1060">
      <c r="A1060" s="91">
        <v>1.0</v>
      </c>
      <c r="B1060" s="91" t="s">
        <v>1530</v>
      </c>
      <c r="C1060" s="91"/>
      <c r="D1060" s="171" t="str">
        <f t="shared" si="1"/>
        <v>Linens</v>
      </c>
      <c r="F1060" s="91" t="s">
        <v>871</v>
      </c>
      <c r="G1060" s="170" t="str">
        <f t="shared" si="2"/>
        <v>Linens&gt;Zara Home</v>
      </c>
    </row>
    <row r="1061">
      <c r="A1061" s="91">
        <v>1.0</v>
      </c>
      <c r="B1061" s="91" t="s">
        <v>1278</v>
      </c>
      <c r="C1061" s="91"/>
      <c r="D1061" s="171" t="str">
        <f t="shared" si="1"/>
        <v>Louis Vuitton</v>
      </c>
      <c r="F1061" s="91" t="s">
        <v>3161</v>
      </c>
      <c r="G1061" s="170" t="str">
        <f t="shared" si="2"/>
        <v>Louis Vuitton&gt;Akbank (Branch)</v>
      </c>
    </row>
    <row r="1062">
      <c r="A1062" s="91">
        <v>1.0</v>
      </c>
      <c r="B1062" s="91" t="s">
        <v>1278</v>
      </c>
      <c r="C1062" s="91"/>
      <c r="D1062" s="171" t="str">
        <f t="shared" si="1"/>
        <v>Louis Vuitton</v>
      </c>
      <c r="F1062" s="91" t="s">
        <v>1059</v>
      </c>
      <c r="G1062" s="170" t="str">
        <f t="shared" si="2"/>
        <v>Louis Vuitton&gt;BigChefs</v>
      </c>
    </row>
    <row r="1063">
      <c r="A1063" s="91">
        <v>1.0</v>
      </c>
      <c r="B1063" s="91" t="s">
        <v>1278</v>
      </c>
      <c r="C1063" s="91"/>
      <c r="D1063" s="171" t="str">
        <f t="shared" si="1"/>
        <v>Louis Vuitton</v>
      </c>
      <c r="F1063" s="91" t="s">
        <v>1423</v>
      </c>
      <c r="G1063" s="170" t="str">
        <f t="shared" si="2"/>
        <v>Louis Vuitton&gt;Chanel</v>
      </c>
    </row>
    <row r="1064">
      <c r="A1064" s="91">
        <v>1.0</v>
      </c>
      <c r="B1064" s="91" t="s">
        <v>1278</v>
      </c>
      <c r="C1064" s="91"/>
      <c r="D1064" s="171" t="str">
        <f t="shared" si="1"/>
        <v>Louis Vuitton</v>
      </c>
      <c r="F1064" s="91" t="s">
        <v>356</v>
      </c>
      <c r="G1064" s="170" t="str">
        <f t="shared" si="2"/>
        <v>Louis Vuitton&gt;Columbia</v>
      </c>
    </row>
    <row r="1065">
      <c r="A1065" s="91">
        <v>1.0</v>
      </c>
      <c r="B1065" s="91" t="s">
        <v>1278</v>
      </c>
      <c r="C1065" s="91"/>
      <c r="D1065" s="171" t="str">
        <f t="shared" si="1"/>
        <v>Louis Vuitton</v>
      </c>
      <c r="F1065" s="91" t="s">
        <v>2804</v>
      </c>
      <c r="G1065" s="170" t="str">
        <f t="shared" si="2"/>
        <v>Louis Vuitton&gt;Garanti BBVA (ATM)</v>
      </c>
    </row>
    <row r="1066">
      <c r="A1066" s="91">
        <v>1.0</v>
      </c>
      <c r="B1066" s="91" t="s">
        <v>1278</v>
      </c>
      <c r="C1066" s="91"/>
      <c r="D1066" s="171" t="str">
        <f t="shared" si="1"/>
        <v>Louis Vuitton</v>
      </c>
      <c r="F1066" s="91" t="s">
        <v>771</v>
      </c>
      <c r="G1066" s="170" t="str">
        <f t="shared" si="2"/>
        <v>Louis Vuitton&gt;Lacoste</v>
      </c>
    </row>
    <row r="1067">
      <c r="A1067" s="91">
        <v>1.0</v>
      </c>
      <c r="B1067" s="91" t="s">
        <v>1278</v>
      </c>
      <c r="C1067" s="91"/>
      <c r="D1067" s="171" t="str">
        <f t="shared" si="1"/>
        <v>Louis Vuitton</v>
      </c>
      <c r="F1067" s="91" t="s">
        <v>1228</v>
      </c>
      <c r="G1067" s="170" t="str">
        <f t="shared" si="2"/>
        <v>Louis Vuitton&gt;Mer's</v>
      </c>
    </row>
    <row r="1068">
      <c r="A1068" s="91">
        <v>1.0</v>
      </c>
      <c r="B1068" s="91" t="s">
        <v>1278</v>
      </c>
      <c r="C1068" s="91"/>
      <c r="D1068" s="171" t="str">
        <f t="shared" si="1"/>
        <v>Louis Vuitton</v>
      </c>
      <c r="F1068" s="91" t="s">
        <v>503</v>
      </c>
      <c r="G1068" s="170" t="str">
        <f t="shared" si="2"/>
        <v>Louis Vuitton&gt;Plus Kitchen</v>
      </c>
    </row>
    <row r="1069">
      <c r="A1069" s="91">
        <v>1.0</v>
      </c>
      <c r="B1069" s="91" t="s">
        <v>1278</v>
      </c>
      <c r="C1069" s="91"/>
      <c r="D1069" s="171" t="str">
        <f t="shared" si="1"/>
        <v>Louis Vuitton</v>
      </c>
      <c r="F1069" s="91" t="s">
        <v>2065</v>
      </c>
      <c r="G1069" s="170" t="str">
        <f t="shared" si="2"/>
        <v>Louis Vuitton&gt;Saint Laurent</v>
      </c>
    </row>
    <row r="1070">
      <c r="A1070" s="91">
        <v>1.0</v>
      </c>
      <c r="B1070" s="91" t="s">
        <v>1278</v>
      </c>
      <c r="C1070" s="91"/>
      <c r="D1070" s="171" t="str">
        <f t="shared" si="1"/>
        <v>Louis Vuitton</v>
      </c>
      <c r="F1070" s="91" t="s">
        <v>1053</v>
      </c>
      <c r="G1070" s="170" t="str">
        <f t="shared" si="2"/>
        <v>Louis Vuitton&gt;Valentino</v>
      </c>
    </row>
    <row r="1071">
      <c r="A1071" s="91">
        <v>1.0</v>
      </c>
      <c r="B1071" s="91" t="s">
        <v>1278</v>
      </c>
      <c r="C1071" s="91"/>
      <c r="D1071" s="171" t="str">
        <f t="shared" si="1"/>
        <v>Louis Vuitton</v>
      </c>
      <c r="F1071" s="91" t="s">
        <v>3680</v>
      </c>
      <c r="G1071" s="170" t="str">
        <f t="shared" si="2"/>
        <v>Louis Vuitton&gt;Zorlu PSM Bosphorus Floor</v>
      </c>
    </row>
    <row r="1072">
      <c r="A1072" s="91">
        <v>1.0</v>
      </c>
      <c r="B1072" s="91" t="s">
        <v>1278</v>
      </c>
      <c r="C1072" s="91"/>
      <c r="D1072" s="171" t="str">
        <f t="shared" si="1"/>
        <v>Louis Vuitton</v>
      </c>
      <c r="F1072" s="91" t="s">
        <v>1668</v>
      </c>
      <c r="G1072" s="170" t="str">
        <f t="shared" si="2"/>
        <v>Louis Vuitton&gt;Zula</v>
      </c>
    </row>
    <row r="1073">
      <c r="A1073" s="91">
        <v>1.0</v>
      </c>
      <c r="B1073" s="91" t="s">
        <v>309</v>
      </c>
      <c r="C1073" s="91"/>
      <c r="D1073" s="171" t="str">
        <f t="shared" si="1"/>
        <v>MAC</v>
      </c>
      <c r="F1073" s="91" t="s">
        <v>1536</v>
      </c>
      <c r="G1073" s="170" t="str">
        <f t="shared" si="2"/>
        <v>MAC&gt;Macrocenter</v>
      </c>
    </row>
    <row r="1074">
      <c r="A1074" s="91">
        <v>1.0</v>
      </c>
      <c r="B1074" s="91" t="s">
        <v>309</v>
      </c>
      <c r="C1074" s="91"/>
      <c r="D1074" s="171" t="str">
        <f t="shared" si="1"/>
        <v>MAC</v>
      </c>
      <c r="F1074" s="91" t="s">
        <v>94</v>
      </c>
      <c r="G1074" s="170" t="str">
        <f t="shared" si="2"/>
        <v>MAC&gt;MediaMarkt</v>
      </c>
    </row>
    <row r="1075">
      <c r="A1075" s="91">
        <v>1.0</v>
      </c>
      <c r="B1075" s="91" t="s">
        <v>309</v>
      </c>
      <c r="C1075" s="91"/>
      <c r="D1075" s="171" t="str">
        <f t="shared" si="1"/>
        <v>MAC</v>
      </c>
      <c r="F1075" s="91" t="s">
        <v>1380</v>
      </c>
      <c r="G1075" s="170" t="str">
        <f t="shared" si="2"/>
        <v>MAC&gt;Nespresso</v>
      </c>
    </row>
    <row r="1076">
      <c r="A1076" s="91">
        <v>1.0</v>
      </c>
      <c r="B1076" s="91" t="s">
        <v>309</v>
      </c>
      <c r="C1076" s="91"/>
      <c r="D1076" s="171" t="str">
        <f t="shared" si="1"/>
        <v>MAC</v>
      </c>
      <c r="F1076" s="91" t="s">
        <v>485</v>
      </c>
      <c r="G1076" s="170" t="str">
        <f t="shared" si="2"/>
        <v>MAC&gt;Watsons</v>
      </c>
    </row>
    <row r="1077">
      <c r="A1077" s="91">
        <v>1.0</v>
      </c>
      <c r="B1077" s="91" t="s">
        <v>309</v>
      </c>
      <c r="C1077" s="91"/>
      <c r="D1077" s="171" t="str">
        <f t="shared" si="1"/>
        <v>MAC</v>
      </c>
      <c r="F1077" s="91" t="s">
        <v>474</v>
      </c>
      <c r="G1077" s="170" t="str">
        <f t="shared" si="2"/>
        <v>MAC&gt;Zara</v>
      </c>
    </row>
    <row r="1078">
      <c r="A1078" s="91">
        <v>1.0</v>
      </c>
      <c r="B1078" s="91" t="s">
        <v>1696</v>
      </c>
      <c r="C1078" s="91"/>
      <c r="D1078" s="171" t="str">
        <f t="shared" si="1"/>
        <v>MOC</v>
      </c>
      <c r="F1078" s="91" t="s">
        <v>1380</v>
      </c>
      <c r="G1078" s="170" t="str">
        <f t="shared" si="2"/>
        <v>MOC&gt;Nespresso</v>
      </c>
    </row>
    <row r="1079">
      <c r="A1079" s="91">
        <v>1.0</v>
      </c>
      <c r="B1079" s="91" t="s">
        <v>1696</v>
      </c>
      <c r="C1079" s="91"/>
      <c r="D1079" s="171" t="str">
        <f t="shared" si="1"/>
        <v>MOC</v>
      </c>
      <c r="F1079" s="91" t="s">
        <v>2989</v>
      </c>
      <c r="G1079" s="170" t="str">
        <f t="shared" si="2"/>
        <v>MOC&gt;Zorlu PSM Boğaz Katı</v>
      </c>
    </row>
    <row r="1080">
      <c r="A1080" s="91">
        <v>1.0</v>
      </c>
      <c r="B1080" s="91" t="s">
        <v>716</v>
      </c>
      <c r="C1080" s="91"/>
      <c r="D1080" s="171" t="str">
        <f t="shared" si="1"/>
        <v>Machka</v>
      </c>
      <c r="F1080" s="91" t="s">
        <v>474</v>
      </c>
      <c r="G1080" s="170" t="str">
        <f t="shared" si="2"/>
        <v>Machka&gt;Zara</v>
      </c>
    </row>
    <row r="1081">
      <c r="A1081" s="91">
        <v>1.0</v>
      </c>
      <c r="B1081" s="91" t="s">
        <v>1536</v>
      </c>
      <c r="C1081" s="91"/>
      <c r="D1081" s="171" t="str">
        <f t="shared" si="1"/>
        <v>Macrocenter</v>
      </c>
      <c r="F1081" s="91" t="s">
        <v>3454</v>
      </c>
      <c r="G1081" s="170" t="str">
        <f t="shared" si="2"/>
        <v>Macrocenter&gt;Entrance Metro Floor</v>
      </c>
    </row>
    <row r="1082">
      <c r="A1082" s="91">
        <v>1.0</v>
      </c>
      <c r="B1082" s="91" t="s">
        <v>1536</v>
      </c>
      <c r="C1082" s="91"/>
      <c r="D1082" s="171" t="str">
        <f t="shared" si="1"/>
        <v>Macrocenter</v>
      </c>
      <c r="F1082" s="91" t="s">
        <v>1626</v>
      </c>
      <c r="G1082" s="170" t="str">
        <f t="shared" si="2"/>
        <v>Macrocenter&gt;Funloft</v>
      </c>
    </row>
    <row r="1083">
      <c r="A1083" s="91">
        <v>1.0</v>
      </c>
      <c r="B1083" s="91" t="s">
        <v>1536</v>
      </c>
      <c r="C1083" s="91"/>
      <c r="D1083" s="171" t="str">
        <f t="shared" si="1"/>
        <v>Macrocenter</v>
      </c>
      <c r="F1083" s="91" t="s">
        <v>2266</v>
      </c>
      <c r="G1083" s="170" t="str">
        <f t="shared" si="2"/>
        <v>Macrocenter&gt;Kafe Vesto</v>
      </c>
    </row>
    <row r="1084">
      <c r="A1084" s="91">
        <v>1.0</v>
      </c>
      <c r="B1084" s="91" t="s">
        <v>1536</v>
      </c>
      <c r="C1084" s="91"/>
      <c r="D1084" s="171" t="str">
        <f t="shared" si="1"/>
        <v>Macrocenter</v>
      </c>
      <c r="F1084" s="91" t="s">
        <v>597</v>
      </c>
      <c r="G1084" s="170" t="str">
        <f t="shared" si="2"/>
        <v>Macrocenter&gt;Pidem</v>
      </c>
    </row>
    <row r="1085">
      <c r="A1085" s="91">
        <v>1.0</v>
      </c>
      <c r="B1085" s="91" t="s">
        <v>1536</v>
      </c>
      <c r="C1085" s="91"/>
      <c r="D1085" s="171" t="str">
        <f t="shared" si="1"/>
        <v>Macrocenter</v>
      </c>
      <c r="F1085" s="91" t="s">
        <v>3849</v>
      </c>
      <c r="G1085" s="170" t="str">
        <f t="shared" si="2"/>
        <v>Macrocenter&gt;Prayer Room</v>
      </c>
    </row>
    <row r="1086">
      <c r="A1086" s="91">
        <v>1.0</v>
      </c>
      <c r="B1086" s="91" t="s">
        <v>1536</v>
      </c>
      <c r="C1086" s="91"/>
      <c r="D1086" s="171" t="str">
        <f t="shared" si="1"/>
        <v>Macrocenter</v>
      </c>
      <c r="F1086" s="91" t="s">
        <v>1668</v>
      </c>
      <c r="G1086" s="170" t="str">
        <f t="shared" si="2"/>
        <v>Macrocenter&gt;Zula</v>
      </c>
    </row>
    <row r="1087">
      <c r="A1087" s="91">
        <v>1.0</v>
      </c>
      <c r="B1087" s="91" t="s">
        <v>315</v>
      </c>
      <c r="C1087" s="91"/>
      <c r="D1087" s="171" t="str">
        <f t="shared" si="1"/>
        <v>Mango</v>
      </c>
      <c r="F1087" s="91" t="s">
        <v>752</v>
      </c>
      <c r="G1087" s="170" t="str">
        <f t="shared" si="2"/>
        <v>Mango&gt;Beymen Club</v>
      </c>
    </row>
    <row r="1088">
      <c r="A1088" s="91">
        <v>1.0</v>
      </c>
      <c r="B1088" s="91" t="s">
        <v>315</v>
      </c>
      <c r="C1088" s="91"/>
      <c r="D1088" s="171" t="str">
        <f t="shared" si="1"/>
        <v>Mango</v>
      </c>
      <c r="F1088" s="91" t="s">
        <v>1708</v>
      </c>
      <c r="G1088" s="170" t="str">
        <f t="shared" si="2"/>
        <v>Mango&gt;Chakra</v>
      </c>
    </row>
    <row r="1089">
      <c r="A1089" s="91">
        <v>1.0</v>
      </c>
      <c r="B1089" s="91" t="s">
        <v>315</v>
      </c>
      <c r="C1089" s="91"/>
      <c r="D1089" s="171" t="str">
        <f t="shared" si="1"/>
        <v>Mango</v>
      </c>
      <c r="F1089" s="91" t="s">
        <v>267</v>
      </c>
      <c r="G1089" s="170" t="str">
        <f t="shared" si="2"/>
        <v>Mango&gt;H&amp;M</v>
      </c>
    </row>
    <row r="1090">
      <c r="A1090" s="91">
        <v>1.0</v>
      </c>
      <c r="B1090" s="91" t="s">
        <v>315</v>
      </c>
      <c r="C1090" s="91"/>
      <c r="D1090" s="171" t="str">
        <f t="shared" si="1"/>
        <v>Mango</v>
      </c>
      <c r="F1090" s="91" t="s">
        <v>2427</v>
      </c>
      <c r="G1090" s="170" t="str">
        <f t="shared" si="2"/>
        <v>Mango&gt;MAC Mars Athletic Club</v>
      </c>
    </row>
    <row r="1091">
      <c r="A1091" s="91">
        <v>1.0</v>
      </c>
      <c r="B1091" s="91" t="s">
        <v>315</v>
      </c>
      <c r="C1091" s="91"/>
      <c r="D1091" s="171" t="str">
        <f t="shared" si="1"/>
        <v>Mango</v>
      </c>
      <c r="F1091" s="91" t="s">
        <v>1536</v>
      </c>
      <c r="G1091" s="170" t="str">
        <f t="shared" si="2"/>
        <v>Mango&gt;Macrocenter</v>
      </c>
    </row>
    <row r="1092">
      <c r="A1092" s="91">
        <v>1.0</v>
      </c>
      <c r="B1092" s="91" t="s">
        <v>315</v>
      </c>
      <c r="C1092" s="91"/>
      <c r="D1092" s="171" t="str">
        <f t="shared" si="1"/>
        <v>Mango</v>
      </c>
      <c r="F1092" s="91" t="s">
        <v>315</v>
      </c>
      <c r="G1092" s="170" t="str">
        <f t="shared" si="2"/>
        <v>Mango&gt;Mango</v>
      </c>
    </row>
    <row r="1093">
      <c r="A1093" s="91">
        <v>1.0</v>
      </c>
      <c r="B1093" s="91" t="s">
        <v>315</v>
      </c>
      <c r="C1093" s="91"/>
      <c r="D1093" s="171" t="str">
        <f t="shared" si="1"/>
        <v>Mango</v>
      </c>
      <c r="F1093" s="91" t="s">
        <v>3071</v>
      </c>
      <c r="G1093" s="170" t="str">
        <f t="shared" si="2"/>
        <v>Mango&gt;Otopark Giriş Levazım</v>
      </c>
    </row>
    <row r="1094">
      <c r="A1094" s="91">
        <v>1.0</v>
      </c>
      <c r="B1094" s="91" t="s">
        <v>315</v>
      </c>
      <c r="C1094" s="91"/>
      <c r="D1094" s="171" t="str">
        <f t="shared" si="1"/>
        <v>Mango</v>
      </c>
      <c r="F1094" s="91" t="s">
        <v>711</v>
      </c>
      <c r="G1094" s="170" t="str">
        <f t="shared" si="2"/>
        <v>Mango&gt;Pinko</v>
      </c>
    </row>
    <row r="1095">
      <c r="A1095" s="91">
        <v>1.0</v>
      </c>
      <c r="B1095" s="91" t="s">
        <v>315</v>
      </c>
      <c r="C1095" s="91"/>
      <c r="D1095" s="171" t="str">
        <f t="shared" si="1"/>
        <v>Mango</v>
      </c>
      <c r="F1095" s="91" t="s">
        <v>3065</v>
      </c>
      <c r="G1095" s="170" t="str">
        <f t="shared" si="2"/>
        <v>Mango&gt;Subway Metrobus</v>
      </c>
    </row>
    <row r="1096">
      <c r="A1096" s="91">
        <v>1.0</v>
      </c>
      <c r="B1096" s="91" t="s">
        <v>315</v>
      </c>
      <c r="C1096" s="91"/>
      <c r="D1096" s="171" t="str">
        <f t="shared" si="1"/>
        <v>Mango</v>
      </c>
      <c r="F1096" s="91" t="s">
        <v>250</v>
      </c>
      <c r="G1096" s="170" t="str">
        <f t="shared" si="2"/>
        <v>Mango&gt;Victoria's Secret</v>
      </c>
    </row>
    <row r="1097">
      <c r="A1097" s="91">
        <v>1.0</v>
      </c>
      <c r="B1097" s="91" t="s">
        <v>315</v>
      </c>
      <c r="C1097" s="91"/>
      <c r="D1097" s="171" t="str">
        <f t="shared" si="1"/>
        <v>Mango</v>
      </c>
      <c r="F1097" s="91" t="s">
        <v>1692</v>
      </c>
      <c r="G1097" s="170" t="str">
        <f t="shared" si="2"/>
        <v>Mango&gt;Voi Coffee Company</v>
      </c>
    </row>
    <row r="1098">
      <c r="A1098" s="91">
        <v>1.0</v>
      </c>
      <c r="B1098" s="91" t="s">
        <v>315</v>
      </c>
      <c r="C1098" s="91"/>
      <c r="D1098" s="171" t="str">
        <f t="shared" si="1"/>
        <v>Mango</v>
      </c>
      <c r="F1098" s="91" t="s">
        <v>485</v>
      </c>
      <c r="G1098" s="170" t="str">
        <f t="shared" si="2"/>
        <v>Mango&gt;Watsons</v>
      </c>
    </row>
    <row r="1099">
      <c r="A1099" s="91">
        <v>1.0</v>
      </c>
      <c r="B1099" s="91" t="s">
        <v>788</v>
      </c>
      <c r="C1099" s="91"/>
      <c r="D1099" s="171" t="str">
        <f t="shared" si="1"/>
        <v>Mapa</v>
      </c>
      <c r="F1099" s="91" t="s">
        <v>1603</v>
      </c>
      <c r="G1099" s="170" t="str">
        <f t="shared" si="2"/>
        <v>Mapa&gt;Eataly</v>
      </c>
    </row>
    <row r="1100">
      <c r="A1100" s="91">
        <v>1.0</v>
      </c>
      <c r="B1100" s="91" t="s">
        <v>788</v>
      </c>
      <c r="C1100" s="91"/>
      <c r="D1100" s="171" t="str">
        <f t="shared" si="1"/>
        <v>Mapa</v>
      </c>
      <c r="F1100" s="91" t="s">
        <v>1696</v>
      </c>
      <c r="G1100" s="170" t="str">
        <f t="shared" si="2"/>
        <v>Mapa&gt;MOC</v>
      </c>
    </row>
    <row r="1101">
      <c r="A1101" s="91">
        <v>1.0</v>
      </c>
      <c r="B1101" s="91" t="s">
        <v>788</v>
      </c>
      <c r="C1101" s="91"/>
      <c r="D1101" s="171" t="str">
        <f t="shared" si="1"/>
        <v>Mapa</v>
      </c>
      <c r="F1101" s="91" t="s">
        <v>181</v>
      </c>
      <c r="G1101" s="170" t="str">
        <f t="shared" si="2"/>
        <v>Mapa&gt;Starbucks</v>
      </c>
    </row>
    <row r="1102">
      <c r="A1102" s="91">
        <v>1.0</v>
      </c>
      <c r="B1102" s="91" t="s">
        <v>326</v>
      </c>
      <c r="C1102" s="91"/>
      <c r="D1102" s="171" t="str">
        <f t="shared" si="1"/>
        <v>Massimo Dutti</v>
      </c>
      <c r="F1102" s="91" t="s">
        <v>362</v>
      </c>
      <c r="G1102" s="170" t="str">
        <f t="shared" si="2"/>
        <v>Massimo Dutti&gt;B&amp;G Store</v>
      </c>
    </row>
    <row r="1103">
      <c r="A1103" s="91">
        <v>1.0</v>
      </c>
      <c r="B1103" s="91" t="s">
        <v>326</v>
      </c>
      <c r="C1103" s="91"/>
      <c r="D1103" s="171" t="str">
        <f t="shared" si="1"/>
        <v>Massimo Dutti</v>
      </c>
      <c r="F1103" s="91" t="s">
        <v>1325</v>
      </c>
      <c r="G1103" s="170" t="str">
        <f t="shared" si="2"/>
        <v>Massimo Dutti&gt;Balmain</v>
      </c>
    </row>
    <row r="1104">
      <c r="A1104" s="91">
        <v>1.0</v>
      </c>
      <c r="B1104" s="91" t="s">
        <v>326</v>
      </c>
      <c r="C1104" s="91"/>
      <c r="D1104" s="171" t="str">
        <f t="shared" si="1"/>
        <v>Massimo Dutti</v>
      </c>
      <c r="F1104" s="91" t="s">
        <v>368</v>
      </c>
      <c r="G1104" s="170" t="str">
        <f t="shared" si="2"/>
        <v>Massimo Dutti&gt;Levi's</v>
      </c>
    </row>
    <row r="1105">
      <c r="A1105" s="91">
        <v>1.0</v>
      </c>
      <c r="B1105" s="91" t="s">
        <v>326</v>
      </c>
      <c r="C1105" s="91"/>
      <c r="D1105" s="171" t="str">
        <f t="shared" si="1"/>
        <v>Massimo Dutti</v>
      </c>
      <c r="F1105" s="91" t="s">
        <v>3783</v>
      </c>
      <c r="G1105" s="170" t="str">
        <f t="shared" si="2"/>
        <v>Massimo Dutti&gt;PSM</v>
      </c>
    </row>
    <row r="1106">
      <c r="A1106" s="91">
        <v>1.0</v>
      </c>
      <c r="B1106" s="91" t="s">
        <v>326</v>
      </c>
      <c r="C1106" s="91"/>
      <c r="D1106" s="171" t="str">
        <f t="shared" si="1"/>
        <v>Massimo Dutti</v>
      </c>
      <c r="F1106" s="91" t="s">
        <v>1296</v>
      </c>
      <c r="G1106" s="170" t="str">
        <f t="shared" si="2"/>
        <v>Massimo Dutti&gt;Parle</v>
      </c>
    </row>
    <row r="1107">
      <c r="A1107" s="91">
        <v>1.0</v>
      </c>
      <c r="B1107" s="91" t="s">
        <v>326</v>
      </c>
      <c r="C1107" s="91"/>
      <c r="D1107" s="171" t="str">
        <f t="shared" si="1"/>
        <v>Massimo Dutti</v>
      </c>
      <c r="F1107" s="91" t="s">
        <v>485</v>
      </c>
      <c r="G1107" s="170" t="str">
        <f t="shared" si="2"/>
        <v>Massimo Dutti&gt;Watsons</v>
      </c>
    </row>
    <row r="1108">
      <c r="A1108" s="91">
        <v>1.0</v>
      </c>
      <c r="B1108" s="91" t="s">
        <v>326</v>
      </c>
      <c r="C1108" s="91"/>
      <c r="D1108" s="171" t="str">
        <f t="shared" si="1"/>
        <v>Massimo Dutti</v>
      </c>
      <c r="F1108" s="91" t="s">
        <v>474</v>
      </c>
      <c r="G1108" s="170" t="str">
        <f t="shared" si="2"/>
        <v>Massimo Dutti&gt;Zara</v>
      </c>
    </row>
    <row r="1109">
      <c r="A1109" s="91">
        <v>1.0</v>
      </c>
      <c r="B1109" s="91" t="s">
        <v>326</v>
      </c>
      <c r="C1109" s="91"/>
      <c r="D1109" s="171" t="str">
        <f t="shared" si="1"/>
        <v>Massimo Dutti</v>
      </c>
      <c r="F1109" s="91" t="s">
        <v>1668</v>
      </c>
      <c r="G1109" s="170" t="str">
        <f t="shared" si="2"/>
        <v>Massimo Dutti&gt;Zula</v>
      </c>
    </row>
    <row r="1110">
      <c r="A1110" s="91">
        <v>1.0</v>
      </c>
      <c r="B1110" s="91" t="s">
        <v>216</v>
      </c>
      <c r="C1110" s="91"/>
      <c r="D1110" s="171" t="str">
        <f t="shared" si="1"/>
        <v>Mavi</v>
      </c>
      <c r="F1110" s="91" t="s">
        <v>94</v>
      </c>
      <c r="G1110" s="170" t="str">
        <f t="shared" si="2"/>
        <v>Mavi&gt;MediaMarkt</v>
      </c>
    </row>
    <row r="1111">
      <c r="A1111" s="91">
        <v>1.0</v>
      </c>
      <c r="B1111" s="91" t="s">
        <v>216</v>
      </c>
      <c r="C1111" s="91"/>
      <c r="D1111" s="171" t="str">
        <f t="shared" si="1"/>
        <v>Mavi</v>
      </c>
      <c r="F1111" s="91" t="s">
        <v>181</v>
      </c>
      <c r="G1111" s="170" t="str">
        <f t="shared" si="2"/>
        <v>Mavi&gt;Starbucks</v>
      </c>
    </row>
    <row r="1112">
      <c r="A1112" s="91">
        <v>1.0</v>
      </c>
      <c r="B1112" s="91" t="s">
        <v>216</v>
      </c>
      <c r="C1112" s="91"/>
      <c r="D1112" s="171" t="str">
        <f t="shared" si="1"/>
        <v>Mavi</v>
      </c>
      <c r="F1112" s="91" t="s">
        <v>3122</v>
      </c>
      <c r="G1112" s="170" t="str">
        <f t="shared" si="2"/>
        <v>Mavi&gt;Zorlu PSM Meydan Katı</v>
      </c>
    </row>
    <row r="1113">
      <c r="A1113" s="91">
        <v>1.0</v>
      </c>
      <c r="B1113" s="91" t="s">
        <v>216</v>
      </c>
      <c r="C1113" s="91"/>
      <c r="D1113" s="171" t="str">
        <f t="shared" si="1"/>
        <v>Mavi</v>
      </c>
      <c r="F1113" s="91" t="s">
        <v>1118</v>
      </c>
      <c r="G1113" s="170" t="str">
        <f t="shared" si="2"/>
        <v>Mavi&gt;Şükrü Dudu Barber’s Club</v>
      </c>
    </row>
    <row r="1114">
      <c r="A1114" s="91">
        <v>1.0</v>
      </c>
      <c r="B1114" s="91" t="s">
        <v>630</v>
      </c>
      <c r="C1114" s="91"/>
      <c r="D1114" s="171" t="str">
        <f t="shared" si="1"/>
        <v>McDonald's</v>
      </c>
      <c r="F1114" s="91" t="s">
        <v>1059</v>
      </c>
      <c r="G1114" s="170" t="str">
        <f t="shared" si="2"/>
        <v>McDonald's&gt;BigChefs</v>
      </c>
    </row>
    <row r="1115">
      <c r="A1115" s="91">
        <v>1.0</v>
      </c>
      <c r="B1115" s="91" t="s">
        <v>630</v>
      </c>
      <c r="C1115" s="91"/>
      <c r="D1115" s="171" t="str">
        <f t="shared" si="1"/>
        <v>McDonald's</v>
      </c>
      <c r="F1115" s="91" t="s">
        <v>1536</v>
      </c>
      <c r="G1115" s="170" t="str">
        <f t="shared" si="2"/>
        <v>McDonald's&gt;Macrocenter</v>
      </c>
    </row>
    <row r="1116">
      <c r="A1116" s="91">
        <v>1.0</v>
      </c>
      <c r="B1116" s="91" t="s">
        <v>630</v>
      </c>
      <c r="C1116" s="91"/>
      <c r="D1116" s="171" t="str">
        <f t="shared" si="1"/>
        <v>McDonald's</v>
      </c>
      <c r="F1116" s="91" t="s">
        <v>173</v>
      </c>
      <c r="G1116" s="170" t="str">
        <f t="shared" si="2"/>
        <v>McDonald's&gt;Skechers</v>
      </c>
    </row>
    <row r="1117">
      <c r="A1117" s="91">
        <v>1.0</v>
      </c>
      <c r="B1117" s="91" t="s">
        <v>630</v>
      </c>
      <c r="C1117" s="91"/>
      <c r="D1117" s="171" t="str">
        <f t="shared" si="1"/>
        <v>McDonald's</v>
      </c>
      <c r="F1117" s="91" t="s">
        <v>2903</v>
      </c>
      <c r="G1117" s="170" t="str">
        <f t="shared" si="2"/>
        <v>McDonald's&gt;Taxi</v>
      </c>
    </row>
    <row r="1118">
      <c r="A1118" s="91">
        <v>1.0</v>
      </c>
      <c r="B1118" s="91" t="s">
        <v>630</v>
      </c>
      <c r="C1118" s="91"/>
      <c r="D1118" s="171" t="str">
        <f t="shared" si="1"/>
        <v>McDonald's</v>
      </c>
      <c r="F1118" s="91" t="s">
        <v>474</v>
      </c>
      <c r="G1118" s="170" t="str">
        <f t="shared" si="2"/>
        <v>McDonald's&gt;Zara</v>
      </c>
    </row>
    <row r="1119">
      <c r="A1119" s="91">
        <v>1.0</v>
      </c>
      <c r="B1119" s="91" t="s">
        <v>3872</v>
      </c>
      <c r="C1119" s="91"/>
      <c r="D1119" s="171" t="str">
        <f t="shared" si="1"/>
        <v>MediaMarkt(Next to Paribu Cineverse)</v>
      </c>
      <c r="F1119" s="91" t="s">
        <v>94</v>
      </c>
      <c r="G1119" s="170" t="str">
        <f t="shared" si="2"/>
        <v>MediaMarkt(Next to Paribu Cineverse)&gt;MediaMarkt</v>
      </c>
    </row>
    <row r="1120">
      <c r="A1120" s="91">
        <v>1.0</v>
      </c>
      <c r="B1120" s="91" t="s">
        <v>3872</v>
      </c>
      <c r="C1120" s="91"/>
      <c r="D1120" s="171" t="str">
        <f t="shared" si="1"/>
        <v>MediaMarkt(Next to Paribu Cineverse)</v>
      </c>
      <c r="F1120" s="91" t="s">
        <v>1542</v>
      </c>
      <c r="G1120" s="170" t="str">
        <f t="shared" si="2"/>
        <v>MediaMarkt(Next to Paribu Cineverse)&gt;Vestel</v>
      </c>
    </row>
    <row r="1121">
      <c r="A1121" s="91">
        <v>1.0</v>
      </c>
      <c r="B1121" s="91" t="s">
        <v>3872</v>
      </c>
      <c r="C1121" s="91"/>
      <c r="D1121" s="171" t="str">
        <f t="shared" si="1"/>
        <v>MediaMarkt(Next to Paribu Cineverse)</v>
      </c>
      <c r="F1121" s="91" t="s">
        <v>108</v>
      </c>
      <c r="G1121" s="170" t="str">
        <f t="shared" si="2"/>
        <v>MediaMarkt(Next to Paribu Cineverse)&gt;Yalçınlar</v>
      </c>
    </row>
    <row r="1122">
      <c r="A1122" s="91">
        <v>1.0</v>
      </c>
      <c r="B1122" s="91" t="s">
        <v>3873</v>
      </c>
      <c r="C1122" s="91"/>
      <c r="D1122" s="171" t="str">
        <f t="shared" si="1"/>
        <v>MediaMarkt(Next to Uranüs)</v>
      </c>
      <c r="F1122" s="91" t="s">
        <v>1423</v>
      </c>
      <c r="G1122" s="170" t="str">
        <f t="shared" si="2"/>
        <v>MediaMarkt(Next to Uranüs)&gt;Chanel</v>
      </c>
    </row>
    <row r="1123">
      <c r="A1123" s="91">
        <v>1.0</v>
      </c>
      <c r="B1123" s="91" t="s">
        <v>3873</v>
      </c>
      <c r="C1123" s="91"/>
      <c r="D1123" s="171" t="str">
        <f t="shared" si="1"/>
        <v>MediaMarkt(Next to Uranüs)</v>
      </c>
      <c r="F1123" s="91" t="s">
        <v>94</v>
      </c>
      <c r="G1123" s="170" t="str">
        <f t="shared" si="2"/>
        <v>MediaMarkt(Next to Uranüs)&gt;MediaMarkt</v>
      </c>
    </row>
    <row r="1124">
      <c r="A1124" s="91">
        <v>1.0</v>
      </c>
      <c r="B1124" s="91" t="s">
        <v>3861</v>
      </c>
      <c r="C1124" s="91"/>
      <c r="D1124" s="171" t="str">
        <f t="shared" si="1"/>
        <v>MediaMarkt(Paribu Cineverse yanı)</v>
      </c>
      <c r="F1124" s="91" t="s">
        <v>2816</v>
      </c>
      <c r="G1124" s="170" t="str">
        <f t="shared" si="2"/>
        <v>MediaMarkt(Paribu Cineverse yanı)&gt;_x0010_0 Pub</v>
      </c>
    </row>
    <row r="1125">
      <c r="A1125" s="91">
        <v>1.0</v>
      </c>
      <c r="B1125" s="91" t="s">
        <v>3861</v>
      </c>
      <c r="C1125" s="91"/>
      <c r="D1125" s="171" t="str">
        <f t="shared" si="1"/>
        <v>MediaMarkt(Paribu Cineverse yanı)</v>
      </c>
      <c r="F1125" s="91" t="s">
        <v>555</v>
      </c>
      <c r="G1125" s="170" t="str">
        <f t="shared" si="2"/>
        <v>MediaMarkt(Paribu Cineverse yanı)&gt;Günaydın Köfte &amp; Döner</v>
      </c>
    </row>
    <row r="1126">
      <c r="A1126" s="91">
        <v>1.0</v>
      </c>
      <c r="B1126" s="91" t="s">
        <v>3861</v>
      </c>
      <c r="C1126" s="91"/>
      <c r="D1126" s="171" t="str">
        <f t="shared" si="1"/>
        <v>MediaMarkt(Paribu Cineverse yanı)</v>
      </c>
      <c r="F1126" s="91" t="s">
        <v>485</v>
      </c>
      <c r="G1126" s="170" t="str">
        <f t="shared" si="2"/>
        <v>MediaMarkt(Paribu Cineverse yanı)&gt;Watsons</v>
      </c>
    </row>
    <row r="1127">
      <c r="A1127" s="91">
        <v>1.0</v>
      </c>
      <c r="B1127" s="91" t="s">
        <v>2277</v>
      </c>
      <c r="C1127" s="91"/>
      <c r="D1127" s="171" t="str">
        <f t="shared" si="1"/>
        <v>Memorial Wellness</v>
      </c>
      <c r="F1127" s="91" t="s">
        <v>3122</v>
      </c>
      <c r="G1127" s="170" t="str">
        <f t="shared" si="2"/>
        <v>Memorial Wellness&gt;Zorlu PSM Meydan Katı</v>
      </c>
    </row>
    <row r="1128">
      <c r="A1128" s="91">
        <v>1.0</v>
      </c>
      <c r="B1128" s="91" t="s">
        <v>2870</v>
      </c>
      <c r="C1128" s="91"/>
      <c r="D1128" s="171" t="str">
        <f t="shared" si="1"/>
        <v>Mescit</v>
      </c>
      <c r="F1128" s="91" t="s">
        <v>399</v>
      </c>
      <c r="G1128" s="170" t="str">
        <f t="shared" si="2"/>
        <v>Mescit&gt;Apple</v>
      </c>
    </row>
    <row r="1129">
      <c r="A1129" s="91">
        <v>1.0</v>
      </c>
      <c r="B1129" s="91" t="s">
        <v>1560</v>
      </c>
      <c r="C1129" s="91"/>
      <c r="D1129" s="171" t="str">
        <f t="shared" si="1"/>
        <v>Miele</v>
      </c>
      <c r="F1129" s="91" t="s">
        <v>1059</v>
      </c>
      <c r="G1129" s="170" t="str">
        <f t="shared" si="2"/>
        <v>Miele&gt;BigChefs</v>
      </c>
    </row>
    <row r="1130">
      <c r="A1130" s="91">
        <v>1.0</v>
      </c>
      <c r="B1130" s="91" t="s">
        <v>1560</v>
      </c>
      <c r="C1130" s="91"/>
      <c r="D1130" s="171" t="str">
        <f t="shared" si="1"/>
        <v>Miele</v>
      </c>
      <c r="F1130" s="91" t="s">
        <v>777</v>
      </c>
      <c r="G1130" s="170" t="str">
        <f t="shared" si="2"/>
        <v>Miele&gt;COS</v>
      </c>
    </row>
    <row r="1131">
      <c r="A1131" s="91">
        <v>1.0</v>
      </c>
      <c r="B1131" s="91" t="s">
        <v>1560</v>
      </c>
      <c r="C1131" s="91"/>
      <c r="D1131" s="171" t="str">
        <f t="shared" si="1"/>
        <v>Miele</v>
      </c>
      <c r="F1131" s="91" t="s">
        <v>1597</v>
      </c>
      <c r="G1131" s="170" t="str">
        <f t="shared" si="2"/>
        <v>Miele&gt;Harman Kardon</v>
      </c>
    </row>
    <row r="1132">
      <c r="A1132" s="91">
        <v>1.0</v>
      </c>
      <c r="B1132" s="91" t="s">
        <v>1560</v>
      </c>
      <c r="C1132" s="91"/>
      <c r="D1132" s="171" t="str">
        <f t="shared" si="1"/>
        <v>Miele</v>
      </c>
      <c r="F1132" s="91" t="s">
        <v>1696</v>
      </c>
      <c r="G1132" s="170" t="str">
        <f t="shared" si="2"/>
        <v>Miele&gt;MOC</v>
      </c>
    </row>
    <row r="1133">
      <c r="A1133" s="91">
        <v>1.0</v>
      </c>
      <c r="B1133" s="91" t="s">
        <v>1560</v>
      </c>
      <c r="C1133" s="91"/>
      <c r="D1133" s="171" t="str">
        <f t="shared" si="1"/>
        <v>Miele</v>
      </c>
      <c r="F1133" s="91" t="s">
        <v>1536</v>
      </c>
      <c r="G1133" s="170" t="str">
        <f t="shared" si="2"/>
        <v>Miele&gt;Macrocenter</v>
      </c>
    </row>
    <row r="1134">
      <c r="A1134" s="91">
        <v>1.0</v>
      </c>
      <c r="B1134" s="91" t="s">
        <v>1560</v>
      </c>
      <c r="C1134" s="91"/>
      <c r="D1134" s="171" t="str">
        <f t="shared" si="1"/>
        <v>Miele</v>
      </c>
      <c r="F1134" s="91" t="s">
        <v>315</v>
      </c>
      <c r="G1134" s="170" t="str">
        <f t="shared" si="2"/>
        <v>Miele&gt;Mango</v>
      </c>
    </row>
    <row r="1135">
      <c r="A1135" s="91">
        <v>1.0</v>
      </c>
      <c r="B1135" s="91" t="s">
        <v>1560</v>
      </c>
      <c r="C1135" s="91"/>
      <c r="D1135" s="171" t="str">
        <f t="shared" si="1"/>
        <v>Miele</v>
      </c>
      <c r="F1135" s="91" t="s">
        <v>94</v>
      </c>
      <c r="G1135" s="170" t="str">
        <f t="shared" si="2"/>
        <v>Miele&gt;MediaMarkt</v>
      </c>
    </row>
    <row r="1136">
      <c r="A1136" s="91">
        <v>1.0</v>
      </c>
      <c r="B1136" s="91" t="s">
        <v>1560</v>
      </c>
      <c r="C1136" s="91"/>
      <c r="D1136" s="171" t="str">
        <f t="shared" si="1"/>
        <v>Miele</v>
      </c>
      <c r="F1136" s="91" t="s">
        <v>3071</v>
      </c>
      <c r="G1136" s="170" t="str">
        <f t="shared" si="2"/>
        <v>Miele&gt;Otopark Giriş Levazım</v>
      </c>
    </row>
    <row r="1137">
      <c r="A1137" s="91">
        <v>1.0</v>
      </c>
      <c r="B1137" s="91" t="s">
        <v>1560</v>
      </c>
      <c r="C1137" s="91"/>
      <c r="D1137" s="171" t="str">
        <f t="shared" si="1"/>
        <v>Miele</v>
      </c>
      <c r="F1137" s="91" t="s">
        <v>181</v>
      </c>
      <c r="G1137" s="170" t="str">
        <f t="shared" si="2"/>
        <v>Miele&gt;Starbucks</v>
      </c>
    </row>
    <row r="1138">
      <c r="A1138" s="91">
        <v>1.0</v>
      </c>
      <c r="B1138" s="91" t="s">
        <v>1560</v>
      </c>
      <c r="C1138" s="91"/>
      <c r="D1138" s="171" t="str">
        <f t="shared" si="1"/>
        <v>Miele</v>
      </c>
      <c r="F1138" s="91" t="s">
        <v>474</v>
      </c>
      <c r="G1138" s="170" t="str">
        <f t="shared" si="2"/>
        <v>Miele&gt;Zara</v>
      </c>
    </row>
    <row r="1139">
      <c r="A1139" s="91">
        <v>1.0</v>
      </c>
      <c r="B1139" s="91" t="s">
        <v>374</v>
      </c>
      <c r="C1139" s="91"/>
      <c r="D1139" s="171" t="str">
        <f t="shared" si="1"/>
        <v>Minycenter Carter’s</v>
      </c>
      <c r="F1139" s="91" t="s">
        <v>1047</v>
      </c>
      <c r="G1139" s="170" t="str">
        <f t="shared" si="2"/>
        <v>Minycenter Carter’s&gt;Rolex</v>
      </c>
    </row>
    <row r="1140">
      <c r="A1140" s="91">
        <v>1.0</v>
      </c>
      <c r="B1140" s="91" t="s">
        <v>374</v>
      </c>
      <c r="C1140" s="91"/>
      <c r="D1140" s="171" t="str">
        <f t="shared" si="1"/>
        <v>Minycenter Carter’s</v>
      </c>
      <c r="F1140" s="91" t="s">
        <v>497</v>
      </c>
      <c r="G1140" s="170" t="str">
        <f t="shared" si="2"/>
        <v>Minycenter Carter’s&gt;Tobacco Shop</v>
      </c>
    </row>
    <row r="1141">
      <c r="A1141" s="91">
        <v>1.0</v>
      </c>
      <c r="B1141" s="91" t="s">
        <v>374</v>
      </c>
      <c r="C1141" s="91"/>
      <c r="D1141" s="171" t="str">
        <f t="shared" si="1"/>
        <v>Minycenter Carter’s</v>
      </c>
      <c r="F1141" s="91" t="s">
        <v>1548</v>
      </c>
      <c r="G1141" s="170" t="str">
        <f t="shared" si="2"/>
        <v>Minycenter Carter’s&gt;Toyzz Shop</v>
      </c>
    </row>
    <row r="1142">
      <c r="A1142" s="91">
        <v>1.0</v>
      </c>
      <c r="B1142" s="91" t="s">
        <v>374</v>
      </c>
      <c r="C1142" s="91"/>
      <c r="D1142" s="171" t="str">
        <f t="shared" si="1"/>
        <v>Minycenter Carter’s</v>
      </c>
      <c r="F1142" s="91" t="s">
        <v>1009</v>
      </c>
      <c r="G1142" s="170" t="str">
        <f t="shared" si="2"/>
        <v>Minycenter Carter’s&gt;Welldone</v>
      </c>
    </row>
    <row r="1143">
      <c r="A1143" s="91">
        <v>1.0</v>
      </c>
      <c r="B1143" s="91" t="s">
        <v>1331</v>
      </c>
      <c r="C1143" s="91"/>
      <c r="D1143" s="171" t="str">
        <f t="shared" si="1"/>
        <v>Miu Miu</v>
      </c>
      <c r="F1143" s="91" t="s">
        <v>1015</v>
      </c>
      <c r="G1143" s="170" t="str">
        <f t="shared" si="2"/>
        <v>Miu Miu&gt;Crossing</v>
      </c>
    </row>
    <row r="1144">
      <c r="A1144" s="91">
        <v>1.0</v>
      </c>
      <c r="B1144" s="91" t="s">
        <v>1331</v>
      </c>
      <c r="C1144" s="91"/>
      <c r="D1144" s="171" t="str">
        <f t="shared" si="1"/>
        <v>Miu Miu</v>
      </c>
      <c r="F1144" s="91" t="s">
        <v>1536</v>
      </c>
      <c r="G1144" s="170" t="str">
        <f t="shared" si="2"/>
        <v>Miu Miu&gt;Macrocenter</v>
      </c>
    </row>
    <row r="1145">
      <c r="A1145" s="91">
        <v>1.0</v>
      </c>
      <c r="B1145" s="91" t="s">
        <v>1141</v>
      </c>
      <c r="C1145" s="91"/>
      <c r="D1145" s="171" t="str">
        <f t="shared" si="1"/>
        <v>Morini</v>
      </c>
      <c r="F1145" s="91" t="s">
        <v>955</v>
      </c>
      <c r="G1145" s="170" t="str">
        <f t="shared" si="2"/>
        <v>Morini&gt;Global Blue (Beymen)</v>
      </c>
    </row>
    <row r="1146">
      <c r="A1146" s="91">
        <v>1.0</v>
      </c>
      <c r="B1146" s="91" t="s">
        <v>2260</v>
      </c>
      <c r="C1146" s="91"/>
      <c r="D1146" s="171" t="str">
        <f t="shared" si="1"/>
        <v>NU</v>
      </c>
      <c r="F1146" s="91" t="s">
        <v>2799</v>
      </c>
      <c r="G1146" s="170" t="str">
        <f t="shared" si="2"/>
        <v>NU&gt;Tax Free Zone (Info Desk)</v>
      </c>
    </row>
    <row r="1147">
      <c r="A1147" s="91">
        <v>1.0</v>
      </c>
      <c r="B1147" s="91" t="s">
        <v>759</v>
      </c>
      <c r="C1147" s="91"/>
      <c r="D1147" s="171" t="str">
        <f t="shared" si="1"/>
        <v>Nautica</v>
      </c>
      <c r="F1147" s="91" t="s">
        <v>549</v>
      </c>
      <c r="G1147" s="170" t="str">
        <f t="shared" si="2"/>
        <v>Nautica&gt;Caffe Nero</v>
      </c>
    </row>
    <row r="1148">
      <c r="A1148" s="91">
        <v>1.0</v>
      </c>
      <c r="B1148" s="91" t="s">
        <v>759</v>
      </c>
      <c r="C1148" s="91"/>
      <c r="D1148" s="171" t="str">
        <f t="shared" si="1"/>
        <v>Nautica</v>
      </c>
      <c r="F1148" s="91" t="s">
        <v>94</v>
      </c>
      <c r="G1148" s="170" t="str">
        <f t="shared" si="2"/>
        <v>Nautica&gt;MediaMarkt</v>
      </c>
    </row>
    <row r="1149">
      <c r="A1149" s="91">
        <v>1.0</v>
      </c>
      <c r="B1149" s="91" t="s">
        <v>759</v>
      </c>
      <c r="C1149" s="91"/>
      <c r="D1149" s="171" t="str">
        <f t="shared" si="1"/>
        <v>Nautica</v>
      </c>
      <c r="F1149" s="91" t="s">
        <v>3849</v>
      </c>
      <c r="G1149" s="170" t="str">
        <f t="shared" si="2"/>
        <v>Nautica&gt;Prayer Room</v>
      </c>
    </row>
    <row r="1150">
      <c r="A1150" s="91">
        <v>1.0</v>
      </c>
      <c r="B1150" s="91" t="s">
        <v>1380</v>
      </c>
      <c r="C1150" s="91"/>
      <c r="D1150" s="171" t="str">
        <f t="shared" si="1"/>
        <v>Nespresso</v>
      </c>
      <c r="F1150" s="91" t="s">
        <v>3852</v>
      </c>
      <c r="G1150" s="170" t="str">
        <f t="shared" si="2"/>
        <v>Nespresso&gt;WC</v>
      </c>
    </row>
    <row r="1151">
      <c r="A1151" s="91">
        <v>1.0</v>
      </c>
      <c r="B1151" s="91" t="s">
        <v>664</v>
      </c>
      <c r="C1151" s="91"/>
      <c r="D1151" s="171" t="str">
        <f t="shared" si="1"/>
        <v>Network</v>
      </c>
      <c r="F1151" s="91" t="s">
        <v>740</v>
      </c>
      <c r="G1151" s="170" t="str">
        <f t="shared" si="2"/>
        <v>Network&gt;Diesel</v>
      </c>
    </row>
    <row r="1152">
      <c r="A1152" s="91">
        <v>1.0</v>
      </c>
      <c r="B1152" s="91" t="s">
        <v>664</v>
      </c>
      <c r="C1152" s="91"/>
      <c r="D1152" s="171" t="str">
        <f t="shared" si="1"/>
        <v>Network</v>
      </c>
      <c r="F1152" s="91" t="s">
        <v>3145</v>
      </c>
      <c r="G1152" s="170" t="str">
        <f t="shared" si="2"/>
        <v>Network&gt;Giriş Levazım</v>
      </c>
    </row>
    <row r="1153">
      <c r="A1153" s="91">
        <v>1.0</v>
      </c>
      <c r="B1153" s="91" t="s">
        <v>664</v>
      </c>
      <c r="C1153" s="91"/>
      <c r="D1153" s="171" t="str">
        <f t="shared" si="1"/>
        <v>Network</v>
      </c>
      <c r="F1153" s="91" t="s">
        <v>94</v>
      </c>
      <c r="G1153" s="170" t="str">
        <f t="shared" si="2"/>
        <v>Network&gt;MediaMarkt</v>
      </c>
    </row>
    <row r="1154">
      <c r="A1154" s="91">
        <v>1.0</v>
      </c>
      <c r="B1154" s="91" t="s">
        <v>664</v>
      </c>
      <c r="C1154" s="91"/>
      <c r="D1154" s="171" t="str">
        <f t="shared" si="1"/>
        <v>Network</v>
      </c>
      <c r="F1154" s="91" t="s">
        <v>1047</v>
      </c>
      <c r="G1154" s="170" t="str">
        <f t="shared" si="2"/>
        <v>Network&gt;Rolex</v>
      </c>
    </row>
    <row r="1155">
      <c r="A1155" s="91">
        <v>1.0</v>
      </c>
      <c r="B1155" s="91" t="s">
        <v>664</v>
      </c>
      <c r="C1155" s="91"/>
      <c r="D1155" s="171" t="str">
        <f t="shared" si="1"/>
        <v>Network</v>
      </c>
      <c r="F1155" s="91" t="s">
        <v>408</v>
      </c>
      <c r="G1155" s="170" t="str">
        <f t="shared" si="2"/>
        <v>Network&gt;Studio</v>
      </c>
    </row>
    <row r="1156">
      <c r="A1156" s="91">
        <v>1.0</v>
      </c>
      <c r="B1156" s="91" t="s">
        <v>664</v>
      </c>
      <c r="C1156" s="91"/>
      <c r="D1156" s="171" t="str">
        <f t="shared" si="1"/>
        <v>Network</v>
      </c>
      <c r="F1156" s="91" t="s">
        <v>2799</v>
      </c>
      <c r="G1156" s="170" t="str">
        <f t="shared" si="2"/>
        <v>Network&gt;Tax Free Zone (Info Desk)</v>
      </c>
    </row>
    <row r="1157">
      <c r="A1157" s="91">
        <v>1.0</v>
      </c>
      <c r="B1157" s="91" t="s">
        <v>664</v>
      </c>
      <c r="C1157" s="91"/>
      <c r="D1157" s="171" t="str">
        <f t="shared" si="1"/>
        <v>Network</v>
      </c>
      <c r="F1157" s="91" t="s">
        <v>413</v>
      </c>
      <c r="G1157" s="170" t="str">
        <f t="shared" si="2"/>
        <v>Network&gt;Tumi</v>
      </c>
    </row>
    <row r="1158">
      <c r="A1158" s="91">
        <v>1.0</v>
      </c>
      <c r="B1158" s="91" t="s">
        <v>664</v>
      </c>
      <c r="C1158" s="91"/>
      <c r="D1158" s="171" t="str">
        <f t="shared" si="1"/>
        <v>Network</v>
      </c>
      <c r="F1158" s="91" t="s">
        <v>3852</v>
      </c>
      <c r="G1158" s="170" t="str">
        <f t="shared" si="2"/>
        <v>Network&gt;WC</v>
      </c>
    </row>
    <row r="1159">
      <c r="A1159" s="91">
        <v>1.0</v>
      </c>
      <c r="B1159" s="91" t="s">
        <v>664</v>
      </c>
      <c r="C1159" s="91"/>
      <c r="D1159" s="171" t="str">
        <f t="shared" si="1"/>
        <v>Network</v>
      </c>
      <c r="F1159" s="91" t="s">
        <v>2989</v>
      </c>
      <c r="G1159" s="170" t="str">
        <f t="shared" si="2"/>
        <v>Network&gt;Zorlu PSM Boğaz Katı</v>
      </c>
    </row>
    <row r="1160">
      <c r="A1160" s="91">
        <v>1.0</v>
      </c>
      <c r="B1160" s="91" t="s">
        <v>240</v>
      </c>
      <c r="C1160" s="91"/>
      <c r="D1160" s="171" t="str">
        <f t="shared" si="1"/>
        <v>Nike by Levazım</v>
      </c>
      <c r="F1160" s="91" t="s">
        <v>474</v>
      </c>
      <c r="G1160" s="170" t="str">
        <f t="shared" si="2"/>
        <v>Nike by Levazım&gt;Zara</v>
      </c>
    </row>
    <row r="1161">
      <c r="A1161" s="91">
        <v>1.0</v>
      </c>
      <c r="B1161" s="91" t="s">
        <v>927</v>
      </c>
      <c r="C1161" s="91"/>
      <c r="D1161" s="171" t="str">
        <f t="shared" si="1"/>
        <v>Odaş Elektrik</v>
      </c>
      <c r="F1161" s="91" t="s">
        <v>927</v>
      </c>
      <c r="G1161" s="170" t="str">
        <f t="shared" si="2"/>
        <v>Odaş Elektrik&gt;Odaş Elektrik</v>
      </c>
    </row>
    <row r="1162">
      <c r="A1162" s="91">
        <v>1.0</v>
      </c>
      <c r="B1162" s="91" t="s">
        <v>3783</v>
      </c>
      <c r="C1162" s="91"/>
      <c r="D1162" s="171" t="str">
        <f t="shared" si="1"/>
        <v>PSM</v>
      </c>
      <c r="F1162" s="91" t="s">
        <v>3783</v>
      </c>
      <c r="G1162" s="170" t="str">
        <f t="shared" si="2"/>
        <v>PSM&gt;PSM</v>
      </c>
    </row>
    <row r="1163">
      <c r="A1163" s="91">
        <v>1.0</v>
      </c>
      <c r="B1163" s="91" t="s">
        <v>658</v>
      </c>
      <c r="C1163" s="91"/>
      <c r="D1163" s="171" t="str">
        <f t="shared" si="1"/>
        <v>Pandora</v>
      </c>
      <c r="F1163" s="91" t="s">
        <v>705</v>
      </c>
      <c r="G1163" s="170" t="str">
        <f t="shared" si="2"/>
        <v>Pandora&gt;Atasay</v>
      </c>
    </row>
    <row r="1164">
      <c r="A1164" s="91">
        <v>1.0</v>
      </c>
      <c r="B1164" s="91" t="s">
        <v>658</v>
      </c>
      <c r="C1164" s="91"/>
      <c r="D1164" s="171" t="str">
        <f t="shared" si="1"/>
        <v>Pandora</v>
      </c>
      <c r="F1164" s="91" t="s">
        <v>1059</v>
      </c>
      <c r="G1164" s="170" t="str">
        <f t="shared" si="2"/>
        <v>Pandora&gt;BigChefs</v>
      </c>
    </row>
    <row r="1165">
      <c r="A1165" s="91">
        <v>1.0</v>
      </c>
      <c r="B1165" s="91" t="s">
        <v>658</v>
      </c>
      <c r="C1165" s="91"/>
      <c r="D1165" s="171" t="str">
        <f t="shared" si="1"/>
        <v>Pandora</v>
      </c>
      <c r="F1165" s="91" t="s">
        <v>297</v>
      </c>
      <c r="G1165" s="170" t="str">
        <f t="shared" si="2"/>
        <v>Pandora&gt;Camper</v>
      </c>
    </row>
    <row r="1166">
      <c r="A1166" s="91">
        <v>1.0</v>
      </c>
      <c r="B1166" s="91" t="s">
        <v>658</v>
      </c>
      <c r="C1166" s="91"/>
      <c r="D1166" s="171" t="str">
        <f t="shared" si="1"/>
        <v>Pandora</v>
      </c>
      <c r="F1166" s="91" t="s">
        <v>1579</v>
      </c>
      <c r="G1166" s="170" t="str">
        <f t="shared" si="2"/>
        <v>Pandora&gt;D&amp;R</v>
      </c>
    </row>
    <row r="1167">
      <c r="A1167" s="91">
        <v>1.0</v>
      </c>
      <c r="B1167" s="91" t="s">
        <v>658</v>
      </c>
      <c r="C1167" s="91"/>
      <c r="D1167" s="171" t="str">
        <f t="shared" si="1"/>
        <v>Pandora</v>
      </c>
      <c r="F1167" s="91" t="s">
        <v>1094</v>
      </c>
      <c r="G1167" s="170" t="str">
        <f t="shared" si="2"/>
        <v>Pandora&gt;Dolce &amp; Gabbana</v>
      </c>
    </row>
    <row r="1168">
      <c r="A1168" s="91">
        <v>1.0</v>
      </c>
      <c r="B1168" s="91" t="s">
        <v>658</v>
      </c>
      <c r="C1168" s="91"/>
      <c r="D1168" s="171" t="str">
        <f t="shared" si="1"/>
        <v>Pandora</v>
      </c>
      <c r="F1168" s="91" t="s">
        <v>955</v>
      </c>
      <c r="G1168" s="170" t="str">
        <f t="shared" si="2"/>
        <v>Pandora&gt;Global Blue (Beymen)</v>
      </c>
    </row>
    <row r="1169">
      <c r="A1169" s="91">
        <v>1.0</v>
      </c>
      <c r="B1169" s="91" t="s">
        <v>658</v>
      </c>
      <c r="C1169" s="91"/>
      <c r="D1169" s="171" t="str">
        <f t="shared" si="1"/>
        <v>Pandora</v>
      </c>
      <c r="F1169" s="91" t="s">
        <v>1031</v>
      </c>
      <c r="G1169" s="170" t="str">
        <f t="shared" si="2"/>
        <v>Pandora&gt;Happy Moon's</v>
      </c>
    </row>
    <row r="1170">
      <c r="A1170" s="91">
        <v>1.0</v>
      </c>
      <c r="B1170" s="91" t="s">
        <v>658</v>
      </c>
      <c r="C1170" s="91"/>
      <c r="D1170" s="171" t="str">
        <f t="shared" si="1"/>
        <v>Pandora</v>
      </c>
      <c r="F1170" s="91" t="s">
        <v>3858</v>
      </c>
      <c r="G1170" s="170" t="str">
        <f t="shared" si="2"/>
        <v>Pandora&gt;Information Desk</v>
      </c>
    </row>
    <row r="1171">
      <c r="A1171" s="91">
        <v>1.0</v>
      </c>
      <c r="B1171" s="91" t="s">
        <v>658</v>
      </c>
      <c r="C1171" s="91"/>
      <c r="D1171" s="171" t="str">
        <f t="shared" si="1"/>
        <v>Pandora</v>
      </c>
      <c r="F1171" s="91" t="s">
        <v>716</v>
      </c>
      <c r="G1171" s="170" t="str">
        <f t="shared" si="2"/>
        <v>Pandora&gt;Machka</v>
      </c>
    </row>
    <row r="1172">
      <c r="A1172" s="91">
        <v>1.0</v>
      </c>
      <c r="B1172" s="91" t="s">
        <v>658</v>
      </c>
      <c r="C1172" s="91"/>
      <c r="D1172" s="171" t="str">
        <f t="shared" si="1"/>
        <v>Pandora</v>
      </c>
      <c r="F1172" s="91" t="s">
        <v>1082</v>
      </c>
      <c r="G1172" s="170" t="str">
        <f t="shared" si="2"/>
        <v>Pandora&gt;Saray Muhallebicisi</v>
      </c>
    </row>
    <row r="1173">
      <c r="A1173" s="91">
        <v>1.0</v>
      </c>
      <c r="B1173" s="91" t="s">
        <v>658</v>
      </c>
      <c r="C1173" s="91"/>
      <c r="D1173" s="171" t="str">
        <f t="shared" si="1"/>
        <v>Pandora</v>
      </c>
      <c r="F1173" s="91" t="s">
        <v>1076</v>
      </c>
      <c r="G1173" s="170" t="str">
        <f t="shared" si="2"/>
        <v>Pandora&gt;SushiCo</v>
      </c>
    </row>
    <row r="1174">
      <c r="A1174" s="91">
        <v>1.0</v>
      </c>
      <c r="B1174" s="91" t="s">
        <v>658</v>
      </c>
      <c r="C1174" s="91"/>
      <c r="D1174" s="171" t="str">
        <f t="shared" si="1"/>
        <v>Pandora</v>
      </c>
      <c r="F1174" s="91" t="s">
        <v>2321</v>
      </c>
      <c r="G1174" s="170" t="str">
        <f t="shared" si="2"/>
        <v>Pandora&gt;Tommi Brasserie</v>
      </c>
    </row>
    <row r="1175">
      <c r="A1175" s="91">
        <v>1.0</v>
      </c>
      <c r="B1175" s="91" t="s">
        <v>658</v>
      </c>
      <c r="C1175" s="91"/>
      <c r="D1175" s="171" t="str">
        <f t="shared" si="1"/>
        <v>Pandora</v>
      </c>
      <c r="F1175" s="91" t="s">
        <v>734</v>
      </c>
      <c r="G1175" s="170" t="str">
        <f t="shared" si="2"/>
        <v>Pandora&gt;Vario</v>
      </c>
    </row>
    <row r="1176">
      <c r="A1176" s="91">
        <v>1.0</v>
      </c>
      <c r="B1176" s="91" t="s">
        <v>658</v>
      </c>
      <c r="C1176" s="91"/>
      <c r="D1176" s="171" t="str">
        <f t="shared" si="1"/>
        <v>Pandora</v>
      </c>
      <c r="F1176" s="91" t="s">
        <v>1668</v>
      </c>
      <c r="G1176" s="170" t="str">
        <f t="shared" si="2"/>
        <v>Pandora&gt;Zula</v>
      </c>
    </row>
    <row r="1177">
      <c r="A1177" s="91">
        <v>1.0</v>
      </c>
      <c r="B1177" s="91" t="s">
        <v>143</v>
      </c>
      <c r="C1177" s="91"/>
      <c r="D1177" s="171" t="str">
        <f t="shared" si="1"/>
        <v>Paribu Cineverse</v>
      </c>
      <c r="F1177" s="91" t="s">
        <v>1065</v>
      </c>
      <c r="G1177" s="170" t="str">
        <f t="shared" si="2"/>
        <v>Paribu Cineverse&gt;Günaydın Kasap &amp; Steakhouse</v>
      </c>
    </row>
    <row r="1178">
      <c r="A1178" s="91">
        <v>1.0</v>
      </c>
      <c r="B1178" s="91" t="s">
        <v>143</v>
      </c>
      <c r="C1178" s="91"/>
      <c r="D1178" s="171" t="str">
        <f t="shared" si="1"/>
        <v>Paribu Cineverse</v>
      </c>
      <c r="F1178" s="91" t="s">
        <v>250</v>
      </c>
      <c r="G1178" s="170" t="str">
        <f t="shared" si="2"/>
        <v>Paribu Cineverse&gt;Victoria's Secret</v>
      </c>
    </row>
    <row r="1179">
      <c r="A1179" s="91">
        <v>1.0</v>
      </c>
      <c r="B1179" s="91" t="s">
        <v>1296</v>
      </c>
      <c r="C1179" s="91"/>
      <c r="D1179" s="171" t="str">
        <f t="shared" si="1"/>
        <v>Parle</v>
      </c>
      <c r="F1179" s="91" t="s">
        <v>658</v>
      </c>
      <c r="G1179" s="170" t="str">
        <f t="shared" si="2"/>
        <v>Parle&gt;Pandora</v>
      </c>
    </row>
    <row r="1180">
      <c r="A1180" s="91">
        <v>1.0</v>
      </c>
      <c r="B1180" s="91" t="s">
        <v>1296</v>
      </c>
      <c r="C1180" s="91"/>
      <c r="D1180" s="171" t="str">
        <f t="shared" si="1"/>
        <v>Parle</v>
      </c>
      <c r="F1180" s="91" t="s">
        <v>1668</v>
      </c>
      <c r="G1180" s="170" t="str">
        <f t="shared" si="2"/>
        <v>Parle&gt;Zula</v>
      </c>
    </row>
    <row r="1181">
      <c r="A1181" s="91">
        <v>1.0</v>
      </c>
      <c r="B1181" s="91" t="s">
        <v>862</v>
      </c>
      <c r="C1181" s="91"/>
      <c r="D1181" s="171" t="str">
        <f t="shared" si="1"/>
        <v>Passo Bilet Gişesi</v>
      </c>
      <c r="F1181" s="91" t="s">
        <v>3783</v>
      </c>
      <c r="G1181" s="170" t="str">
        <f t="shared" si="2"/>
        <v>Passo Bilet Gişesi&gt;PSM</v>
      </c>
    </row>
    <row r="1182">
      <c r="A1182" s="91">
        <v>1.0</v>
      </c>
      <c r="B1182" s="91" t="s">
        <v>1554</v>
      </c>
      <c r="C1182" s="91"/>
      <c r="D1182" s="171" t="str">
        <f t="shared" si="1"/>
        <v>Paşabahçe Mağazaları</v>
      </c>
      <c r="F1182" s="91" t="s">
        <v>1059</v>
      </c>
      <c r="G1182" s="170" t="str">
        <f t="shared" si="2"/>
        <v>Paşabahçe Mağazaları&gt;BigChefs</v>
      </c>
    </row>
    <row r="1183">
      <c r="A1183" s="91">
        <v>1.0</v>
      </c>
      <c r="B1183" s="91" t="s">
        <v>1554</v>
      </c>
      <c r="C1183" s="91"/>
      <c r="D1183" s="171" t="str">
        <f t="shared" si="1"/>
        <v>Paşabahçe Mağazaları</v>
      </c>
      <c r="F1183" s="91" t="s">
        <v>1603</v>
      </c>
      <c r="G1183" s="170" t="str">
        <f t="shared" si="2"/>
        <v>Paşabahçe Mağazaları&gt;Eataly</v>
      </c>
    </row>
    <row r="1184">
      <c r="A1184" s="91">
        <v>1.0</v>
      </c>
      <c r="B1184" s="91" t="s">
        <v>1554</v>
      </c>
      <c r="C1184" s="91"/>
      <c r="D1184" s="171" t="str">
        <f t="shared" si="1"/>
        <v>Paşabahçe Mağazaları</v>
      </c>
      <c r="F1184" s="91" t="s">
        <v>3305</v>
      </c>
      <c r="G1184" s="170" t="str">
        <f t="shared" si="2"/>
        <v>Paşabahçe Mağazaları&gt;Eczane</v>
      </c>
    </row>
    <row r="1185">
      <c r="A1185" s="91">
        <v>1.0</v>
      </c>
      <c r="B1185" s="91" t="s">
        <v>1554</v>
      </c>
      <c r="C1185" s="91"/>
      <c r="D1185" s="171" t="str">
        <f t="shared" si="1"/>
        <v>Paşabahçe Mağazaları</v>
      </c>
      <c r="F1185" s="91" t="s">
        <v>3853</v>
      </c>
      <c r="G1185" s="170" t="str">
        <f t="shared" si="2"/>
        <v>Paşabahçe Mağazaları&gt;Metro&lt;br&gt;Metrobüs</v>
      </c>
    </row>
    <row r="1186">
      <c r="A1186" s="91">
        <v>1.0</v>
      </c>
      <c r="B1186" s="91" t="s">
        <v>1554</v>
      </c>
      <c r="C1186" s="91"/>
      <c r="D1186" s="171" t="str">
        <f t="shared" si="1"/>
        <v>Paşabahçe Mağazaları</v>
      </c>
      <c r="F1186" s="91" t="s">
        <v>181</v>
      </c>
      <c r="G1186" s="170" t="str">
        <f t="shared" si="2"/>
        <v>Paşabahçe Mağazaları&gt;Starbucks</v>
      </c>
    </row>
    <row r="1187">
      <c r="A1187" s="91">
        <v>1.0</v>
      </c>
      <c r="B1187" s="91" t="s">
        <v>1554</v>
      </c>
      <c r="C1187" s="91"/>
      <c r="D1187" s="171" t="str">
        <f t="shared" si="1"/>
        <v>Paşabahçe Mağazaları</v>
      </c>
      <c r="F1187" s="91" t="s">
        <v>1548</v>
      </c>
      <c r="G1187" s="170" t="str">
        <f t="shared" si="2"/>
        <v>Paşabahçe Mağazaları&gt;Toyzz Shop</v>
      </c>
    </row>
    <row r="1188">
      <c r="A1188" s="91">
        <v>1.0</v>
      </c>
      <c r="B1188" s="91" t="s">
        <v>119</v>
      </c>
      <c r="C1188" s="91"/>
      <c r="D1188" s="171" t="str">
        <f t="shared" si="1"/>
        <v>Penelope</v>
      </c>
      <c r="F1188" s="91" t="s">
        <v>2277</v>
      </c>
      <c r="G1188" s="170" t="str">
        <f t="shared" si="2"/>
        <v>Penelope&gt;Memorial Wellness</v>
      </c>
    </row>
    <row r="1189">
      <c r="A1189" s="91">
        <v>1.0</v>
      </c>
      <c r="B1189" s="91" t="s">
        <v>119</v>
      </c>
      <c r="C1189" s="91"/>
      <c r="D1189" s="171" t="str">
        <f t="shared" si="1"/>
        <v>Penelope</v>
      </c>
      <c r="F1189" s="91" t="s">
        <v>3859</v>
      </c>
      <c r="G1189" s="170" t="str">
        <f t="shared" si="2"/>
        <v>Penelope&gt;Metro&lt;br&gt;Metrobus</v>
      </c>
    </row>
    <row r="1190">
      <c r="A1190" s="91">
        <v>1.0</v>
      </c>
      <c r="B1190" s="91" t="s">
        <v>273</v>
      </c>
      <c r="C1190" s="91"/>
      <c r="D1190" s="171" t="str">
        <f t="shared" si="1"/>
        <v>Perspective</v>
      </c>
      <c r="F1190" s="91" t="s">
        <v>3032</v>
      </c>
      <c r="G1190" s="170" t="str">
        <f t="shared" si="2"/>
        <v>Perspective&gt;Infirmary</v>
      </c>
    </row>
    <row r="1191">
      <c r="A1191" s="91">
        <v>1.0</v>
      </c>
      <c r="B1191" s="91" t="s">
        <v>273</v>
      </c>
      <c r="C1191" s="91"/>
      <c r="D1191" s="171" t="str">
        <f t="shared" si="1"/>
        <v>Perspective</v>
      </c>
      <c r="F1191" s="91" t="s">
        <v>664</v>
      </c>
      <c r="G1191" s="170" t="str">
        <f t="shared" si="2"/>
        <v>Perspective&gt;Network</v>
      </c>
    </row>
    <row r="1192">
      <c r="A1192" s="91">
        <v>1.0</v>
      </c>
      <c r="B1192" s="91" t="s">
        <v>273</v>
      </c>
      <c r="C1192" s="91"/>
      <c r="D1192" s="171" t="str">
        <f t="shared" si="1"/>
        <v>Perspective</v>
      </c>
      <c r="F1192" s="91" t="s">
        <v>1668</v>
      </c>
      <c r="G1192" s="170" t="str">
        <f t="shared" si="2"/>
        <v>Perspective&gt;Zula</v>
      </c>
    </row>
    <row r="1193">
      <c r="A1193" s="91">
        <v>1.0</v>
      </c>
      <c r="B1193" s="91" t="s">
        <v>3854</v>
      </c>
      <c r="C1193" s="91"/>
      <c r="D1193" s="171" t="str">
        <f t="shared" si="1"/>
        <v>Pharmacy</v>
      </c>
      <c r="F1193" s="91" t="s">
        <v>3854</v>
      </c>
      <c r="G1193" s="170" t="str">
        <f t="shared" si="2"/>
        <v>Pharmacy&gt;Pharmacy</v>
      </c>
    </row>
    <row r="1194">
      <c r="A1194" s="91">
        <v>1.0</v>
      </c>
      <c r="B1194" s="91" t="s">
        <v>597</v>
      </c>
      <c r="C1194" s="91"/>
      <c r="D1194" s="171" t="str">
        <f t="shared" si="1"/>
        <v>Pidem</v>
      </c>
      <c r="F1194" s="91" t="s">
        <v>1345</v>
      </c>
      <c r="G1194" s="170" t="str">
        <f t="shared" si="2"/>
        <v>Pidem&gt;Raffles Istanbul</v>
      </c>
    </row>
    <row r="1195">
      <c r="A1195" s="91">
        <v>1.0</v>
      </c>
      <c r="B1195" s="91" t="s">
        <v>597</v>
      </c>
      <c r="C1195" s="91"/>
      <c r="D1195" s="171" t="str">
        <f t="shared" si="1"/>
        <v>Pidem</v>
      </c>
      <c r="F1195" s="91" t="s">
        <v>497</v>
      </c>
      <c r="G1195" s="170" t="str">
        <f t="shared" si="2"/>
        <v>Pidem&gt;Tobacco Shop</v>
      </c>
    </row>
    <row r="1196">
      <c r="A1196" s="91">
        <v>1.0</v>
      </c>
      <c r="B1196" s="91" t="s">
        <v>597</v>
      </c>
      <c r="C1196" s="91"/>
      <c r="D1196" s="171" t="str">
        <f t="shared" si="1"/>
        <v>Pidem</v>
      </c>
      <c r="F1196" s="91" t="s">
        <v>871</v>
      </c>
      <c r="G1196" s="170" t="str">
        <f t="shared" si="2"/>
        <v>Pidem&gt;Zara Home</v>
      </c>
    </row>
    <row r="1197">
      <c r="A1197" s="91">
        <v>1.0</v>
      </c>
      <c r="B1197" s="91" t="s">
        <v>711</v>
      </c>
      <c r="C1197" s="91"/>
      <c r="D1197" s="171" t="str">
        <f t="shared" si="1"/>
        <v>Pinko</v>
      </c>
      <c r="F1197" s="91" t="s">
        <v>1603</v>
      </c>
      <c r="G1197" s="170" t="str">
        <f t="shared" si="2"/>
        <v>Pinko&gt;Eataly</v>
      </c>
    </row>
    <row r="1198">
      <c r="A1198" s="91">
        <v>1.0</v>
      </c>
      <c r="B1198" s="91" t="s">
        <v>711</v>
      </c>
      <c r="C1198" s="91"/>
      <c r="D1198" s="171" t="str">
        <f t="shared" si="1"/>
        <v>Pinko</v>
      </c>
      <c r="F1198" s="91" t="s">
        <v>1165</v>
      </c>
      <c r="G1198" s="170" t="str">
        <f t="shared" si="2"/>
        <v>Pinko&gt;Tiffany &amp; Co.</v>
      </c>
    </row>
    <row r="1199">
      <c r="A1199" s="91">
        <v>1.0</v>
      </c>
      <c r="B1199" s="91" t="s">
        <v>503</v>
      </c>
      <c r="C1199" s="91"/>
      <c r="D1199" s="171" t="str">
        <f t="shared" si="1"/>
        <v>Plus Kitchen</v>
      </c>
      <c r="F1199" s="91" t="s">
        <v>1692</v>
      </c>
      <c r="G1199" s="170" t="str">
        <f t="shared" si="2"/>
        <v>Plus Kitchen&gt;Voi Coffee Company</v>
      </c>
    </row>
    <row r="1200">
      <c r="A1200" s="91">
        <v>1.0</v>
      </c>
      <c r="B1200" s="91" t="s">
        <v>563</v>
      </c>
      <c r="C1200" s="91"/>
      <c r="D1200" s="171" t="str">
        <f t="shared" si="1"/>
        <v>Popeyes</v>
      </c>
      <c r="F1200" s="91" t="s">
        <v>1603</v>
      </c>
      <c r="G1200" s="170" t="str">
        <f t="shared" si="2"/>
        <v>Popeyes&gt;Eataly</v>
      </c>
    </row>
    <row r="1201">
      <c r="A1201" s="91">
        <v>1.0</v>
      </c>
      <c r="B1201" s="91" t="s">
        <v>1112</v>
      </c>
      <c r="C1201" s="91"/>
      <c r="D1201" s="171" t="str">
        <f t="shared" si="1"/>
        <v>Prada</v>
      </c>
      <c r="F1201" s="91" t="s">
        <v>1059</v>
      </c>
      <c r="G1201" s="170" t="str">
        <f t="shared" si="2"/>
        <v>Prada&gt;BigChefs</v>
      </c>
    </row>
    <row r="1202">
      <c r="A1202" s="91">
        <v>1.0</v>
      </c>
      <c r="B1202" s="91" t="s">
        <v>1112</v>
      </c>
      <c r="C1202" s="91"/>
      <c r="D1202" s="171" t="str">
        <f t="shared" si="1"/>
        <v>Prada</v>
      </c>
      <c r="F1202" s="91" t="s">
        <v>3035</v>
      </c>
      <c r="G1202" s="170" t="str">
        <f t="shared" si="2"/>
        <v>Prada&gt;Exchange Zor</v>
      </c>
    </row>
    <row r="1203">
      <c r="A1203" s="91">
        <v>1.0</v>
      </c>
      <c r="B1203" s="91" t="s">
        <v>1112</v>
      </c>
      <c r="C1203" s="91"/>
      <c r="D1203" s="171" t="str">
        <f t="shared" si="1"/>
        <v>Prada</v>
      </c>
      <c r="F1203" s="91" t="s">
        <v>3032</v>
      </c>
      <c r="G1203" s="170" t="str">
        <f t="shared" si="2"/>
        <v>Prada&gt;Infirmary</v>
      </c>
    </row>
    <row r="1204">
      <c r="A1204" s="91">
        <v>1.0</v>
      </c>
      <c r="B1204" s="91" t="s">
        <v>1112</v>
      </c>
      <c r="C1204" s="91"/>
      <c r="D1204" s="171" t="str">
        <f t="shared" si="1"/>
        <v>Prada</v>
      </c>
      <c r="F1204" s="91" t="s">
        <v>2266</v>
      </c>
      <c r="G1204" s="170" t="str">
        <f t="shared" si="2"/>
        <v>Prada&gt;Kafe Vesto</v>
      </c>
    </row>
    <row r="1205">
      <c r="A1205" s="91">
        <v>1.0</v>
      </c>
      <c r="B1205" s="91" t="s">
        <v>1112</v>
      </c>
      <c r="C1205" s="91"/>
      <c r="D1205" s="171" t="str">
        <f t="shared" si="1"/>
        <v>Prada</v>
      </c>
      <c r="F1205" s="91" t="s">
        <v>1530</v>
      </c>
      <c r="G1205" s="170" t="str">
        <f t="shared" si="2"/>
        <v>Prada&gt;Linens</v>
      </c>
    </row>
    <row r="1206">
      <c r="A1206" s="91">
        <v>1.0</v>
      </c>
      <c r="B1206" s="91" t="s">
        <v>1112</v>
      </c>
      <c r="C1206" s="91"/>
      <c r="D1206" s="171" t="str">
        <f t="shared" si="1"/>
        <v>Prada</v>
      </c>
      <c r="F1206" s="91" t="s">
        <v>1536</v>
      </c>
      <c r="G1206" s="170" t="str">
        <f t="shared" si="2"/>
        <v>Prada&gt;Macrocenter</v>
      </c>
    </row>
    <row r="1207">
      <c r="A1207" s="91">
        <v>1.0</v>
      </c>
      <c r="B1207" s="91" t="s">
        <v>1112</v>
      </c>
      <c r="C1207" s="91"/>
      <c r="D1207" s="171" t="str">
        <f t="shared" si="1"/>
        <v>Prada</v>
      </c>
      <c r="F1207" s="91" t="s">
        <v>326</v>
      </c>
      <c r="G1207" s="170" t="str">
        <f t="shared" si="2"/>
        <v>Prada&gt;Massimo Dutti</v>
      </c>
    </row>
    <row r="1208">
      <c r="A1208" s="91">
        <v>1.0</v>
      </c>
      <c r="B1208" s="91" t="s">
        <v>1112</v>
      </c>
      <c r="C1208" s="91"/>
      <c r="D1208" s="171" t="str">
        <f t="shared" si="1"/>
        <v>Prada</v>
      </c>
      <c r="F1208" s="91" t="s">
        <v>2277</v>
      </c>
      <c r="G1208" s="170" t="str">
        <f t="shared" si="2"/>
        <v>Prada&gt;Memorial Wellness</v>
      </c>
    </row>
    <row r="1209">
      <c r="A1209" s="91">
        <v>1.0</v>
      </c>
      <c r="B1209" s="91" t="s">
        <v>1112</v>
      </c>
      <c r="C1209" s="91"/>
      <c r="D1209" s="171" t="str">
        <f t="shared" si="1"/>
        <v>Prada</v>
      </c>
      <c r="F1209" s="91" t="s">
        <v>374</v>
      </c>
      <c r="G1209" s="170" t="str">
        <f t="shared" si="2"/>
        <v>Prada&gt;Minycenter Carter’s</v>
      </c>
    </row>
    <row r="1210">
      <c r="A1210" s="91">
        <v>1.0</v>
      </c>
      <c r="B1210" s="91" t="s">
        <v>1112</v>
      </c>
      <c r="C1210" s="91"/>
      <c r="D1210" s="171" t="str">
        <f t="shared" si="1"/>
        <v>Prada</v>
      </c>
      <c r="F1210" s="91" t="s">
        <v>1141</v>
      </c>
      <c r="G1210" s="170" t="str">
        <f t="shared" si="2"/>
        <v>Prada&gt;Morini</v>
      </c>
    </row>
    <row r="1211">
      <c r="A1211" s="91">
        <v>1.0</v>
      </c>
      <c r="B1211" s="91" t="s">
        <v>1112</v>
      </c>
      <c r="C1211" s="91"/>
      <c r="D1211" s="171" t="str">
        <f t="shared" si="1"/>
        <v>Prada</v>
      </c>
      <c r="F1211" s="91" t="s">
        <v>2917</v>
      </c>
      <c r="G1211" s="170" t="str">
        <f t="shared" si="2"/>
        <v>Prada&gt;Otopark</v>
      </c>
    </row>
    <row r="1212">
      <c r="A1212" s="91">
        <v>1.0</v>
      </c>
      <c r="B1212" s="91" t="s">
        <v>1112</v>
      </c>
      <c r="C1212" s="91"/>
      <c r="D1212" s="171" t="str">
        <f t="shared" si="1"/>
        <v>Prada</v>
      </c>
      <c r="F1212" s="91" t="s">
        <v>1215</v>
      </c>
      <c r="G1212" s="170" t="str">
        <f t="shared" si="2"/>
        <v>Prada&gt;Panerai</v>
      </c>
    </row>
    <row r="1213">
      <c r="A1213" s="91">
        <v>1.0</v>
      </c>
      <c r="B1213" s="91" t="s">
        <v>1112</v>
      </c>
      <c r="C1213" s="91"/>
      <c r="D1213" s="171" t="str">
        <f t="shared" si="1"/>
        <v>Prada</v>
      </c>
      <c r="F1213" s="91" t="s">
        <v>1548</v>
      </c>
      <c r="G1213" s="170" t="str">
        <f t="shared" si="2"/>
        <v>Prada&gt;Toyzz Shop</v>
      </c>
    </row>
    <row r="1214">
      <c r="A1214" s="91">
        <v>1.0</v>
      </c>
      <c r="B1214" s="91" t="s">
        <v>1112</v>
      </c>
      <c r="C1214" s="91"/>
      <c r="D1214" s="171" t="str">
        <f t="shared" si="1"/>
        <v>Prada</v>
      </c>
      <c r="F1214" s="91" t="s">
        <v>3852</v>
      </c>
      <c r="G1214" s="170" t="str">
        <f t="shared" si="2"/>
        <v>Prada&gt;WC</v>
      </c>
    </row>
    <row r="1215">
      <c r="A1215" s="91">
        <v>1.0</v>
      </c>
      <c r="B1215" s="91" t="s">
        <v>1112</v>
      </c>
      <c r="C1215" s="91"/>
      <c r="D1215" s="171" t="str">
        <f t="shared" si="1"/>
        <v>Prada</v>
      </c>
      <c r="F1215" s="91" t="s">
        <v>474</v>
      </c>
      <c r="G1215" s="170" t="str">
        <f t="shared" si="2"/>
        <v>Prada&gt;Zara</v>
      </c>
    </row>
    <row r="1216">
      <c r="A1216" s="91">
        <v>1.0</v>
      </c>
      <c r="B1216" s="91" t="s">
        <v>3874</v>
      </c>
      <c r="C1216" s="91"/>
      <c r="D1216" s="171" t="str">
        <f t="shared" si="1"/>
        <v>QNB Finansbank (ATM)(ATM)</v>
      </c>
      <c r="F1216" s="91" t="s">
        <v>2801</v>
      </c>
      <c r="G1216" s="170" t="str">
        <f t="shared" si="2"/>
        <v>QNB Finansbank (ATM)(ATM)&gt;Akbank (ATM)</v>
      </c>
    </row>
    <row r="1217">
      <c r="A1217" s="91">
        <v>1.0</v>
      </c>
      <c r="B1217" s="91" t="s">
        <v>1345</v>
      </c>
      <c r="C1217" s="91"/>
      <c r="D1217" s="171" t="str">
        <f t="shared" si="1"/>
        <v>Raffles Istanbul</v>
      </c>
      <c r="F1217" s="91" t="s">
        <v>1345</v>
      </c>
      <c r="G1217" s="170" t="str">
        <f t="shared" si="2"/>
        <v>Raffles Istanbul&gt;Raffles Istanbul</v>
      </c>
    </row>
    <row r="1218">
      <c r="A1218" s="91">
        <v>1.0</v>
      </c>
      <c r="B1218" s="91" t="s">
        <v>591</v>
      </c>
      <c r="C1218" s="91"/>
      <c r="D1218" s="171" t="str">
        <f t="shared" si="1"/>
        <v>Ramiz</v>
      </c>
      <c r="F1218" s="91" t="s">
        <v>3853</v>
      </c>
      <c r="G1218" s="170" t="str">
        <f t="shared" si="2"/>
        <v>Ramiz&gt;Metro&lt;br&gt;Metrobüs</v>
      </c>
    </row>
    <row r="1219">
      <c r="A1219" s="91">
        <v>1.0</v>
      </c>
      <c r="B1219" s="91" t="s">
        <v>591</v>
      </c>
      <c r="C1219" s="91"/>
      <c r="D1219" s="171" t="str">
        <f t="shared" si="1"/>
        <v>Ramiz</v>
      </c>
      <c r="F1219" s="91" t="s">
        <v>3860</v>
      </c>
      <c r="G1219" s="170" t="str">
        <f t="shared" si="2"/>
        <v>Ramiz&gt;Raffles İstanbul</v>
      </c>
    </row>
    <row r="1220">
      <c r="A1220" s="91">
        <v>1.0</v>
      </c>
      <c r="B1220" s="91" t="s">
        <v>591</v>
      </c>
      <c r="C1220" s="91"/>
      <c r="D1220" s="171" t="str">
        <f t="shared" si="1"/>
        <v>Ramiz</v>
      </c>
      <c r="F1220" s="91" t="s">
        <v>591</v>
      </c>
      <c r="G1220" s="170" t="str">
        <f t="shared" si="2"/>
        <v>Ramiz&gt;Ramiz</v>
      </c>
    </row>
    <row r="1221">
      <c r="A1221" s="91">
        <v>1.0</v>
      </c>
      <c r="B1221" s="91" t="s">
        <v>591</v>
      </c>
      <c r="C1221" s="91"/>
      <c r="D1221" s="171" t="str">
        <f t="shared" si="1"/>
        <v>Ramiz</v>
      </c>
      <c r="F1221" s="91" t="s">
        <v>3402</v>
      </c>
      <c r="G1221" s="170" t="str">
        <f t="shared" si="2"/>
        <v>Ramiz&gt;Tuvalet</v>
      </c>
    </row>
    <row r="1222">
      <c r="A1222" s="91">
        <v>1.0</v>
      </c>
      <c r="B1222" s="91" t="s">
        <v>722</v>
      </c>
      <c r="C1222" s="91"/>
      <c r="D1222" s="171" t="str">
        <f t="shared" si="1"/>
        <v>Ramsey</v>
      </c>
      <c r="F1222" s="91" t="s">
        <v>255</v>
      </c>
      <c r="G1222" s="170" t="str">
        <f t="shared" si="2"/>
        <v>Ramsey&gt;Abdullah Kiğılı Exclusive Cut</v>
      </c>
    </row>
    <row r="1223">
      <c r="A1223" s="91">
        <v>1.0</v>
      </c>
      <c r="B1223" s="91" t="s">
        <v>722</v>
      </c>
      <c r="C1223" s="91"/>
      <c r="D1223" s="171" t="str">
        <f t="shared" si="1"/>
        <v>Ramsey</v>
      </c>
      <c r="F1223" s="91" t="s">
        <v>699</v>
      </c>
      <c r="G1223" s="170" t="str">
        <f t="shared" si="2"/>
        <v>Ramsey&gt;Cup of Joy</v>
      </c>
    </row>
    <row r="1224">
      <c r="A1224" s="91">
        <v>1.0</v>
      </c>
      <c r="B1224" s="91" t="s">
        <v>722</v>
      </c>
      <c r="C1224" s="91"/>
      <c r="D1224" s="171" t="str">
        <f t="shared" si="1"/>
        <v>Ramsey</v>
      </c>
      <c r="F1224" s="91" t="s">
        <v>1337</v>
      </c>
      <c r="G1224" s="170" t="str">
        <f t="shared" si="2"/>
        <v>Ramsey&gt;Godiva</v>
      </c>
    </row>
    <row r="1225">
      <c r="A1225" s="91">
        <v>1.0</v>
      </c>
      <c r="B1225" s="91" t="s">
        <v>722</v>
      </c>
      <c r="C1225" s="91"/>
      <c r="D1225" s="171" t="str">
        <f t="shared" si="1"/>
        <v>Ramsey</v>
      </c>
      <c r="F1225" s="91" t="s">
        <v>1171</v>
      </c>
      <c r="G1225" s="170" t="str">
        <f t="shared" si="2"/>
        <v>Ramsey&gt;Haremlique Istanbul</v>
      </c>
    </row>
    <row r="1226">
      <c r="A1226" s="91">
        <v>1.0</v>
      </c>
      <c r="B1226" s="91" t="s">
        <v>722</v>
      </c>
      <c r="C1226" s="91"/>
      <c r="D1226" s="171" t="str">
        <f t="shared" si="1"/>
        <v>Ramsey</v>
      </c>
      <c r="F1226" s="91" t="s">
        <v>2249</v>
      </c>
      <c r="G1226" s="170" t="str">
        <f t="shared" si="2"/>
        <v>Ramsey&gt;KFC</v>
      </c>
    </row>
    <row r="1227">
      <c r="A1227" s="91">
        <v>1.0</v>
      </c>
      <c r="B1227" s="91" t="s">
        <v>722</v>
      </c>
      <c r="C1227" s="91"/>
      <c r="D1227" s="171" t="str">
        <f t="shared" si="1"/>
        <v>Ramsey</v>
      </c>
      <c r="F1227" s="91" t="s">
        <v>326</v>
      </c>
      <c r="G1227" s="170" t="str">
        <f t="shared" si="2"/>
        <v>Ramsey&gt;Massimo Dutti</v>
      </c>
    </row>
    <row r="1228">
      <c r="A1228" s="91">
        <v>1.0</v>
      </c>
      <c r="B1228" s="91" t="s">
        <v>722</v>
      </c>
      <c r="C1228" s="91"/>
      <c r="D1228" s="171" t="str">
        <f t="shared" si="1"/>
        <v>Ramsey</v>
      </c>
      <c r="F1228" s="91" t="s">
        <v>658</v>
      </c>
      <c r="G1228" s="170" t="str">
        <f t="shared" si="2"/>
        <v>Ramsey&gt;Pandora</v>
      </c>
    </row>
    <row r="1229">
      <c r="A1229" s="91">
        <v>1.0</v>
      </c>
      <c r="B1229" s="91" t="s">
        <v>722</v>
      </c>
      <c r="C1229" s="91"/>
      <c r="D1229" s="171" t="str">
        <f t="shared" si="1"/>
        <v>Ramsey</v>
      </c>
      <c r="F1229" s="91" t="s">
        <v>2799</v>
      </c>
      <c r="G1229" s="170" t="str">
        <f t="shared" si="2"/>
        <v>Ramsey&gt;Tax Free Zone (Info Desk)</v>
      </c>
    </row>
    <row r="1230">
      <c r="A1230" s="91">
        <v>1.0</v>
      </c>
      <c r="B1230" s="91" t="s">
        <v>722</v>
      </c>
      <c r="C1230" s="91"/>
      <c r="D1230" s="171" t="str">
        <f t="shared" si="1"/>
        <v>Ramsey</v>
      </c>
      <c r="F1230" s="91" t="s">
        <v>1009</v>
      </c>
      <c r="G1230" s="170" t="str">
        <f t="shared" si="2"/>
        <v>Ramsey&gt;Welldone</v>
      </c>
    </row>
    <row r="1231">
      <c r="A1231" s="91">
        <v>1.0</v>
      </c>
      <c r="B1231" s="91" t="s">
        <v>806</v>
      </c>
      <c r="C1231" s="91"/>
      <c r="D1231" s="171" t="str">
        <f t="shared" si="1"/>
        <v>Remzi Kitabevi</v>
      </c>
      <c r="F1231" s="91" t="s">
        <v>682</v>
      </c>
      <c r="G1231" s="170" t="str">
        <f t="shared" si="2"/>
        <v>Remzi Kitabevi&gt;Beymen</v>
      </c>
    </row>
    <row r="1232">
      <c r="A1232" s="91">
        <v>1.0</v>
      </c>
      <c r="B1232" s="91" t="s">
        <v>806</v>
      </c>
      <c r="C1232" s="91"/>
      <c r="D1232" s="171" t="str">
        <f t="shared" si="1"/>
        <v>Remzi Kitabevi</v>
      </c>
      <c r="F1232" s="91" t="s">
        <v>646</v>
      </c>
      <c r="G1232" s="170" t="str">
        <f t="shared" si="2"/>
        <v>Remzi Kitabevi&gt;Green Salads</v>
      </c>
    </row>
    <row r="1233">
      <c r="A1233" s="91">
        <v>1.0</v>
      </c>
      <c r="B1233" s="91" t="s">
        <v>806</v>
      </c>
      <c r="C1233" s="91"/>
      <c r="D1233" s="171" t="str">
        <f t="shared" si="1"/>
        <v>Remzi Kitabevi</v>
      </c>
      <c r="F1233" s="91" t="s">
        <v>2277</v>
      </c>
      <c r="G1233" s="170" t="str">
        <f t="shared" si="2"/>
        <v>Remzi Kitabevi&gt;Memorial Wellness</v>
      </c>
    </row>
    <row r="1234">
      <c r="A1234" s="91">
        <v>1.0</v>
      </c>
      <c r="B1234" s="91" t="s">
        <v>806</v>
      </c>
      <c r="C1234" s="91"/>
      <c r="D1234" s="171" t="str">
        <f t="shared" si="1"/>
        <v>Remzi Kitabevi</v>
      </c>
      <c r="F1234" s="91" t="s">
        <v>1554</v>
      </c>
      <c r="G1234" s="170" t="str">
        <f t="shared" si="2"/>
        <v>Remzi Kitabevi&gt;Paşabahçe Mağazaları</v>
      </c>
    </row>
    <row r="1235">
      <c r="A1235" s="91">
        <v>1.0</v>
      </c>
      <c r="B1235" s="91" t="s">
        <v>806</v>
      </c>
      <c r="C1235" s="91"/>
      <c r="D1235" s="171" t="str">
        <f t="shared" si="1"/>
        <v>Remzi Kitabevi</v>
      </c>
      <c r="F1235" s="91" t="s">
        <v>181</v>
      </c>
      <c r="G1235" s="170" t="str">
        <f t="shared" si="2"/>
        <v>Remzi Kitabevi&gt;Starbucks</v>
      </c>
    </row>
    <row r="1236">
      <c r="A1236" s="91">
        <v>1.0</v>
      </c>
      <c r="B1236" s="91" t="s">
        <v>806</v>
      </c>
      <c r="C1236" s="91"/>
      <c r="D1236" s="171" t="str">
        <f t="shared" si="1"/>
        <v>Remzi Kitabevi</v>
      </c>
      <c r="F1236" s="91" t="s">
        <v>1548</v>
      </c>
      <c r="G1236" s="170" t="str">
        <f t="shared" si="2"/>
        <v>Remzi Kitabevi&gt;Toyzz Shop</v>
      </c>
    </row>
    <row r="1237">
      <c r="A1237" s="91">
        <v>1.0</v>
      </c>
      <c r="B1237" s="91" t="s">
        <v>806</v>
      </c>
      <c r="C1237" s="91"/>
      <c r="D1237" s="171" t="str">
        <f t="shared" si="1"/>
        <v>Remzi Kitabevi</v>
      </c>
      <c r="F1237" s="91" t="s">
        <v>1692</v>
      </c>
      <c r="G1237" s="170" t="str">
        <f t="shared" si="2"/>
        <v>Remzi Kitabevi&gt;Voi Coffee Company</v>
      </c>
    </row>
    <row r="1238">
      <c r="A1238" s="91">
        <v>1.0</v>
      </c>
      <c r="B1238" s="91" t="s">
        <v>806</v>
      </c>
      <c r="C1238" s="91"/>
      <c r="D1238" s="171" t="str">
        <f t="shared" si="1"/>
        <v>Remzi Kitabevi</v>
      </c>
      <c r="F1238" s="91" t="s">
        <v>1009</v>
      </c>
      <c r="G1238" s="170" t="str">
        <f t="shared" si="2"/>
        <v>Remzi Kitabevi&gt;Welldone</v>
      </c>
    </row>
    <row r="1239">
      <c r="A1239" s="91">
        <v>1.0</v>
      </c>
      <c r="B1239" s="91" t="s">
        <v>2108</v>
      </c>
      <c r="C1239" s="91"/>
      <c r="D1239" s="171" t="str">
        <f t="shared" si="1"/>
        <v>Riceteria</v>
      </c>
      <c r="F1239" s="91" t="s">
        <v>1692</v>
      </c>
      <c r="G1239" s="170" t="str">
        <f t="shared" si="2"/>
        <v>Riceteria&gt;Voi Coffee Company</v>
      </c>
    </row>
    <row r="1240">
      <c r="A1240" s="91">
        <v>1.0</v>
      </c>
      <c r="B1240" s="91" t="s">
        <v>1047</v>
      </c>
      <c r="C1240" s="91"/>
      <c r="D1240" s="171" t="str">
        <f t="shared" si="1"/>
        <v>Rolex</v>
      </c>
      <c r="F1240" s="91" t="s">
        <v>3855</v>
      </c>
      <c r="G1240" s="170" t="str">
        <f t="shared" si="2"/>
        <v>Rolex&gt;Cinema</v>
      </c>
    </row>
    <row r="1241">
      <c r="A1241" s="91">
        <v>1.0</v>
      </c>
      <c r="B1241" s="91" t="s">
        <v>1047</v>
      </c>
      <c r="C1241" s="91"/>
      <c r="D1241" s="171" t="str">
        <f t="shared" si="1"/>
        <v>Rolex</v>
      </c>
      <c r="F1241" s="91" t="s">
        <v>1536</v>
      </c>
      <c r="G1241" s="170" t="str">
        <f t="shared" si="2"/>
        <v>Rolex&gt;Macrocenter</v>
      </c>
    </row>
    <row r="1242">
      <c r="A1242" s="91">
        <v>1.0</v>
      </c>
      <c r="B1242" s="91" t="s">
        <v>1047</v>
      </c>
      <c r="C1242" s="91"/>
      <c r="D1242" s="171" t="str">
        <f t="shared" si="1"/>
        <v>Rolex</v>
      </c>
      <c r="F1242" s="91" t="s">
        <v>2277</v>
      </c>
      <c r="G1242" s="170" t="str">
        <f t="shared" si="2"/>
        <v>Rolex&gt;Memorial Wellness</v>
      </c>
    </row>
    <row r="1243">
      <c r="A1243" s="91">
        <v>1.0</v>
      </c>
      <c r="B1243" s="91" t="s">
        <v>1047</v>
      </c>
      <c r="C1243" s="91"/>
      <c r="D1243" s="171" t="str">
        <f t="shared" si="1"/>
        <v>Rolex</v>
      </c>
      <c r="F1243" s="91" t="s">
        <v>759</v>
      </c>
      <c r="G1243" s="170" t="str">
        <f t="shared" si="2"/>
        <v>Rolex&gt;Nautica</v>
      </c>
    </row>
    <row r="1244">
      <c r="A1244" s="91">
        <v>1.0</v>
      </c>
      <c r="B1244" s="91" t="s">
        <v>1047</v>
      </c>
      <c r="C1244" s="91"/>
      <c r="D1244" s="171" t="str">
        <f t="shared" si="1"/>
        <v>Rolex</v>
      </c>
      <c r="F1244" s="91" t="s">
        <v>2917</v>
      </c>
      <c r="G1244" s="170" t="str">
        <f t="shared" si="2"/>
        <v>Rolex&gt;Otopark</v>
      </c>
    </row>
    <row r="1245">
      <c r="A1245" s="91">
        <v>1.0</v>
      </c>
      <c r="B1245" s="91" t="s">
        <v>1047</v>
      </c>
      <c r="C1245" s="91"/>
      <c r="D1245" s="171" t="str">
        <f t="shared" si="1"/>
        <v>Rolex</v>
      </c>
      <c r="F1245" s="91" t="s">
        <v>1076</v>
      </c>
      <c r="G1245" s="170" t="str">
        <f t="shared" si="2"/>
        <v>Rolex&gt;SushiCo</v>
      </c>
    </row>
    <row r="1246">
      <c r="A1246" s="91">
        <v>1.0</v>
      </c>
      <c r="B1246" s="91" t="s">
        <v>1047</v>
      </c>
      <c r="C1246" s="91"/>
      <c r="D1246" s="171" t="str">
        <f t="shared" si="1"/>
        <v>Rolex</v>
      </c>
      <c r="F1246" s="91" t="s">
        <v>1009</v>
      </c>
      <c r="G1246" s="170" t="str">
        <f t="shared" si="2"/>
        <v>Rolex&gt;Welldone</v>
      </c>
    </row>
    <row r="1247">
      <c r="A1247" s="91">
        <v>1.0</v>
      </c>
      <c r="B1247" s="91" t="s">
        <v>64</v>
      </c>
      <c r="C1247" s="91"/>
      <c r="D1247" s="171" t="str">
        <f t="shared" si="1"/>
        <v>Rossmann</v>
      </c>
      <c r="F1247" s="91" t="s">
        <v>1603</v>
      </c>
      <c r="G1247" s="170" t="str">
        <f t="shared" si="2"/>
        <v>Rossmann&gt;Eataly</v>
      </c>
    </row>
    <row r="1248">
      <c r="A1248" s="91">
        <v>1.0</v>
      </c>
      <c r="B1248" s="91" t="s">
        <v>337</v>
      </c>
      <c r="C1248" s="91"/>
      <c r="D1248" s="171" t="str">
        <f t="shared" si="1"/>
        <v>Saat &amp; Saat</v>
      </c>
      <c r="F1248" s="91" t="s">
        <v>549</v>
      </c>
      <c r="G1248" s="170" t="str">
        <f t="shared" si="2"/>
        <v>Saat &amp; Saat&gt;Caffe Nero</v>
      </c>
    </row>
    <row r="1249">
      <c r="A1249" s="91">
        <v>1.0</v>
      </c>
      <c r="B1249" s="91" t="s">
        <v>337</v>
      </c>
      <c r="C1249" s="91"/>
      <c r="D1249" s="171" t="str">
        <f t="shared" si="1"/>
        <v>Saat &amp; Saat</v>
      </c>
      <c r="F1249" s="91" t="s">
        <v>699</v>
      </c>
      <c r="G1249" s="170" t="str">
        <f t="shared" si="2"/>
        <v>Saat &amp; Saat&gt;Cup of Joy</v>
      </c>
    </row>
    <row r="1250">
      <c r="A1250" s="91">
        <v>1.0</v>
      </c>
      <c r="B1250" s="91" t="s">
        <v>337</v>
      </c>
      <c r="C1250" s="91"/>
      <c r="D1250" s="171" t="str">
        <f t="shared" si="1"/>
        <v>Saat &amp; Saat</v>
      </c>
      <c r="F1250" s="91" t="s">
        <v>1141</v>
      </c>
      <c r="G1250" s="170" t="str">
        <f t="shared" si="2"/>
        <v>Saat &amp; Saat&gt;Morini</v>
      </c>
    </row>
    <row r="1251">
      <c r="A1251" s="91">
        <v>1.0</v>
      </c>
      <c r="B1251" s="91" t="s">
        <v>337</v>
      </c>
      <c r="C1251" s="91"/>
      <c r="D1251" s="171" t="str">
        <f t="shared" si="1"/>
        <v>Saat &amp; Saat</v>
      </c>
      <c r="F1251" s="91" t="s">
        <v>2917</v>
      </c>
      <c r="G1251" s="170" t="str">
        <f t="shared" si="2"/>
        <v>Saat &amp; Saat&gt;Otopark</v>
      </c>
    </row>
    <row r="1252">
      <c r="A1252" s="91">
        <v>1.0</v>
      </c>
      <c r="B1252" s="91" t="s">
        <v>337</v>
      </c>
      <c r="C1252" s="91"/>
      <c r="D1252" s="171" t="str">
        <f t="shared" si="1"/>
        <v>Saat &amp; Saat</v>
      </c>
      <c r="F1252" s="91" t="s">
        <v>2139</v>
      </c>
      <c r="G1252" s="170" t="str">
        <f t="shared" si="2"/>
        <v>Saat &amp; Saat&gt;Rocca</v>
      </c>
    </row>
    <row r="1253">
      <c r="A1253" s="91">
        <v>1.0</v>
      </c>
      <c r="B1253" s="91" t="s">
        <v>337</v>
      </c>
      <c r="C1253" s="91"/>
      <c r="D1253" s="171" t="str">
        <f t="shared" si="1"/>
        <v>Saat &amp; Saat</v>
      </c>
      <c r="F1253" s="91" t="s">
        <v>181</v>
      </c>
      <c r="G1253" s="170" t="str">
        <f t="shared" si="2"/>
        <v>Saat &amp; Saat&gt;Starbucks</v>
      </c>
    </row>
    <row r="1254">
      <c r="A1254" s="91">
        <v>1.0</v>
      </c>
      <c r="B1254" s="91" t="s">
        <v>2065</v>
      </c>
      <c r="C1254" s="91"/>
      <c r="D1254" s="171" t="str">
        <f t="shared" si="1"/>
        <v>Saint Laurent</v>
      </c>
      <c r="F1254" s="91" t="s">
        <v>1088</v>
      </c>
      <c r="G1254" s="170" t="str">
        <f t="shared" si="2"/>
        <v>Saint Laurent&gt;Balenciaga</v>
      </c>
    </row>
    <row r="1255">
      <c r="A1255" s="91">
        <v>1.0</v>
      </c>
      <c r="B1255" s="91" t="s">
        <v>2065</v>
      </c>
      <c r="C1255" s="91"/>
      <c r="D1255" s="171" t="str">
        <f t="shared" si="1"/>
        <v>Saint Laurent</v>
      </c>
      <c r="F1255" s="91" t="s">
        <v>1278</v>
      </c>
      <c r="G1255" s="170" t="str">
        <f t="shared" si="2"/>
        <v>Saint Laurent&gt;Louis Vuitton</v>
      </c>
    </row>
    <row r="1256">
      <c r="A1256" s="91">
        <v>1.0</v>
      </c>
      <c r="B1256" s="91" t="s">
        <v>2065</v>
      </c>
      <c r="C1256" s="91"/>
      <c r="D1256" s="171" t="str">
        <f t="shared" si="1"/>
        <v>Saint Laurent</v>
      </c>
      <c r="F1256" s="91" t="s">
        <v>838</v>
      </c>
      <c r="G1256" s="170" t="str">
        <f t="shared" si="2"/>
        <v>Saint Laurent&gt;Marie Antoinette Chocolatier</v>
      </c>
    </row>
    <row r="1257">
      <c r="A1257" s="91">
        <v>1.0</v>
      </c>
      <c r="B1257" s="91" t="s">
        <v>1082</v>
      </c>
      <c r="C1257" s="91"/>
      <c r="D1257" s="171" t="str">
        <f t="shared" si="1"/>
        <v>Saray Muhallebicisi</v>
      </c>
      <c r="F1257" s="91" t="s">
        <v>1579</v>
      </c>
      <c r="G1257" s="170" t="str">
        <f t="shared" si="2"/>
        <v>Saray Muhallebicisi&gt;D&amp;R</v>
      </c>
    </row>
    <row r="1258">
      <c r="A1258" s="91">
        <v>1.0</v>
      </c>
      <c r="B1258" s="91" t="s">
        <v>1082</v>
      </c>
      <c r="C1258" s="91"/>
      <c r="D1258" s="171" t="str">
        <f t="shared" si="1"/>
        <v>Saray Muhallebicisi</v>
      </c>
      <c r="F1258" s="91" t="s">
        <v>1634</v>
      </c>
      <c r="G1258" s="170" t="str">
        <f t="shared" si="2"/>
        <v>Saray Muhallebicisi&gt;HandeHaluk Kuaför</v>
      </c>
    </row>
    <row r="1259">
      <c r="A1259" s="91">
        <v>1.0</v>
      </c>
      <c r="B1259" s="91" t="s">
        <v>1082</v>
      </c>
      <c r="C1259" s="91"/>
      <c r="D1259" s="171" t="str">
        <f t="shared" si="1"/>
        <v>Saray Muhallebicisi</v>
      </c>
      <c r="F1259" s="91" t="s">
        <v>1696</v>
      </c>
      <c r="G1259" s="170" t="str">
        <f t="shared" si="2"/>
        <v>Saray Muhallebicisi&gt;MOC</v>
      </c>
    </row>
    <row r="1260">
      <c r="A1260" s="91">
        <v>1.0</v>
      </c>
      <c r="B1260" s="91" t="s">
        <v>1082</v>
      </c>
      <c r="C1260" s="91"/>
      <c r="D1260" s="171" t="str">
        <f t="shared" si="1"/>
        <v>Saray Muhallebicisi</v>
      </c>
      <c r="F1260" s="91" t="s">
        <v>2991</v>
      </c>
      <c r="G1260" s="170" t="str">
        <f t="shared" si="2"/>
        <v>Saray Muhallebicisi&gt;Restroom</v>
      </c>
    </row>
    <row r="1261">
      <c r="A1261" s="91">
        <v>1.0</v>
      </c>
      <c r="B1261" s="91" t="s">
        <v>1082</v>
      </c>
      <c r="C1261" s="91"/>
      <c r="D1261" s="171" t="str">
        <f t="shared" si="1"/>
        <v>Saray Muhallebicisi</v>
      </c>
      <c r="F1261" s="91" t="s">
        <v>497</v>
      </c>
      <c r="G1261" s="170" t="str">
        <f t="shared" si="2"/>
        <v>Saray Muhallebicisi&gt;Tobacco Shop</v>
      </c>
    </row>
    <row r="1262">
      <c r="A1262" s="91">
        <v>1.0</v>
      </c>
      <c r="B1262" s="91" t="s">
        <v>1082</v>
      </c>
      <c r="C1262" s="91"/>
      <c r="D1262" s="171" t="str">
        <f t="shared" si="1"/>
        <v>Saray Muhallebicisi</v>
      </c>
      <c r="F1262" s="91" t="s">
        <v>485</v>
      </c>
      <c r="G1262" s="170" t="str">
        <f t="shared" si="2"/>
        <v>Saray Muhallebicisi&gt;Watsons</v>
      </c>
    </row>
    <row r="1263">
      <c r="A1263" s="91">
        <v>1.0</v>
      </c>
      <c r="B1263" s="91" t="s">
        <v>1082</v>
      </c>
      <c r="C1263" s="91"/>
      <c r="D1263" s="171" t="str">
        <f t="shared" si="1"/>
        <v>Saray Muhallebicisi</v>
      </c>
      <c r="F1263" s="91" t="s">
        <v>3122</v>
      </c>
      <c r="G1263" s="170" t="str">
        <f t="shared" si="2"/>
        <v>Saray Muhallebicisi&gt;Zorlu PSM Meydan Katı</v>
      </c>
    </row>
    <row r="1264">
      <c r="A1264" s="91">
        <v>1.0</v>
      </c>
      <c r="B1264" s="91" t="s">
        <v>193</v>
      </c>
      <c r="C1264" s="91"/>
      <c r="D1264" s="171" t="str">
        <f t="shared" si="1"/>
        <v>Sephora</v>
      </c>
      <c r="F1264" s="91" t="s">
        <v>399</v>
      </c>
      <c r="G1264" s="170" t="str">
        <f t="shared" si="2"/>
        <v>Sephora&gt;Apple</v>
      </c>
    </row>
    <row r="1265">
      <c r="A1265" s="91">
        <v>1.0</v>
      </c>
      <c r="B1265" s="91" t="s">
        <v>193</v>
      </c>
      <c r="C1265" s="91"/>
      <c r="D1265" s="171" t="str">
        <f t="shared" si="1"/>
        <v>Sephora</v>
      </c>
      <c r="F1265" s="91" t="s">
        <v>1603</v>
      </c>
      <c r="G1265" s="170" t="str">
        <f t="shared" si="2"/>
        <v>Sephora&gt;Eataly</v>
      </c>
    </row>
    <row r="1266">
      <c r="A1266" s="91">
        <v>1.0</v>
      </c>
      <c r="B1266" s="91" t="s">
        <v>193</v>
      </c>
      <c r="C1266" s="91"/>
      <c r="D1266" s="171" t="str">
        <f t="shared" si="1"/>
        <v>Sephora</v>
      </c>
      <c r="F1266" s="91" t="s">
        <v>3071</v>
      </c>
      <c r="G1266" s="170" t="str">
        <f t="shared" si="2"/>
        <v>Sephora&gt;Otopark Giriş Levazım</v>
      </c>
    </row>
    <row r="1267">
      <c r="A1267" s="91">
        <v>1.0</v>
      </c>
      <c r="B1267" s="91" t="s">
        <v>193</v>
      </c>
      <c r="C1267" s="91"/>
      <c r="D1267" s="171" t="str">
        <f t="shared" si="1"/>
        <v>Sephora</v>
      </c>
      <c r="F1267" s="91" t="s">
        <v>64</v>
      </c>
      <c r="G1267" s="170" t="str">
        <f t="shared" si="2"/>
        <v>Sephora&gt;Rossmann</v>
      </c>
    </row>
    <row r="1268">
      <c r="A1268" s="91">
        <v>1.0</v>
      </c>
      <c r="B1268" s="91" t="s">
        <v>193</v>
      </c>
      <c r="C1268" s="91"/>
      <c r="D1268" s="171" t="str">
        <f t="shared" si="1"/>
        <v>Sephora</v>
      </c>
      <c r="F1268" s="91" t="s">
        <v>1076</v>
      </c>
      <c r="G1268" s="170" t="str">
        <f t="shared" si="2"/>
        <v>Sephora&gt;SushiCo</v>
      </c>
    </row>
    <row r="1269">
      <c r="A1269" s="91">
        <v>1.0</v>
      </c>
      <c r="B1269" s="91" t="s">
        <v>193</v>
      </c>
      <c r="C1269" s="91"/>
      <c r="D1269" s="171" t="str">
        <f t="shared" si="1"/>
        <v>Sephora</v>
      </c>
      <c r="F1269" s="91" t="s">
        <v>2132</v>
      </c>
      <c r="G1269" s="170" t="str">
        <f t="shared" si="2"/>
        <v>Sephora&gt;Vakkorama Cafe</v>
      </c>
    </row>
    <row r="1270">
      <c r="A1270" s="91">
        <v>1.0</v>
      </c>
      <c r="B1270" s="91" t="s">
        <v>193</v>
      </c>
      <c r="C1270" s="91"/>
      <c r="D1270" s="171" t="str">
        <f t="shared" si="1"/>
        <v>Sephora</v>
      </c>
      <c r="F1270" s="91" t="s">
        <v>1668</v>
      </c>
      <c r="G1270" s="170" t="str">
        <f t="shared" si="2"/>
        <v>Sephora&gt;Zula</v>
      </c>
    </row>
    <row r="1271">
      <c r="A1271" s="91">
        <v>1.0</v>
      </c>
      <c r="B1271" s="91" t="s">
        <v>533</v>
      </c>
      <c r="C1271" s="91"/>
      <c r="D1271" s="171" t="str">
        <f t="shared" si="1"/>
        <v>Sevil Parfümeri</v>
      </c>
      <c r="F1271" s="91" t="s">
        <v>430</v>
      </c>
      <c r="G1271" s="170" t="str">
        <f t="shared" si="2"/>
        <v>Sevil Parfümeri&gt;Ametist</v>
      </c>
    </row>
    <row r="1272">
      <c r="A1272" s="91">
        <v>1.0</v>
      </c>
      <c r="B1272" s="91" t="s">
        <v>533</v>
      </c>
      <c r="C1272" s="91"/>
      <c r="D1272" s="171" t="str">
        <f t="shared" si="1"/>
        <v>Sevil Parfümeri</v>
      </c>
      <c r="F1272" s="91" t="s">
        <v>682</v>
      </c>
      <c r="G1272" s="170" t="str">
        <f t="shared" si="2"/>
        <v>Sevil Parfümeri&gt;Beymen</v>
      </c>
    </row>
    <row r="1273">
      <c r="A1273" s="91">
        <v>1.0</v>
      </c>
      <c r="B1273" s="91" t="s">
        <v>533</v>
      </c>
      <c r="C1273" s="91"/>
      <c r="D1273" s="171" t="str">
        <f t="shared" si="1"/>
        <v>Sevil Parfümeri</v>
      </c>
      <c r="F1273" s="91" t="s">
        <v>569</v>
      </c>
      <c r="G1273" s="170" t="str">
        <f t="shared" si="2"/>
        <v>Sevil Parfümeri&gt;Burger King</v>
      </c>
    </row>
    <row r="1274">
      <c r="A1274" s="91">
        <v>1.0</v>
      </c>
      <c r="B1274" s="91" t="s">
        <v>533</v>
      </c>
      <c r="C1274" s="91"/>
      <c r="D1274" s="171" t="str">
        <f t="shared" si="1"/>
        <v>Sevil Parfümeri</v>
      </c>
      <c r="F1274" s="91" t="s">
        <v>1603</v>
      </c>
      <c r="G1274" s="170" t="str">
        <f t="shared" si="2"/>
        <v>Sevil Parfümeri&gt;Eataly</v>
      </c>
    </row>
    <row r="1275">
      <c r="A1275" s="91">
        <v>1.0</v>
      </c>
      <c r="B1275" s="91" t="s">
        <v>533</v>
      </c>
      <c r="C1275" s="91"/>
      <c r="D1275" s="171" t="str">
        <f t="shared" si="1"/>
        <v>Sevil Parfümeri</v>
      </c>
      <c r="F1275" s="91" t="s">
        <v>267</v>
      </c>
      <c r="G1275" s="170" t="str">
        <f t="shared" si="2"/>
        <v>Sevil Parfümeri&gt;H&amp;M</v>
      </c>
    </row>
    <row r="1276">
      <c r="A1276" s="91">
        <v>1.0</v>
      </c>
      <c r="B1276" s="91" t="s">
        <v>533</v>
      </c>
      <c r="C1276" s="91"/>
      <c r="D1276" s="171" t="str">
        <f t="shared" si="1"/>
        <v>Sevil Parfümeri</v>
      </c>
      <c r="F1276" s="91" t="s">
        <v>1031</v>
      </c>
      <c r="G1276" s="170" t="str">
        <f t="shared" si="2"/>
        <v>Sevil Parfümeri&gt;Happy Moon's</v>
      </c>
    </row>
    <row r="1277">
      <c r="A1277" s="91">
        <v>1.0</v>
      </c>
      <c r="B1277" s="91" t="s">
        <v>533</v>
      </c>
      <c r="C1277" s="91"/>
      <c r="D1277" s="171" t="str">
        <f t="shared" si="1"/>
        <v>Sevil Parfümeri</v>
      </c>
      <c r="F1277" s="91" t="s">
        <v>2427</v>
      </c>
      <c r="G1277" s="170" t="str">
        <f t="shared" si="2"/>
        <v>Sevil Parfümeri&gt;MAC Mars Athletic Club</v>
      </c>
    </row>
    <row r="1278">
      <c r="A1278" s="91">
        <v>1.0</v>
      </c>
      <c r="B1278" s="91" t="s">
        <v>533</v>
      </c>
      <c r="C1278" s="91"/>
      <c r="D1278" s="171" t="str">
        <f t="shared" si="1"/>
        <v>Sevil Parfümeri</v>
      </c>
      <c r="F1278" s="91" t="s">
        <v>658</v>
      </c>
      <c r="G1278" s="170" t="str">
        <f t="shared" si="2"/>
        <v>Sevil Parfümeri&gt;Pandora</v>
      </c>
    </row>
    <row r="1279">
      <c r="A1279" s="91">
        <v>1.0</v>
      </c>
      <c r="B1279" s="91" t="s">
        <v>533</v>
      </c>
      <c r="C1279" s="91"/>
      <c r="D1279" s="171" t="str">
        <f t="shared" si="1"/>
        <v>Sevil Parfümeri</v>
      </c>
      <c r="F1279" s="91" t="s">
        <v>1554</v>
      </c>
      <c r="G1279" s="170" t="str">
        <f t="shared" si="2"/>
        <v>Sevil Parfümeri&gt;Paşabahçe Mağazaları</v>
      </c>
    </row>
    <row r="1280">
      <c r="A1280" s="91">
        <v>1.0</v>
      </c>
      <c r="B1280" s="91" t="s">
        <v>533</v>
      </c>
      <c r="C1280" s="91"/>
      <c r="D1280" s="171" t="str">
        <f t="shared" si="1"/>
        <v>Sevil Parfümeri</v>
      </c>
      <c r="F1280" s="91" t="s">
        <v>1519</v>
      </c>
      <c r="G1280" s="170" t="str">
        <f t="shared" si="2"/>
        <v>Sevil Parfümeri&gt;Peak</v>
      </c>
    </row>
    <row r="1281">
      <c r="A1281" s="91">
        <v>1.0</v>
      </c>
      <c r="B1281" s="91" t="s">
        <v>533</v>
      </c>
      <c r="C1281" s="91"/>
      <c r="D1281" s="171" t="str">
        <f t="shared" si="1"/>
        <v>Sevil Parfümeri</v>
      </c>
      <c r="F1281" s="91" t="s">
        <v>806</v>
      </c>
      <c r="G1281" s="170" t="str">
        <f t="shared" si="2"/>
        <v>Sevil Parfümeri&gt;Remzi Kitabevi</v>
      </c>
    </row>
    <row r="1282">
      <c r="A1282" s="91">
        <v>1.0</v>
      </c>
      <c r="B1282" s="91" t="s">
        <v>533</v>
      </c>
      <c r="C1282" s="91"/>
      <c r="D1282" s="171" t="str">
        <f t="shared" si="1"/>
        <v>Sevil Parfümeri</v>
      </c>
      <c r="F1282" s="91" t="s">
        <v>64</v>
      </c>
      <c r="G1282" s="170" t="str">
        <f t="shared" si="2"/>
        <v>Sevil Parfümeri&gt;Rossmann</v>
      </c>
    </row>
    <row r="1283">
      <c r="A1283" s="91">
        <v>1.0</v>
      </c>
      <c r="B1283" s="91" t="s">
        <v>533</v>
      </c>
      <c r="C1283" s="91"/>
      <c r="D1283" s="171" t="str">
        <f t="shared" si="1"/>
        <v>Sevil Parfümeri</v>
      </c>
      <c r="F1283" s="91" t="s">
        <v>1076</v>
      </c>
      <c r="G1283" s="170" t="str">
        <f t="shared" si="2"/>
        <v>Sevil Parfümeri&gt;SushiCo</v>
      </c>
    </row>
    <row r="1284">
      <c r="A1284" s="91">
        <v>1.0</v>
      </c>
      <c r="B1284" s="91" t="s">
        <v>533</v>
      </c>
      <c r="C1284" s="91"/>
      <c r="D1284" s="171" t="str">
        <f t="shared" si="1"/>
        <v>Sevil Parfümeri</v>
      </c>
      <c r="F1284" s="91" t="s">
        <v>1542</v>
      </c>
      <c r="G1284" s="170" t="str">
        <f t="shared" si="2"/>
        <v>Sevil Parfümeri&gt;Vestel</v>
      </c>
    </row>
    <row r="1285">
      <c r="A1285" s="91">
        <v>1.0</v>
      </c>
      <c r="B1285" s="91" t="s">
        <v>533</v>
      </c>
      <c r="C1285" s="91"/>
      <c r="D1285" s="171" t="str">
        <f t="shared" si="1"/>
        <v>Sevil Parfümeri</v>
      </c>
      <c r="F1285" s="91" t="s">
        <v>485</v>
      </c>
      <c r="G1285" s="170" t="str">
        <f t="shared" si="2"/>
        <v>Sevil Parfümeri&gt;Watsons</v>
      </c>
    </row>
    <row r="1286">
      <c r="A1286" s="91">
        <v>1.0</v>
      </c>
      <c r="B1286" s="91" t="s">
        <v>533</v>
      </c>
      <c r="C1286" s="91"/>
      <c r="D1286" s="171" t="str">
        <f t="shared" si="1"/>
        <v>Sevil Parfümeri</v>
      </c>
      <c r="F1286" s="91" t="s">
        <v>303</v>
      </c>
      <c r="G1286" s="170" t="str">
        <f t="shared" si="2"/>
        <v>Sevil Parfümeri&gt;Yves Rocher</v>
      </c>
    </row>
    <row r="1287">
      <c r="A1287" s="91">
        <v>1.0</v>
      </c>
      <c r="B1287" s="91" t="s">
        <v>173</v>
      </c>
      <c r="C1287" s="91"/>
      <c r="D1287" s="171" t="str">
        <f t="shared" si="1"/>
        <v>Skechers</v>
      </c>
      <c r="F1287" s="91" t="s">
        <v>579</v>
      </c>
      <c r="G1287" s="170" t="str">
        <f t="shared" si="2"/>
        <v>Skechers&gt;Arby's</v>
      </c>
    </row>
    <row r="1288">
      <c r="A1288" s="91">
        <v>1.0</v>
      </c>
      <c r="B1288" s="91" t="s">
        <v>173</v>
      </c>
      <c r="C1288" s="91"/>
      <c r="D1288" s="171" t="str">
        <f t="shared" si="1"/>
        <v>Skechers</v>
      </c>
      <c r="F1288" s="91" t="s">
        <v>699</v>
      </c>
      <c r="G1288" s="170" t="str">
        <f t="shared" si="2"/>
        <v>Skechers&gt;Cup of Joy</v>
      </c>
    </row>
    <row r="1289">
      <c r="A1289" s="91">
        <v>1.0</v>
      </c>
      <c r="B1289" s="91" t="s">
        <v>173</v>
      </c>
      <c r="C1289" s="91"/>
      <c r="D1289" s="171" t="str">
        <f t="shared" si="1"/>
        <v>Skechers</v>
      </c>
      <c r="F1289" s="91" t="s">
        <v>543</v>
      </c>
      <c r="G1289" s="170" t="str">
        <f t="shared" si="2"/>
        <v>Skechers&gt;Divarese</v>
      </c>
    </row>
    <row r="1290">
      <c r="A1290" s="91">
        <v>1.0</v>
      </c>
      <c r="B1290" s="91" t="s">
        <v>173</v>
      </c>
      <c r="C1290" s="91"/>
      <c r="D1290" s="171" t="str">
        <f t="shared" si="1"/>
        <v>Skechers</v>
      </c>
      <c r="F1290" s="91" t="s">
        <v>1573</v>
      </c>
      <c r="G1290" s="170" t="str">
        <f t="shared" si="2"/>
        <v>Skechers&gt;English Home</v>
      </c>
    </row>
    <row r="1291">
      <c r="A1291" s="91">
        <v>1.0</v>
      </c>
      <c r="B1291" s="91" t="s">
        <v>173</v>
      </c>
      <c r="C1291" s="91"/>
      <c r="D1291" s="171" t="str">
        <f t="shared" si="1"/>
        <v>Skechers</v>
      </c>
      <c r="F1291" s="91" t="s">
        <v>646</v>
      </c>
      <c r="G1291" s="170" t="str">
        <f t="shared" si="2"/>
        <v>Skechers&gt;Green Salads</v>
      </c>
    </row>
    <row r="1292">
      <c r="A1292" s="91">
        <v>1.0</v>
      </c>
      <c r="B1292" s="91" t="s">
        <v>173</v>
      </c>
      <c r="C1292" s="91"/>
      <c r="D1292" s="171" t="str">
        <f t="shared" si="1"/>
        <v>Skechers</v>
      </c>
      <c r="F1292" s="91" t="s">
        <v>267</v>
      </c>
      <c r="G1292" s="170" t="str">
        <f t="shared" si="2"/>
        <v>Skechers&gt;H&amp;M</v>
      </c>
    </row>
    <row r="1293">
      <c r="A1293" s="91">
        <v>1.0</v>
      </c>
      <c r="B1293" s="91" t="s">
        <v>173</v>
      </c>
      <c r="C1293" s="91"/>
      <c r="D1293" s="171" t="str">
        <f t="shared" si="1"/>
        <v>Skechers</v>
      </c>
      <c r="F1293" s="91" t="s">
        <v>216</v>
      </c>
      <c r="G1293" s="170" t="str">
        <f t="shared" si="2"/>
        <v>Skechers&gt;Mavi</v>
      </c>
    </row>
    <row r="1294">
      <c r="A1294" s="91">
        <v>1.0</v>
      </c>
      <c r="B1294" s="91" t="s">
        <v>173</v>
      </c>
      <c r="C1294" s="91"/>
      <c r="D1294" s="171" t="str">
        <f t="shared" si="1"/>
        <v>Skechers</v>
      </c>
      <c r="F1294" s="91" t="s">
        <v>806</v>
      </c>
      <c r="G1294" s="170" t="str">
        <f t="shared" si="2"/>
        <v>Skechers&gt;Remzi Kitabevi</v>
      </c>
    </row>
    <row r="1295">
      <c r="A1295" s="91">
        <v>1.0</v>
      </c>
      <c r="B1295" s="91" t="s">
        <v>173</v>
      </c>
      <c r="C1295" s="91"/>
      <c r="D1295" s="171" t="str">
        <f t="shared" si="1"/>
        <v>Skechers</v>
      </c>
      <c r="F1295" s="91" t="s">
        <v>2325</v>
      </c>
      <c r="G1295" s="170" t="str">
        <f t="shared" si="2"/>
        <v>Skechers&gt;Superstep</v>
      </c>
    </row>
    <row r="1296">
      <c r="A1296" s="91">
        <v>1.0</v>
      </c>
      <c r="B1296" s="91" t="s">
        <v>173</v>
      </c>
      <c r="C1296" s="91"/>
      <c r="D1296" s="171" t="str">
        <f t="shared" si="1"/>
        <v>Skechers</v>
      </c>
      <c r="F1296" s="91" t="s">
        <v>1076</v>
      </c>
      <c r="G1296" s="170" t="str">
        <f t="shared" si="2"/>
        <v>Skechers&gt;SushiCo</v>
      </c>
    </row>
    <row r="1297">
      <c r="A1297" s="91">
        <v>1.0</v>
      </c>
      <c r="B1297" s="91" t="s">
        <v>173</v>
      </c>
      <c r="C1297" s="91"/>
      <c r="D1297" s="171" t="str">
        <f t="shared" si="1"/>
        <v>Skechers</v>
      </c>
      <c r="F1297" s="91" t="s">
        <v>3583</v>
      </c>
      <c r="G1297" s="170" t="str">
        <f t="shared" si="2"/>
        <v>Skechers&gt;Taksi</v>
      </c>
    </row>
    <row r="1298">
      <c r="A1298" s="91">
        <v>1.0</v>
      </c>
      <c r="B1298" s="91" t="s">
        <v>173</v>
      </c>
      <c r="C1298" s="91"/>
      <c r="D1298" s="171" t="str">
        <f t="shared" si="1"/>
        <v>Skechers</v>
      </c>
      <c r="F1298" s="91" t="s">
        <v>320</v>
      </c>
      <c r="G1298" s="170" t="str">
        <f t="shared" si="2"/>
        <v>Skechers&gt;US Polo Assn.</v>
      </c>
    </row>
    <row r="1299">
      <c r="A1299" s="91">
        <v>1.0</v>
      </c>
      <c r="B1299" s="91" t="s">
        <v>173</v>
      </c>
      <c r="C1299" s="91"/>
      <c r="D1299" s="171" t="str">
        <f t="shared" si="1"/>
        <v>Skechers</v>
      </c>
      <c r="F1299" s="91" t="s">
        <v>1668</v>
      </c>
      <c r="G1299" s="170" t="str">
        <f t="shared" si="2"/>
        <v>Skechers&gt;Zula</v>
      </c>
    </row>
    <row r="1300">
      <c r="A1300" s="91">
        <v>1.0</v>
      </c>
      <c r="B1300" s="91" t="s">
        <v>343</v>
      </c>
      <c r="C1300" s="91"/>
      <c r="D1300" s="171" t="str">
        <f t="shared" si="1"/>
        <v>Sneaks Up</v>
      </c>
      <c r="F1300" s="91" t="s">
        <v>343</v>
      </c>
      <c r="G1300" s="170" t="str">
        <f t="shared" si="2"/>
        <v>Sneaks Up&gt;Sneaks Up</v>
      </c>
    </row>
    <row r="1301">
      <c r="A1301" s="91">
        <v>1.0</v>
      </c>
      <c r="B1301" s="91" t="s">
        <v>181</v>
      </c>
      <c r="C1301" s="91"/>
      <c r="D1301" s="171" t="str">
        <f t="shared" si="1"/>
        <v>Starbucks</v>
      </c>
      <c r="F1301" s="91" t="s">
        <v>682</v>
      </c>
      <c r="G1301" s="170" t="str">
        <f t="shared" si="2"/>
        <v>Starbucks&gt;Beymen</v>
      </c>
    </row>
    <row r="1302">
      <c r="A1302" s="91">
        <v>1.0</v>
      </c>
      <c r="B1302" s="91" t="s">
        <v>181</v>
      </c>
      <c r="C1302" s="91"/>
      <c r="D1302" s="171" t="str">
        <f t="shared" si="1"/>
        <v>Starbucks</v>
      </c>
      <c r="F1302" s="91" t="s">
        <v>1626</v>
      </c>
      <c r="G1302" s="170" t="str">
        <f t="shared" si="2"/>
        <v>Starbucks&gt;Funloft</v>
      </c>
    </row>
    <row r="1303">
      <c r="A1303" s="91">
        <v>1.0</v>
      </c>
      <c r="B1303" s="91" t="s">
        <v>181</v>
      </c>
      <c r="C1303" s="91"/>
      <c r="D1303" s="171" t="str">
        <f t="shared" si="1"/>
        <v>Starbucks</v>
      </c>
      <c r="F1303" s="91" t="s">
        <v>1536</v>
      </c>
      <c r="G1303" s="170" t="str">
        <f t="shared" si="2"/>
        <v>Starbucks&gt;Macrocenter</v>
      </c>
    </row>
    <row r="1304">
      <c r="A1304" s="91">
        <v>1.0</v>
      </c>
      <c r="B1304" s="91" t="s">
        <v>181</v>
      </c>
      <c r="C1304" s="91"/>
      <c r="D1304" s="171" t="str">
        <f t="shared" si="1"/>
        <v>Starbucks</v>
      </c>
      <c r="F1304" s="91" t="s">
        <v>3859</v>
      </c>
      <c r="G1304" s="170" t="str">
        <f t="shared" si="2"/>
        <v>Starbucks&gt;Metro&lt;br&gt;Metrobus</v>
      </c>
    </row>
    <row r="1305">
      <c r="A1305" s="91">
        <v>1.0</v>
      </c>
      <c r="B1305" s="91" t="s">
        <v>181</v>
      </c>
      <c r="C1305" s="91"/>
      <c r="D1305" s="171" t="str">
        <f t="shared" si="1"/>
        <v>Starbucks</v>
      </c>
      <c r="F1305" s="91" t="s">
        <v>3071</v>
      </c>
      <c r="G1305" s="170" t="str">
        <f t="shared" si="2"/>
        <v>Starbucks&gt;Otopark Giriş Levazım</v>
      </c>
    </row>
    <row r="1306">
      <c r="A1306" s="91">
        <v>1.0</v>
      </c>
      <c r="B1306" s="91" t="s">
        <v>181</v>
      </c>
      <c r="C1306" s="91"/>
      <c r="D1306" s="171" t="str">
        <f t="shared" si="1"/>
        <v>Starbucks</v>
      </c>
      <c r="F1306" s="91" t="s">
        <v>1400</v>
      </c>
      <c r="G1306" s="170" t="str">
        <f t="shared" si="2"/>
        <v>Starbucks&gt;Park Alanı</v>
      </c>
    </row>
    <row r="1307">
      <c r="A1307" s="91">
        <v>1.0</v>
      </c>
      <c r="B1307" s="91" t="s">
        <v>181</v>
      </c>
      <c r="C1307" s="91"/>
      <c r="D1307" s="171" t="str">
        <f t="shared" si="1"/>
        <v>Starbucks</v>
      </c>
      <c r="F1307" s="91" t="s">
        <v>3854</v>
      </c>
      <c r="G1307" s="170" t="str">
        <f t="shared" si="2"/>
        <v>Starbucks&gt;Pharmacy</v>
      </c>
    </row>
    <row r="1308">
      <c r="A1308" s="91">
        <v>1.0</v>
      </c>
      <c r="B1308" s="91" t="s">
        <v>181</v>
      </c>
      <c r="C1308" s="91"/>
      <c r="D1308" s="171" t="str">
        <f t="shared" si="1"/>
        <v>Starbucks</v>
      </c>
      <c r="F1308" s="91" t="s">
        <v>181</v>
      </c>
      <c r="G1308" s="170" t="str">
        <f t="shared" si="2"/>
        <v>Starbucks&gt;Starbucks</v>
      </c>
    </row>
    <row r="1309">
      <c r="A1309" s="91">
        <v>1.0</v>
      </c>
      <c r="B1309" s="91" t="s">
        <v>181</v>
      </c>
      <c r="C1309" s="91"/>
      <c r="D1309" s="171" t="str">
        <f t="shared" si="1"/>
        <v>Starbucks</v>
      </c>
      <c r="F1309" s="91" t="s">
        <v>2325</v>
      </c>
      <c r="G1309" s="170" t="str">
        <f t="shared" si="2"/>
        <v>Starbucks&gt;Superstep</v>
      </c>
    </row>
    <row r="1310">
      <c r="A1310" s="91">
        <v>1.0</v>
      </c>
      <c r="B1310" s="91" t="s">
        <v>181</v>
      </c>
      <c r="C1310" s="91"/>
      <c r="D1310" s="171" t="str">
        <f t="shared" si="1"/>
        <v>Starbucks</v>
      </c>
      <c r="F1310" s="91" t="s">
        <v>1548</v>
      </c>
      <c r="G1310" s="170" t="str">
        <f t="shared" si="2"/>
        <v>Starbucks&gt;Toyzz Shop</v>
      </c>
    </row>
    <row r="1311">
      <c r="A1311" s="91">
        <v>1.0</v>
      </c>
      <c r="B1311" s="91" t="s">
        <v>181</v>
      </c>
      <c r="C1311" s="91"/>
      <c r="D1311" s="171" t="str">
        <f t="shared" si="1"/>
        <v>Starbucks</v>
      </c>
      <c r="F1311" s="91" t="s">
        <v>1020</v>
      </c>
      <c r="G1311" s="170" t="str">
        <f t="shared" si="2"/>
        <v>Starbucks&gt;Vakko</v>
      </c>
    </row>
    <row r="1312">
      <c r="A1312" s="91">
        <v>1.0</v>
      </c>
      <c r="B1312" s="91" t="s">
        <v>181</v>
      </c>
      <c r="C1312" s="91"/>
      <c r="D1312" s="171" t="str">
        <f t="shared" si="1"/>
        <v>Starbucks</v>
      </c>
      <c r="F1312" s="91" t="s">
        <v>3852</v>
      </c>
      <c r="G1312" s="170" t="str">
        <f t="shared" si="2"/>
        <v>Starbucks&gt;WC</v>
      </c>
    </row>
    <row r="1313">
      <c r="A1313" s="91">
        <v>1.0</v>
      </c>
      <c r="B1313" s="91" t="s">
        <v>181</v>
      </c>
      <c r="C1313" s="91"/>
      <c r="D1313" s="171" t="str">
        <f t="shared" si="1"/>
        <v>Starbucks</v>
      </c>
      <c r="F1313" s="91" t="s">
        <v>2989</v>
      </c>
      <c r="G1313" s="170" t="str">
        <f t="shared" si="2"/>
        <v>Starbucks&gt;Zorlu PSM Boğaz Katı</v>
      </c>
    </row>
    <row r="1314">
      <c r="A1314" s="91">
        <v>1.0</v>
      </c>
      <c r="B1314" s="91" t="s">
        <v>2325</v>
      </c>
      <c r="C1314" s="91"/>
      <c r="D1314" s="171" t="str">
        <f t="shared" si="1"/>
        <v>Superstep</v>
      </c>
      <c r="F1314" s="91" t="s">
        <v>1626</v>
      </c>
      <c r="G1314" s="170" t="str">
        <f t="shared" si="2"/>
        <v>Superstep&gt;Funloft</v>
      </c>
    </row>
    <row r="1315">
      <c r="A1315" s="91">
        <v>1.0</v>
      </c>
      <c r="B1315" s="91" t="s">
        <v>2325</v>
      </c>
      <c r="C1315" s="91"/>
      <c r="D1315" s="171" t="str">
        <f t="shared" si="1"/>
        <v>Superstep</v>
      </c>
      <c r="F1315" s="91" t="s">
        <v>2266</v>
      </c>
      <c r="G1315" s="170" t="str">
        <f t="shared" si="2"/>
        <v>Superstep&gt;Kafe Vesto</v>
      </c>
    </row>
    <row r="1316">
      <c r="A1316" s="91">
        <v>1.0</v>
      </c>
      <c r="B1316" s="91" t="s">
        <v>2325</v>
      </c>
      <c r="C1316" s="91"/>
      <c r="D1316" s="171" t="str">
        <f t="shared" si="1"/>
        <v>Superstep</v>
      </c>
      <c r="F1316" s="91" t="s">
        <v>1536</v>
      </c>
      <c r="G1316" s="170" t="str">
        <f t="shared" si="2"/>
        <v>Superstep&gt;Macrocenter</v>
      </c>
    </row>
    <row r="1317">
      <c r="A1317" s="91">
        <v>1.0</v>
      </c>
      <c r="B1317" s="91" t="s">
        <v>2325</v>
      </c>
      <c r="C1317" s="91"/>
      <c r="D1317" s="171" t="str">
        <f t="shared" si="1"/>
        <v>Superstep</v>
      </c>
      <c r="F1317" s="91" t="s">
        <v>1159</v>
      </c>
      <c r="G1317" s="170" t="str">
        <f t="shared" si="2"/>
        <v>Superstep&gt;Moncler</v>
      </c>
    </row>
    <row r="1318">
      <c r="A1318" s="91">
        <v>1.0</v>
      </c>
      <c r="B1318" s="91" t="s">
        <v>2325</v>
      </c>
      <c r="C1318" s="91"/>
      <c r="D1318" s="171" t="str">
        <f t="shared" si="1"/>
        <v>Superstep</v>
      </c>
      <c r="F1318" s="91" t="s">
        <v>658</v>
      </c>
      <c r="G1318" s="170" t="str">
        <f t="shared" si="2"/>
        <v>Superstep&gt;Pandora</v>
      </c>
    </row>
    <row r="1319">
      <c r="A1319" s="91">
        <v>1.0</v>
      </c>
      <c r="B1319" s="91" t="s">
        <v>2325</v>
      </c>
      <c r="C1319" s="91"/>
      <c r="D1319" s="171" t="str">
        <f t="shared" si="1"/>
        <v>Superstep</v>
      </c>
      <c r="F1319" s="91" t="s">
        <v>2991</v>
      </c>
      <c r="G1319" s="170" t="str">
        <f t="shared" si="2"/>
        <v>Superstep&gt;Restroom</v>
      </c>
    </row>
    <row r="1320">
      <c r="A1320" s="91">
        <v>1.0</v>
      </c>
      <c r="B1320" s="91" t="s">
        <v>1076</v>
      </c>
      <c r="C1320" s="91"/>
      <c r="D1320" s="171" t="str">
        <f t="shared" si="1"/>
        <v>SushiCo</v>
      </c>
      <c r="F1320" s="91" t="s">
        <v>1059</v>
      </c>
      <c r="G1320" s="170" t="str">
        <f t="shared" si="2"/>
        <v>SushiCo&gt;BigChefs</v>
      </c>
    </row>
    <row r="1321">
      <c r="A1321" s="91">
        <v>1.0</v>
      </c>
      <c r="B1321" s="91" t="s">
        <v>1076</v>
      </c>
      <c r="C1321" s="91"/>
      <c r="D1321" s="171" t="str">
        <f t="shared" si="1"/>
        <v>SushiCo</v>
      </c>
      <c r="F1321" s="91" t="s">
        <v>2083</v>
      </c>
      <c r="G1321" s="170" t="str">
        <f t="shared" si="2"/>
        <v>SushiCo&gt;Döner Stop</v>
      </c>
    </row>
    <row r="1322">
      <c r="A1322" s="91">
        <v>1.0</v>
      </c>
      <c r="B1322" s="91" t="s">
        <v>1076</v>
      </c>
      <c r="C1322" s="91"/>
      <c r="D1322" s="171" t="str">
        <f t="shared" si="1"/>
        <v>SushiCo</v>
      </c>
      <c r="F1322" s="91" t="s">
        <v>2249</v>
      </c>
      <c r="G1322" s="170" t="str">
        <f t="shared" si="2"/>
        <v>SushiCo&gt;KFC</v>
      </c>
    </row>
    <row r="1323">
      <c r="A1323" s="91">
        <v>1.0</v>
      </c>
      <c r="B1323" s="91" t="s">
        <v>1076</v>
      </c>
      <c r="C1323" s="91"/>
      <c r="D1323" s="171" t="str">
        <f t="shared" si="1"/>
        <v>SushiCo</v>
      </c>
      <c r="F1323" s="91" t="s">
        <v>3783</v>
      </c>
      <c r="G1323" s="170" t="str">
        <f t="shared" si="2"/>
        <v>SushiCo&gt;PSM</v>
      </c>
    </row>
    <row r="1324">
      <c r="A1324" s="91">
        <v>1.0</v>
      </c>
      <c r="B1324" s="91" t="s">
        <v>1076</v>
      </c>
      <c r="C1324" s="91"/>
      <c r="D1324" s="171" t="str">
        <f t="shared" si="1"/>
        <v>SushiCo</v>
      </c>
      <c r="F1324" s="91" t="s">
        <v>181</v>
      </c>
      <c r="G1324" s="170" t="str">
        <f t="shared" si="2"/>
        <v>SushiCo&gt;Starbucks</v>
      </c>
    </row>
    <row r="1325">
      <c r="A1325" s="91">
        <v>1.0</v>
      </c>
      <c r="B1325" s="91" t="s">
        <v>1076</v>
      </c>
      <c r="C1325" s="91"/>
      <c r="D1325" s="171" t="str">
        <f t="shared" si="1"/>
        <v>SushiCo</v>
      </c>
      <c r="F1325" s="91" t="s">
        <v>497</v>
      </c>
      <c r="G1325" s="170" t="str">
        <f t="shared" si="2"/>
        <v>SushiCo&gt;Tobacco Shop</v>
      </c>
    </row>
    <row r="1326">
      <c r="A1326" s="91">
        <v>1.0</v>
      </c>
      <c r="B1326" s="91" t="s">
        <v>1076</v>
      </c>
      <c r="C1326" s="91"/>
      <c r="D1326" s="171" t="str">
        <f t="shared" si="1"/>
        <v>SushiCo</v>
      </c>
      <c r="F1326" s="91" t="s">
        <v>320</v>
      </c>
      <c r="G1326" s="170" t="str">
        <f t="shared" si="2"/>
        <v>SushiCo&gt;US Polo Assn.</v>
      </c>
    </row>
    <row r="1327">
      <c r="A1327" s="91">
        <v>1.0</v>
      </c>
      <c r="B1327" s="91" t="s">
        <v>812</v>
      </c>
      <c r="C1327" s="91"/>
      <c r="D1327" s="171" t="str">
        <f t="shared" si="1"/>
        <v>Swarovski</v>
      </c>
      <c r="F1327" s="91" t="s">
        <v>682</v>
      </c>
      <c r="G1327" s="170" t="str">
        <f t="shared" si="2"/>
        <v>Swarovski&gt;Beymen</v>
      </c>
    </row>
    <row r="1328">
      <c r="A1328" s="91">
        <v>1.0</v>
      </c>
      <c r="B1328" s="91" t="s">
        <v>812</v>
      </c>
      <c r="C1328" s="91"/>
      <c r="D1328" s="171" t="str">
        <f t="shared" si="1"/>
        <v>Swarovski</v>
      </c>
      <c r="F1328" s="91" t="s">
        <v>794</v>
      </c>
      <c r="G1328" s="170" t="str">
        <f t="shared" si="2"/>
        <v>Swarovski&gt;Kiehl's</v>
      </c>
    </row>
    <row r="1329">
      <c r="A1329" s="91">
        <v>1.0</v>
      </c>
      <c r="B1329" s="91" t="s">
        <v>812</v>
      </c>
      <c r="C1329" s="91"/>
      <c r="D1329" s="171" t="str">
        <f t="shared" si="1"/>
        <v>Swarovski</v>
      </c>
      <c r="F1329" s="91" t="s">
        <v>1047</v>
      </c>
      <c r="G1329" s="170" t="str">
        <f t="shared" si="2"/>
        <v>Swarovski&gt;Rolex</v>
      </c>
    </row>
    <row r="1330">
      <c r="A1330" s="91">
        <v>1.0</v>
      </c>
      <c r="B1330" s="91" t="s">
        <v>812</v>
      </c>
      <c r="C1330" s="91"/>
      <c r="D1330" s="171" t="str">
        <f t="shared" si="1"/>
        <v>Swarovski</v>
      </c>
      <c r="F1330" s="91" t="s">
        <v>474</v>
      </c>
      <c r="G1330" s="170" t="str">
        <f t="shared" si="2"/>
        <v>Swarovski&gt;Zara</v>
      </c>
    </row>
    <row r="1331">
      <c r="A1331" s="91">
        <v>1.0</v>
      </c>
      <c r="B1331" s="91" t="s">
        <v>2799</v>
      </c>
      <c r="C1331" s="91"/>
      <c r="D1331" s="171" t="str">
        <f t="shared" si="1"/>
        <v>Tax Free Zone (Info Desk)</v>
      </c>
      <c r="F1331" s="91" t="s">
        <v>1626</v>
      </c>
      <c r="G1331" s="170" t="str">
        <f t="shared" si="2"/>
        <v>Tax Free Zone (Info Desk)&gt;Funloft</v>
      </c>
    </row>
    <row r="1332">
      <c r="A1332" s="91">
        <v>1.0</v>
      </c>
      <c r="B1332" s="91" t="s">
        <v>2799</v>
      </c>
      <c r="C1332" s="91"/>
      <c r="D1332" s="171" t="str">
        <f t="shared" si="1"/>
        <v>Tax Free Zone (Info Desk)</v>
      </c>
      <c r="F1332" s="91" t="s">
        <v>955</v>
      </c>
      <c r="G1332" s="170" t="str">
        <f t="shared" si="2"/>
        <v>Tax Free Zone (Info Desk)&gt;Global Blue (Beymen)</v>
      </c>
    </row>
    <row r="1333">
      <c r="A1333" s="91">
        <v>1.0</v>
      </c>
      <c r="B1333" s="91" t="s">
        <v>2799</v>
      </c>
      <c r="C1333" s="91"/>
      <c r="D1333" s="171" t="str">
        <f t="shared" si="1"/>
        <v>Tax Free Zone (Info Desk)</v>
      </c>
      <c r="F1333" s="91" t="s">
        <v>658</v>
      </c>
      <c r="G1333" s="170" t="str">
        <f t="shared" si="2"/>
        <v>Tax Free Zone (Info Desk)&gt;Pandora</v>
      </c>
    </row>
    <row r="1334">
      <c r="A1334" s="91">
        <v>1.0</v>
      </c>
      <c r="B1334" s="91" t="s">
        <v>2290</v>
      </c>
      <c r="C1334" s="91"/>
      <c r="D1334" s="171" t="str">
        <f t="shared" si="1"/>
        <v>The Kooples</v>
      </c>
      <c r="F1334" s="91" t="s">
        <v>285</v>
      </c>
      <c r="G1334" s="170" t="str">
        <f t="shared" si="2"/>
        <v>The Kooples&gt;Aldo</v>
      </c>
    </row>
    <row r="1335">
      <c r="A1335" s="91">
        <v>1.0</v>
      </c>
      <c r="B1335" s="91" t="s">
        <v>2290</v>
      </c>
      <c r="C1335" s="91"/>
      <c r="D1335" s="171" t="str">
        <f t="shared" si="1"/>
        <v>The Kooples</v>
      </c>
      <c r="F1335" s="91" t="s">
        <v>3851</v>
      </c>
      <c r="G1335" s="170" t="str">
        <f t="shared" si="2"/>
        <v>The Kooples&gt;Park Area</v>
      </c>
    </row>
    <row r="1336">
      <c r="A1336" s="91">
        <v>1.0</v>
      </c>
      <c r="B1336" s="91" t="s">
        <v>2290</v>
      </c>
      <c r="C1336" s="91"/>
      <c r="D1336" s="171" t="str">
        <f t="shared" si="1"/>
        <v>The Kooples</v>
      </c>
      <c r="F1336" s="91" t="s">
        <v>1076</v>
      </c>
      <c r="G1336" s="170" t="str">
        <f t="shared" si="2"/>
        <v>The Kooples&gt;SushiCo</v>
      </c>
    </row>
    <row r="1337">
      <c r="A1337" s="91">
        <v>1.0</v>
      </c>
      <c r="B1337" s="91" t="s">
        <v>1165</v>
      </c>
      <c r="C1337" s="91"/>
      <c r="D1337" s="171" t="str">
        <f t="shared" si="1"/>
        <v>Tiffany &amp; Co.</v>
      </c>
      <c r="F1337" s="91" t="s">
        <v>1603</v>
      </c>
      <c r="G1337" s="170" t="str">
        <f t="shared" si="2"/>
        <v>Tiffany &amp; Co.&gt;Eataly</v>
      </c>
    </row>
    <row r="1338">
      <c r="A1338" s="91">
        <v>1.0</v>
      </c>
      <c r="B1338" s="91" t="s">
        <v>1165</v>
      </c>
      <c r="C1338" s="91"/>
      <c r="D1338" s="171" t="str">
        <f t="shared" si="1"/>
        <v>Tiffany &amp; Co.</v>
      </c>
      <c r="F1338" s="91" t="s">
        <v>2065</v>
      </c>
      <c r="G1338" s="170" t="str">
        <f t="shared" si="2"/>
        <v>Tiffany &amp; Co.&gt;Saint Laurent</v>
      </c>
    </row>
    <row r="1339">
      <c r="A1339" s="91">
        <v>1.0</v>
      </c>
      <c r="B1339" s="91" t="s">
        <v>1165</v>
      </c>
      <c r="C1339" s="91"/>
      <c r="D1339" s="171" t="str">
        <f t="shared" si="1"/>
        <v>Tiffany &amp; Co.</v>
      </c>
      <c r="F1339" s="91" t="s">
        <v>1165</v>
      </c>
      <c r="G1339" s="170" t="str">
        <f t="shared" si="2"/>
        <v>Tiffany &amp; Co.&gt;Tiffany &amp; Co.</v>
      </c>
    </row>
    <row r="1340">
      <c r="A1340" s="91">
        <v>1.0</v>
      </c>
      <c r="B1340" s="91" t="s">
        <v>1165</v>
      </c>
      <c r="C1340" s="91"/>
      <c r="D1340" s="171" t="str">
        <f t="shared" si="1"/>
        <v>Tiffany &amp; Co.</v>
      </c>
      <c r="F1340" s="91" t="s">
        <v>1548</v>
      </c>
      <c r="G1340" s="170" t="str">
        <f t="shared" si="2"/>
        <v>Tiffany &amp; Co.&gt;Toyzz Shop</v>
      </c>
    </row>
    <row r="1341">
      <c r="A1341" s="91">
        <v>1.0</v>
      </c>
      <c r="B1341" s="91" t="s">
        <v>497</v>
      </c>
      <c r="C1341" s="91"/>
      <c r="D1341" s="171" t="str">
        <f t="shared" si="1"/>
        <v>Tobacco Shop</v>
      </c>
      <c r="F1341" s="91" t="s">
        <v>699</v>
      </c>
      <c r="G1341" s="170" t="str">
        <f t="shared" si="2"/>
        <v>Tobacco Shop&gt;Cup of Joy</v>
      </c>
    </row>
    <row r="1342">
      <c r="A1342" s="91">
        <v>1.0</v>
      </c>
      <c r="B1342" s="91" t="s">
        <v>1026</v>
      </c>
      <c r="C1342" s="91"/>
      <c r="D1342" s="171" t="str">
        <f t="shared" si="1"/>
        <v>Tod's</v>
      </c>
      <c r="F1342" s="91" t="s">
        <v>2903</v>
      </c>
      <c r="G1342" s="170" t="str">
        <f t="shared" si="2"/>
        <v>Tod's&gt;Taxi</v>
      </c>
    </row>
    <row r="1343">
      <c r="A1343" s="91">
        <v>1.0</v>
      </c>
      <c r="B1343" s="91" t="s">
        <v>1026</v>
      </c>
      <c r="C1343" s="91"/>
      <c r="D1343" s="171" t="str">
        <f t="shared" si="1"/>
        <v>Tod's</v>
      </c>
      <c r="F1343" s="91" t="s">
        <v>2321</v>
      </c>
      <c r="G1343" s="170" t="str">
        <f t="shared" si="2"/>
        <v>Tod's&gt;Tommi Brasserie</v>
      </c>
    </row>
    <row r="1344">
      <c r="A1344" s="91">
        <v>1.0</v>
      </c>
      <c r="B1344" s="91" t="s">
        <v>1026</v>
      </c>
      <c r="C1344" s="91"/>
      <c r="D1344" s="171" t="str">
        <f t="shared" si="1"/>
        <v>Tod's</v>
      </c>
      <c r="F1344" s="91" t="s">
        <v>1403</v>
      </c>
      <c r="G1344" s="170" t="str">
        <f t="shared" si="2"/>
        <v>Tod's&gt;Zorlu Center Açık Hava</v>
      </c>
    </row>
    <row r="1345">
      <c r="A1345" s="91">
        <v>1.0</v>
      </c>
      <c r="B1345" s="91" t="s">
        <v>2321</v>
      </c>
      <c r="C1345" s="91"/>
      <c r="D1345" s="171" t="str">
        <f t="shared" si="1"/>
        <v>Tommi Brasserie</v>
      </c>
      <c r="F1345" s="91" t="s">
        <v>777</v>
      </c>
      <c r="G1345" s="170" t="str">
        <f t="shared" si="2"/>
        <v>Tommi Brasserie&gt;COS</v>
      </c>
    </row>
    <row r="1346">
      <c r="A1346" s="91">
        <v>1.0</v>
      </c>
      <c r="B1346" s="91" t="s">
        <v>2321</v>
      </c>
      <c r="C1346" s="91"/>
      <c r="D1346" s="171" t="str">
        <f t="shared" si="1"/>
        <v>Tommi Brasserie</v>
      </c>
      <c r="F1346" s="91" t="s">
        <v>771</v>
      </c>
      <c r="G1346" s="170" t="str">
        <f t="shared" si="2"/>
        <v>Tommi Brasserie&gt;Lacoste</v>
      </c>
    </row>
    <row r="1347">
      <c r="A1347" s="91">
        <v>1.0</v>
      </c>
      <c r="B1347" s="91" t="s">
        <v>676</v>
      </c>
      <c r="C1347" s="91"/>
      <c r="D1347" s="171" t="str">
        <f t="shared" si="1"/>
        <v>Tommy Hilfiger</v>
      </c>
      <c r="F1347" s="91" t="s">
        <v>1603</v>
      </c>
      <c r="G1347" s="170" t="str">
        <f t="shared" si="2"/>
        <v>Tommy Hilfiger&gt;Eataly</v>
      </c>
    </row>
    <row r="1348">
      <c r="A1348" s="91">
        <v>1.0</v>
      </c>
      <c r="B1348" s="91" t="s">
        <v>676</v>
      </c>
      <c r="C1348" s="91"/>
      <c r="D1348" s="171" t="str">
        <f t="shared" si="1"/>
        <v>Tommy Hilfiger</v>
      </c>
      <c r="F1348" s="91" t="s">
        <v>771</v>
      </c>
      <c r="G1348" s="170" t="str">
        <f t="shared" si="2"/>
        <v>Tommy Hilfiger&gt;Lacoste</v>
      </c>
    </row>
    <row r="1349">
      <c r="A1349" s="91">
        <v>1.0</v>
      </c>
      <c r="B1349" s="91" t="s">
        <v>676</v>
      </c>
      <c r="C1349" s="91"/>
      <c r="D1349" s="171" t="str">
        <f t="shared" si="1"/>
        <v>Tommy Hilfiger</v>
      </c>
      <c r="F1349" s="91" t="s">
        <v>676</v>
      </c>
      <c r="G1349" s="170" t="str">
        <f t="shared" si="2"/>
        <v>Tommy Hilfiger&gt;Tommy Hilfiger</v>
      </c>
    </row>
    <row r="1350">
      <c r="A1350" s="91">
        <v>1.0</v>
      </c>
      <c r="B1350" s="91" t="s">
        <v>676</v>
      </c>
      <c r="C1350" s="91"/>
      <c r="D1350" s="171" t="str">
        <f t="shared" si="1"/>
        <v>Tommy Hilfiger</v>
      </c>
      <c r="F1350" s="91" t="s">
        <v>1548</v>
      </c>
      <c r="G1350" s="170" t="str">
        <f t="shared" si="2"/>
        <v>Tommy Hilfiger&gt;Toyzz Shop</v>
      </c>
    </row>
    <row r="1351">
      <c r="A1351" s="91">
        <v>1.0</v>
      </c>
      <c r="B1351" s="91" t="s">
        <v>676</v>
      </c>
      <c r="C1351" s="91"/>
      <c r="D1351" s="171" t="str">
        <f t="shared" si="1"/>
        <v>Tommy Hilfiger</v>
      </c>
      <c r="F1351" s="91" t="s">
        <v>1692</v>
      </c>
      <c r="G1351" s="170" t="str">
        <f t="shared" si="2"/>
        <v>Tommy Hilfiger&gt;Voi Coffee Company</v>
      </c>
    </row>
    <row r="1352">
      <c r="A1352" s="91">
        <v>1.0</v>
      </c>
      <c r="B1352" s="91" t="s">
        <v>676</v>
      </c>
      <c r="C1352" s="91"/>
      <c r="D1352" s="171" t="str">
        <f t="shared" si="1"/>
        <v>Tommy Hilfiger</v>
      </c>
      <c r="F1352" s="91" t="s">
        <v>474</v>
      </c>
      <c r="G1352" s="170" t="str">
        <f t="shared" si="2"/>
        <v>Tommy Hilfiger&gt;Zara</v>
      </c>
    </row>
    <row r="1353">
      <c r="A1353" s="91">
        <v>1.0</v>
      </c>
      <c r="B1353" s="91" t="s">
        <v>676</v>
      </c>
      <c r="C1353" s="91"/>
      <c r="D1353" s="171" t="str">
        <f t="shared" si="1"/>
        <v>Tommy Hilfiger</v>
      </c>
      <c r="F1353" s="91" t="s">
        <v>871</v>
      </c>
      <c r="G1353" s="170" t="str">
        <f t="shared" si="2"/>
        <v>Tommy Hilfiger&gt;Zara Home</v>
      </c>
    </row>
    <row r="1354">
      <c r="A1354" s="91">
        <v>1.0</v>
      </c>
      <c r="B1354" s="91" t="s">
        <v>1548</v>
      </c>
      <c r="C1354" s="91"/>
      <c r="D1354" s="171" t="str">
        <f t="shared" si="1"/>
        <v>Toyzz Shop</v>
      </c>
      <c r="F1354" s="91" t="s">
        <v>1579</v>
      </c>
      <c r="G1354" s="170" t="str">
        <f t="shared" si="2"/>
        <v>Toyzz Shop&gt;D&amp;R</v>
      </c>
    </row>
    <row r="1355">
      <c r="A1355" s="91">
        <v>1.0</v>
      </c>
      <c r="B1355" s="91" t="s">
        <v>1548</v>
      </c>
      <c r="C1355" s="91"/>
      <c r="D1355" s="171" t="str">
        <f t="shared" si="1"/>
        <v>Toyzz Shop</v>
      </c>
      <c r="F1355" s="91" t="s">
        <v>1082</v>
      </c>
      <c r="G1355" s="170" t="str">
        <f t="shared" si="2"/>
        <v>Toyzz Shop&gt;Saray Muhallebicisi</v>
      </c>
    </row>
    <row r="1356">
      <c r="A1356" s="91">
        <v>1.0</v>
      </c>
      <c r="B1356" s="91" t="s">
        <v>1548</v>
      </c>
      <c r="C1356" s="91"/>
      <c r="D1356" s="171" t="str">
        <f t="shared" si="1"/>
        <v>Toyzz Shop</v>
      </c>
      <c r="F1356" s="91" t="s">
        <v>181</v>
      </c>
      <c r="G1356" s="170" t="str">
        <f t="shared" si="2"/>
        <v>Toyzz Shop&gt;Starbucks</v>
      </c>
    </row>
    <row r="1357">
      <c r="A1357" s="91">
        <v>1.0</v>
      </c>
      <c r="B1357" s="91" t="s">
        <v>491</v>
      </c>
      <c r="C1357" s="91"/>
      <c r="D1357" s="171" t="str">
        <f t="shared" si="1"/>
        <v>Turkcell</v>
      </c>
      <c r="F1357" s="91" t="s">
        <v>3849</v>
      </c>
      <c r="G1357" s="170" t="str">
        <f t="shared" si="2"/>
        <v>Turkcell&gt;Prayer Room</v>
      </c>
    </row>
    <row r="1358">
      <c r="A1358" s="91">
        <v>1.0</v>
      </c>
      <c r="B1358" s="91" t="s">
        <v>279</v>
      </c>
      <c r="C1358" s="91"/>
      <c r="D1358" s="171" t="str">
        <f t="shared" si="1"/>
        <v>Twist</v>
      </c>
      <c r="F1358" s="91" t="s">
        <v>94</v>
      </c>
      <c r="G1358" s="170" t="str">
        <f t="shared" si="2"/>
        <v>Twist&gt;MediaMarkt</v>
      </c>
    </row>
    <row r="1359">
      <c r="A1359" s="91">
        <v>1.0</v>
      </c>
      <c r="B1359" s="91" t="s">
        <v>279</v>
      </c>
      <c r="C1359" s="91"/>
      <c r="D1359" s="171" t="str">
        <f t="shared" si="1"/>
        <v>Twist</v>
      </c>
      <c r="F1359" s="91" t="s">
        <v>474</v>
      </c>
      <c r="G1359" s="170" t="str">
        <f t="shared" si="2"/>
        <v>Twist&gt;Zara</v>
      </c>
    </row>
    <row r="1360">
      <c r="A1360" s="91">
        <v>1.0</v>
      </c>
      <c r="B1360" s="91" t="s">
        <v>320</v>
      </c>
      <c r="C1360" s="91"/>
      <c r="D1360" s="171" t="str">
        <f t="shared" si="1"/>
        <v>US Polo Assn.</v>
      </c>
      <c r="F1360" s="91" t="s">
        <v>955</v>
      </c>
      <c r="G1360" s="170" t="str">
        <f t="shared" si="2"/>
        <v>US Polo Assn.&gt;Global Blue (Beymen)</v>
      </c>
    </row>
    <row r="1361">
      <c r="A1361" s="91">
        <v>1.0</v>
      </c>
      <c r="B1361" s="91" t="s">
        <v>320</v>
      </c>
      <c r="C1361" s="91"/>
      <c r="D1361" s="171" t="str">
        <f t="shared" si="1"/>
        <v>US Polo Assn.</v>
      </c>
      <c r="F1361" s="91" t="s">
        <v>368</v>
      </c>
      <c r="G1361" s="170" t="str">
        <f t="shared" si="2"/>
        <v>US Polo Assn.&gt;Levi's</v>
      </c>
    </row>
    <row r="1362">
      <c r="A1362" s="91">
        <v>1.0</v>
      </c>
      <c r="B1362" s="91" t="s">
        <v>320</v>
      </c>
      <c r="C1362" s="91"/>
      <c r="D1362" s="171" t="str">
        <f t="shared" si="1"/>
        <v>US Polo Assn.</v>
      </c>
      <c r="F1362" s="91" t="s">
        <v>2799</v>
      </c>
      <c r="G1362" s="170" t="str">
        <f t="shared" si="2"/>
        <v>US Polo Assn.&gt;Tax Free Zone (Info Desk)</v>
      </c>
    </row>
    <row r="1363">
      <c r="A1363" s="91">
        <v>1.0</v>
      </c>
      <c r="B1363" s="91" t="s">
        <v>320</v>
      </c>
      <c r="C1363" s="91"/>
      <c r="D1363" s="171" t="str">
        <f t="shared" si="1"/>
        <v>US Polo Assn.</v>
      </c>
      <c r="F1363" s="91" t="s">
        <v>320</v>
      </c>
      <c r="G1363" s="170" t="str">
        <f t="shared" si="2"/>
        <v>US Polo Assn.&gt;US Polo Assn.</v>
      </c>
    </row>
    <row r="1364">
      <c r="A1364" s="91">
        <v>1.0</v>
      </c>
      <c r="B1364" s="91" t="s">
        <v>320</v>
      </c>
      <c r="C1364" s="91"/>
      <c r="D1364" s="171" t="str">
        <f t="shared" si="1"/>
        <v>US Polo Assn.</v>
      </c>
      <c r="F1364" s="91" t="s">
        <v>474</v>
      </c>
      <c r="G1364" s="170" t="str">
        <f t="shared" si="2"/>
        <v>US Polo Assn.&gt;Zara</v>
      </c>
    </row>
    <row r="1365">
      <c r="A1365" s="91">
        <v>1.0</v>
      </c>
      <c r="B1365" s="91" t="s">
        <v>199</v>
      </c>
      <c r="C1365" s="91"/>
      <c r="D1365" s="171" t="str">
        <f t="shared" si="1"/>
        <v>Under Armour</v>
      </c>
      <c r="F1365" s="91" t="s">
        <v>569</v>
      </c>
      <c r="G1365" s="170" t="str">
        <f t="shared" si="2"/>
        <v>Under Armour&gt;Burger King</v>
      </c>
    </row>
    <row r="1366">
      <c r="A1366" s="91">
        <v>1.0</v>
      </c>
      <c r="B1366" s="91" t="s">
        <v>199</v>
      </c>
      <c r="C1366" s="91"/>
      <c r="D1366" s="171" t="str">
        <f t="shared" si="1"/>
        <v>Under Armour</v>
      </c>
      <c r="F1366" s="91" t="s">
        <v>474</v>
      </c>
      <c r="G1366" s="170" t="str">
        <f t="shared" si="2"/>
        <v>Under Armour&gt;Zara</v>
      </c>
    </row>
    <row r="1367">
      <c r="A1367" s="91">
        <v>1.0</v>
      </c>
      <c r="B1367" s="91" t="s">
        <v>87</v>
      </c>
      <c r="C1367" s="91"/>
      <c r="D1367" s="171" t="str">
        <f t="shared" si="1"/>
        <v>Uranüs</v>
      </c>
      <c r="F1367" s="91" t="s">
        <v>1579</v>
      </c>
      <c r="G1367" s="170" t="str">
        <f t="shared" si="2"/>
        <v>Uranüs&gt;D&amp;R</v>
      </c>
    </row>
    <row r="1368">
      <c r="A1368" s="91">
        <v>1.0</v>
      </c>
      <c r="B1368" s="91" t="s">
        <v>1678</v>
      </c>
      <c r="C1368" s="91"/>
      <c r="D1368" s="171" t="str">
        <f t="shared" si="1"/>
        <v>Vakko Home</v>
      </c>
      <c r="F1368" s="91" t="s">
        <v>646</v>
      </c>
      <c r="G1368" s="170" t="str">
        <f t="shared" si="2"/>
        <v>Vakko Home&gt;Green Salads</v>
      </c>
    </row>
    <row r="1369">
      <c r="A1369" s="91">
        <v>1.0</v>
      </c>
      <c r="B1369" s="91" t="s">
        <v>1678</v>
      </c>
      <c r="C1369" s="91"/>
      <c r="D1369" s="171" t="str">
        <f t="shared" si="1"/>
        <v>Vakko Home</v>
      </c>
      <c r="F1369" s="91" t="s">
        <v>1678</v>
      </c>
      <c r="G1369" s="170" t="str">
        <f t="shared" si="2"/>
        <v>Vakko Home&gt;Vakko Home</v>
      </c>
    </row>
    <row r="1370">
      <c r="A1370" s="91">
        <v>1.0</v>
      </c>
      <c r="B1370" s="91" t="s">
        <v>1020</v>
      </c>
      <c r="C1370" s="91"/>
      <c r="D1370" s="171" t="str">
        <f t="shared" si="1"/>
        <v>Vakko</v>
      </c>
      <c r="F1370" s="91" t="s">
        <v>1579</v>
      </c>
      <c r="G1370" s="170" t="str">
        <f t="shared" si="2"/>
        <v>Vakko&gt;D&amp;R</v>
      </c>
    </row>
    <row r="1371">
      <c r="A1371" s="91">
        <v>1.0</v>
      </c>
      <c r="B1371" s="91" t="s">
        <v>1020</v>
      </c>
      <c r="C1371" s="91"/>
      <c r="D1371" s="171" t="str">
        <f t="shared" si="1"/>
        <v>Vakko</v>
      </c>
      <c r="F1371" s="91" t="s">
        <v>1076</v>
      </c>
      <c r="G1371" s="170" t="str">
        <f t="shared" si="2"/>
        <v>Vakko&gt;SushiCo</v>
      </c>
    </row>
    <row r="1372">
      <c r="A1372" s="91">
        <v>1.0</v>
      </c>
      <c r="B1372" s="91" t="s">
        <v>2132</v>
      </c>
      <c r="C1372" s="91"/>
      <c r="D1372" s="171" t="str">
        <f t="shared" si="1"/>
        <v>Vakkorama Cafe</v>
      </c>
      <c r="F1372" s="91" t="s">
        <v>1626</v>
      </c>
      <c r="G1372" s="170" t="str">
        <f t="shared" si="2"/>
        <v>Vakkorama Cafe&gt;Funloft</v>
      </c>
    </row>
    <row r="1373">
      <c r="A1373" s="91">
        <v>1.0</v>
      </c>
      <c r="B1373" s="91" t="s">
        <v>2132</v>
      </c>
      <c r="C1373" s="91"/>
      <c r="D1373" s="171" t="str">
        <f t="shared" si="1"/>
        <v>Vakkorama Cafe</v>
      </c>
      <c r="F1373" s="91" t="s">
        <v>1031</v>
      </c>
      <c r="G1373" s="170" t="str">
        <f t="shared" si="2"/>
        <v>Vakkorama Cafe&gt;Happy Moon's</v>
      </c>
    </row>
    <row r="1374">
      <c r="A1374" s="91">
        <v>1.0</v>
      </c>
      <c r="B1374" s="91" t="s">
        <v>2132</v>
      </c>
      <c r="C1374" s="91"/>
      <c r="D1374" s="171" t="str">
        <f t="shared" si="1"/>
        <v>Vakkorama Cafe</v>
      </c>
      <c r="F1374" s="91" t="s">
        <v>1682</v>
      </c>
      <c r="G1374" s="170" t="str">
        <f t="shared" si="2"/>
        <v>Vakkorama Cafe&gt;Vakko L'Atelier</v>
      </c>
    </row>
    <row r="1375">
      <c r="A1375" s="91">
        <v>1.0</v>
      </c>
      <c r="B1375" s="91" t="s">
        <v>993</v>
      </c>
      <c r="C1375" s="91"/>
      <c r="D1375" s="171" t="str">
        <f t="shared" si="1"/>
        <v>Vakkorama</v>
      </c>
      <c r="F1375" s="91" t="s">
        <v>1380</v>
      </c>
      <c r="G1375" s="170" t="str">
        <f t="shared" si="2"/>
        <v>Vakkorama&gt;Nespresso</v>
      </c>
    </row>
    <row r="1376">
      <c r="A1376" s="91">
        <v>1.0</v>
      </c>
      <c r="B1376" s="91" t="s">
        <v>1053</v>
      </c>
      <c r="C1376" s="91"/>
      <c r="D1376" s="171" t="str">
        <f t="shared" si="1"/>
        <v>Valentino</v>
      </c>
      <c r="F1376" s="91" t="s">
        <v>1031</v>
      </c>
      <c r="G1376" s="170" t="str">
        <f t="shared" si="2"/>
        <v>Valentino&gt;Happy Moon's</v>
      </c>
    </row>
    <row r="1377">
      <c r="A1377" s="91">
        <v>1.0</v>
      </c>
      <c r="B1377" s="91" t="s">
        <v>1053</v>
      </c>
      <c r="C1377" s="91"/>
      <c r="D1377" s="171" t="str">
        <f t="shared" si="1"/>
        <v>Valentino</v>
      </c>
      <c r="F1377" s="91" t="s">
        <v>2427</v>
      </c>
      <c r="G1377" s="170" t="str">
        <f t="shared" si="2"/>
        <v>Valentino&gt;MAC Mars Athletic Club</v>
      </c>
    </row>
    <row r="1378">
      <c r="A1378" s="91">
        <v>1.0</v>
      </c>
      <c r="B1378" s="91" t="s">
        <v>1053</v>
      </c>
      <c r="C1378" s="91"/>
      <c r="D1378" s="171" t="str">
        <f t="shared" si="1"/>
        <v>Valentino</v>
      </c>
      <c r="F1378" s="91" t="s">
        <v>1696</v>
      </c>
      <c r="G1378" s="170" t="str">
        <f t="shared" si="2"/>
        <v>Valentino&gt;MOC</v>
      </c>
    </row>
    <row r="1379">
      <c r="A1379" s="91">
        <v>1.0</v>
      </c>
      <c r="B1379" s="91" t="s">
        <v>1053</v>
      </c>
      <c r="C1379" s="91"/>
      <c r="D1379" s="171" t="str">
        <f t="shared" si="1"/>
        <v>Valentino</v>
      </c>
      <c r="F1379" s="91" t="s">
        <v>1141</v>
      </c>
      <c r="G1379" s="170" t="str">
        <f t="shared" si="2"/>
        <v>Valentino&gt;Morini</v>
      </c>
    </row>
    <row r="1380">
      <c r="A1380" s="91">
        <v>1.0</v>
      </c>
      <c r="B1380" s="91" t="s">
        <v>1053</v>
      </c>
      <c r="C1380" s="91"/>
      <c r="D1380" s="171" t="str">
        <f t="shared" si="1"/>
        <v>Valentino</v>
      </c>
      <c r="F1380" s="91" t="s">
        <v>1345</v>
      </c>
      <c r="G1380" s="170" t="str">
        <f t="shared" si="2"/>
        <v>Valentino&gt;Raffles Istanbul</v>
      </c>
    </row>
    <row r="1381">
      <c r="A1381" s="91">
        <v>1.0</v>
      </c>
      <c r="B1381" s="91" t="s">
        <v>1053</v>
      </c>
      <c r="C1381" s="91"/>
      <c r="D1381" s="171" t="str">
        <f t="shared" si="1"/>
        <v>Valentino</v>
      </c>
      <c r="F1381" s="91" t="s">
        <v>1682</v>
      </c>
      <c r="G1381" s="170" t="str">
        <f t="shared" si="2"/>
        <v>Valentino&gt;Vakko L'Atelier</v>
      </c>
    </row>
    <row r="1382">
      <c r="A1382" s="91">
        <v>1.0</v>
      </c>
      <c r="B1382" s="91" t="s">
        <v>1183</v>
      </c>
      <c r="C1382" s="91"/>
      <c r="D1382" s="171" t="str">
        <f t="shared" si="1"/>
        <v>Valeron</v>
      </c>
      <c r="F1382" s="91" t="s">
        <v>1380</v>
      </c>
      <c r="G1382" s="170" t="str">
        <f t="shared" si="2"/>
        <v>Valeron&gt;Nespresso</v>
      </c>
    </row>
    <row r="1383">
      <c r="A1383" s="91">
        <v>1.0</v>
      </c>
      <c r="B1383" s="91" t="s">
        <v>734</v>
      </c>
      <c r="C1383" s="91"/>
      <c r="D1383" s="171" t="str">
        <f t="shared" si="1"/>
        <v>Vario</v>
      </c>
      <c r="F1383" s="91" t="s">
        <v>173</v>
      </c>
      <c r="G1383" s="170" t="str">
        <f t="shared" si="2"/>
        <v>Vario&gt;Skechers</v>
      </c>
    </row>
    <row r="1384">
      <c r="A1384" s="91">
        <v>1.0</v>
      </c>
      <c r="B1384" s="91" t="s">
        <v>734</v>
      </c>
      <c r="C1384" s="91"/>
      <c r="D1384" s="171" t="str">
        <f t="shared" si="1"/>
        <v>Vario</v>
      </c>
      <c r="F1384" s="91" t="s">
        <v>343</v>
      </c>
      <c r="G1384" s="170" t="str">
        <f t="shared" si="2"/>
        <v>Vario&gt;Sneaks Up</v>
      </c>
    </row>
    <row r="1385">
      <c r="A1385" s="91">
        <v>1.0</v>
      </c>
      <c r="B1385" s="91" t="s">
        <v>1542</v>
      </c>
      <c r="C1385" s="91"/>
      <c r="D1385" s="171" t="str">
        <f t="shared" si="1"/>
        <v>Vestel</v>
      </c>
      <c r="F1385" s="91" t="s">
        <v>94</v>
      </c>
      <c r="G1385" s="170" t="str">
        <f t="shared" si="2"/>
        <v>Vestel&gt;MediaMarkt</v>
      </c>
    </row>
    <row r="1386">
      <c r="A1386" s="91">
        <v>1.0</v>
      </c>
      <c r="B1386" s="91" t="s">
        <v>1542</v>
      </c>
      <c r="C1386" s="91"/>
      <c r="D1386" s="171" t="str">
        <f t="shared" si="1"/>
        <v>Vestel</v>
      </c>
      <c r="F1386" s="91" t="s">
        <v>1668</v>
      </c>
      <c r="G1386" s="170" t="str">
        <f t="shared" si="2"/>
        <v>Vestel&gt;Zula</v>
      </c>
    </row>
    <row r="1387">
      <c r="A1387" s="91">
        <v>1.0</v>
      </c>
      <c r="B1387" s="91" t="s">
        <v>245</v>
      </c>
      <c r="C1387" s="91"/>
      <c r="D1387" s="171" t="str">
        <f t="shared" si="1"/>
        <v>Victoria's Secret Pink</v>
      </c>
      <c r="F1387" s="91" t="s">
        <v>399</v>
      </c>
      <c r="G1387" s="170" t="str">
        <f t="shared" si="2"/>
        <v>Victoria's Secret Pink&gt;Apple</v>
      </c>
    </row>
    <row r="1388">
      <c r="A1388" s="91">
        <v>1.0</v>
      </c>
      <c r="B1388" s="91" t="s">
        <v>245</v>
      </c>
      <c r="C1388" s="91"/>
      <c r="D1388" s="171" t="str">
        <f t="shared" si="1"/>
        <v>Victoria's Secret Pink</v>
      </c>
      <c r="F1388" s="91" t="s">
        <v>108</v>
      </c>
      <c r="G1388" s="170" t="str">
        <f t="shared" si="2"/>
        <v>Victoria's Secret Pink&gt;Yalçınlar</v>
      </c>
    </row>
    <row r="1389">
      <c r="A1389" s="91">
        <v>1.0</v>
      </c>
      <c r="B1389" s="91" t="s">
        <v>250</v>
      </c>
      <c r="C1389" s="91"/>
      <c r="D1389" s="171" t="str">
        <f t="shared" si="1"/>
        <v>Victoria's Secret</v>
      </c>
      <c r="F1389" s="91" t="s">
        <v>1536</v>
      </c>
      <c r="G1389" s="170" t="str">
        <f t="shared" si="2"/>
        <v>Victoria's Secret&gt;Macrocenter</v>
      </c>
    </row>
    <row r="1390">
      <c r="A1390" s="91">
        <v>1.0</v>
      </c>
      <c r="B1390" s="91" t="s">
        <v>250</v>
      </c>
      <c r="C1390" s="91"/>
      <c r="D1390" s="171" t="str">
        <f t="shared" si="1"/>
        <v>Victoria's Secret</v>
      </c>
      <c r="F1390" s="91" t="s">
        <v>1380</v>
      </c>
      <c r="G1390" s="170" t="str">
        <f t="shared" si="2"/>
        <v>Victoria's Secret&gt;Nespresso</v>
      </c>
    </row>
    <row r="1391">
      <c r="A1391" s="91">
        <v>1.0</v>
      </c>
      <c r="B1391" s="91" t="s">
        <v>250</v>
      </c>
      <c r="C1391" s="91"/>
      <c r="D1391" s="171" t="str">
        <f t="shared" si="1"/>
        <v>Victoria's Secret</v>
      </c>
      <c r="F1391" s="91" t="s">
        <v>3331</v>
      </c>
      <c r="G1391" s="170" t="str">
        <f t="shared" si="2"/>
        <v>Victoria's Secret&gt;QNB Finansbank (ATM)</v>
      </c>
    </row>
    <row r="1392">
      <c r="A1392" s="91">
        <v>1.0</v>
      </c>
      <c r="B1392" s="91" t="s">
        <v>250</v>
      </c>
      <c r="C1392" s="91"/>
      <c r="D1392" s="171" t="str">
        <f t="shared" si="1"/>
        <v>Victoria's Secret</v>
      </c>
      <c r="F1392" s="91" t="s">
        <v>2065</v>
      </c>
      <c r="G1392" s="170" t="str">
        <f t="shared" si="2"/>
        <v>Victoria's Secret&gt;Saint Laurent</v>
      </c>
    </row>
    <row r="1393">
      <c r="A1393" s="91">
        <v>1.0</v>
      </c>
      <c r="B1393" s="91" t="s">
        <v>250</v>
      </c>
      <c r="C1393" s="91"/>
      <c r="D1393" s="171" t="str">
        <f t="shared" si="1"/>
        <v>Victoria's Secret</v>
      </c>
      <c r="F1393" s="91" t="s">
        <v>181</v>
      </c>
      <c r="G1393" s="170" t="str">
        <f t="shared" si="2"/>
        <v>Victoria's Secret&gt;Starbucks</v>
      </c>
    </row>
    <row r="1394">
      <c r="A1394" s="91">
        <v>1.0</v>
      </c>
      <c r="B1394" s="91" t="s">
        <v>800</v>
      </c>
      <c r="C1394" s="91"/>
      <c r="D1394" s="171" t="str">
        <f t="shared" si="1"/>
        <v>Vilebrequin</v>
      </c>
      <c r="F1394" s="91" t="s">
        <v>1548</v>
      </c>
      <c r="G1394" s="170" t="str">
        <f t="shared" si="2"/>
        <v>Vilebrequin&gt;Toyzz Shop</v>
      </c>
    </row>
    <row r="1395">
      <c r="A1395" s="91">
        <v>1.0</v>
      </c>
      <c r="B1395" s="91" t="s">
        <v>1692</v>
      </c>
      <c r="C1395" s="91"/>
      <c r="D1395" s="171" t="str">
        <f t="shared" si="1"/>
        <v>Voi Coffee Company</v>
      </c>
      <c r="F1395" s="91" t="s">
        <v>1031</v>
      </c>
      <c r="G1395" s="170" t="str">
        <f t="shared" si="2"/>
        <v>Voi Coffee Company&gt;Happy Moon's</v>
      </c>
    </row>
    <row r="1396">
      <c r="A1396" s="91">
        <v>1.0</v>
      </c>
      <c r="B1396" s="91" t="s">
        <v>1692</v>
      </c>
      <c r="C1396" s="91"/>
      <c r="D1396" s="171" t="str">
        <f t="shared" si="1"/>
        <v>Voi Coffee Company</v>
      </c>
      <c r="F1396" s="91" t="s">
        <v>2914</v>
      </c>
      <c r="G1396" s="170" t="str">
        <f t="shared" si="2"/>
        <v>Voi Coffee Company&gt;Zor Exchange</v>
      </c>
    </row>
    <row r="1397">
      <c r="A1397" s="91">
        <v>1.0</v>
      </c>
      <c r="B1397" s="91" t="s">
        <v>485</v>
      </c>
      <c r="C1397" s="91"/>
      <c r="D1397" s="171" t="str">
        <f t="shared" si="1"/>
        <v>Watsons</v>
      </c>
      <c r="F1397" s="91" t="s">
        <v>1059</v>
      </c>
      <c r="G1397" s="170" t="str">
        <f t="shared" si="2"/>
        <v>Watsons&gt;BigChefs</v>
      </c>
    </row>
    <row r="1398">
      <c r="A1398" s="91">
        <v>1.0</v>
      </c>
      <c r="B1398" s="91" t="s">
        <v>485</v>
      </c>
      <c r="C1398" s="91"/>
      <c r="D1398" s="171" t="str">
        <f t="shared" si="1"/>
        <v>Watsons</v>
      </c>
      <c r="F1398" s="91" t="s">
        <v>1579</v>
      </c>
      <c r="G1398" s="170" t="str">
        <f t="shared" si="2"/>
        <v>Watsons&gt;D&amp;R</v>
      </c>
    </row>
    <row r="1399">
      <c r="A1399" s="91">
        <v>1.0</v>
      </c>
      <c r="B1399" s="91" t="s">
        <v>485</v>
      </c>
      <c r="C1399" s="91"/>
      <c r="D1399" s="171" t="str">
        <f t="shared" si="1"/>
        <v>Watsons</v>
      </c>
      <c r="F1399" s="91" t="s">
        <v>485</v>
      </c>
      <c r="G1399" s="170" t="str">
        <f t="shared" si="2"/>
        <v>Watsons&gt;Watsons</v>
      </c>
    </row>
    <row r="1400">
      <c r="A1400" s="91">
        <v>1.0</v>
      </c>
      <c r="B1400" s="91" t="s">
        <v>485</v>
      </c>
      <c r="C1400" s="91"/>
      <c r="D1400" s="171" t="str">
        <f t="shared" si="1"/>
        <v>Watsons</v>
      </c>
      <c r="F1400" s="91" t="s">
        <v>1668</v>
      </c>
      <c r="G1400" s="170" t="str">
        <f t="shared" si="2"/>
        <v>Watsons&gt;Zula</v>
      </c>
    </row>
    <row r="1401">
      <c r="A1401" s="91">
        <v>1.0</v>
      </c>
      <c r="B1401" s="91" t="s">
        <v>1009</v>
      </c>
      <c r="C1401" s="91"/>
      <c r="D1401" s="171" t="str">
        <f t="shared" si="1"/>
        <v>Welldone</v>
      </c>
      <c r="F1401" s="91" t="s">
        <v>1603</v>
      </c>
      <c r="G1401" s="170" t="str">
        <f t="shared" si="2"/>
        <v>Welldone&gt;Eataly</v>
      </c>
    </row>
    <row r="1402">
      <c r="A1402" s="91">
        <v>1.0</v>
      </c>
      <c r="B1402" s="91" t="s">
        <v>1009</v>
      </c>
      <c r="C1402" s="91"/>
      <c r="D1402" s="171" t="str">
        <f t="shared" si="1"/>
        <v>Welldone</v>
      </c>
      <c r="F1402" s="91" t="s">
        <v>1548</v>
      </c>
      <c r="G1402" s="170" t="str">
        <f t="shared" si="2"/>
        <v>Welldone&gt;Toyzz Shop</v>
      </c>
    </row>
    <row r="1403">
      <c r="A1403" s="91">
        <v>1.0</v>
      </c>
      <c r="B1403" s="91" t="s">
        <v>108</v>
      </c>
      <c r="C1403" s="91"/>
      <c r="D1403" s="171" t="str">
        <f t="shared" si="1"/>
        <v>Yalçınlar</v>
      </c>
      <c r="F1403" s="91" t="s">
        <v>1579</v>
      </c>
      <c r="G1403" s="170" t="str">
        <f t="shared" si="2"/>
        <v>Yalçınlar&gt;D&amp;R</v>
      </c>
    </row>
    <row r="1404">
      <c r="A1404" s="91">
        <v>1.0</v>
      </c>
      <c r="B1404" s="91" t="s">
        <v>823</v>
      </c>
      <c r="C1404" s="91"/>
      <c r="D1404" s="171" t="str">
        <f t="shared" si="1"/>
        <v>Yargıcı</v>
      </c>
      <c r="F1404" s="91" t="s">
        <v>699</v>
      </c>
      <c r="G1404" s="170" t="str">
        <f t="shared" si="2"/>
        <v>Yargıcı&gt;Cup of Joy</v>
      </c>
    </row>
    <row r="1405">
      <c r="A1405" s="91">
        <v>1.0</v>
      </c>
      <c r="B1405" s="91" t="s">
        <v>823</v>
      </c>
      <c r="C1405" s="91"/>
      <c r="D1405" s="171" t="str">
        <f t="shared" si="1"/>
        <v>Yargıcı</v>
      </c>
      <c r="F1405" s="91" t="s">
        <v>1603</v>
      </c>
      <c r="G1405" s="170" t="str">
        <f t="shared" si="2"/>
        <v>Yargıcı&gt;Eataly</v>
      </c>
    </row>
    <row r="1406">
      <c r="A1406" s="91">
        <v>1.0</v>
      </c>
      <c r="B1406" s="91" t="s">
        <v>823</v>
      </c>
      <c r="C1406" s="91"/>
      <c r="D1406" s="171" t="str">
        <f t="shared" si="1"/>
        <v>Yargıcı</v>
      </c>
      <c r="F1406" s="91" t="s">
        <v>3031</v>
      </c>
      <c r="G1406" s="170" t="str">
        <f t="shared" si="2"/>
        <v>Yargıcı&gt;Eczane Zorlu Center</v>
      </c>
    </row>
    <row r="1407">
      <c r="A1407" s="91">
        <v>1.0</v>
      </c>
      <c r="B1407" s="91" t="s">
        <v>823</v>
      </c>
      <c r="C1407" s="91"/>
      <c r="D1407" s="171" t="str">
        <f t="shared" si="1"/>
        <v>Yargıcı</v>
      </c>
      <c r="F1407" s="91" t="s">
        <v>1530</v>
      </c>
      <c r="G1407" s="170" t="str">
        <f t="shared" si="2"/>
        <v>Yargıcı&gt;Linens</v>
      </c>
    </row>
    <row r="1408">
      <c r="A1408" s="91">
        <v>1.0</v>
      </c>
      <c r="B1408" s="91" t="s">
        <v>823</v>
      </c>
      <c r="C1408" s="91"/>
      <c r="D1408" s="171" t="str">
        <f t="shared" si="1"/>
        <v>Yargıcı</v>
      </c>
      <c r="F1408" s="91" t="s">
        <v>309</v>
      </c>
      <c r="G1408" s="170" t="str">
        <f t="shared" si="2"/>
        <v>Yargıcı&gt;MAC</v>
      </c>
    </row>
    <row r="1409">
      <c r="A1409" s="91">
        <v>1.0</v>
      </c>
      <c r="B1409" s="91" t="s">
        <v>823</v>
      </c>
      <c r="C1409" s="91"/>
      <c r="D1409" s="171" t="str">
        <f t="shared" si="1"/>
        <v>Yargıcı</v>
      </c>
      <c r="F1409" s="91" t="s">
        <v>2427</v>
      </c>
      <c r="G1409" s="170" t="str">
        <f t="shared" si="2"/>
        <v>Yargıcı&gt;MAC Mars Athletic Club</v>
      </c>
    </row>
    <row r="1410">
      <c r="A1410" s="91">
        <v>1.0</v>
      </c>
      <c r="B1410" s="91" t="s">
        <v>823</v>
      </c>
      <c r="C1410" s="91"/>
      <c r="D1410" s="171" t="str">
        <f t="shared" si="1"/>
        <v>Yargıcı</v>
      </c>
      <c r="F1410" s="91" t="s">
        <v>1536</v>
      </c>
      <c r="G1410" s="170" t="str">
        <f t="shared" si="2"/>
        <v>Yargıcı&gt;Macrocenter</v>
      </c>
    </row>
    <row r="1411">
      <c r="A1411" s="91">
        <v>1.0</v>
      </c>
      <c r="B1411" s="91" t="s">
        <v>823</v>
      </c>
      <c r="C1411" s="91"/>
      <c r="D1411" s="171" t="str">
        <f t="shared" si="1"/>
        <v>Yargıcı</v>
      </c>
      <c r="F1411" s="91" t="s">
        <v>922</v>
      </c>
      <c r="G1411" s="170" t="str">
        <f t="shared" si="2"/>
        <v>Yargıcı&gt;Masgold Kuyumculuk</v>
      </c>
    </row>
    <row r="1412">
      <c r="A1412" s="91">
        <v>1.0</v>
      </c>
      <c r="B1412" s="91" t="s">
        <v>823</v>
      </c>
      <c r="C1412" s="91"/>
      <c r="D1412" s="171" t="str">
        <f t="shared" si="1"/>
        <v>Yargıcı</v>
      </c>
      <c r="F1412" s="91" t="s">
        <v>94</v>
      </c>
      <c r="G1412" s="170" t="str">
        <f t="shared" si="2"/>
        <v>Yargıcı&gt;MediaMarkt</v>
      </c>
    </row>
    <row r="1413">
      <c r="A1413" s="91">
        <v>1.0</v>
      </c>
      <c r="B1413" s="91" t="s">
        <v>823</v>
      </c>
      <c r="C1413" s="91"/>
      <c r="D1413" s="171" t="str">
        <f t="shared" si="1"/>
        <v>Yargıcı</v>
      </c>
      <c r="F1413" s="91" t="s">
        <v>1554</v>
      </c>
      <c r="G1413" s="170" t="str">
        <f t="shared" si="2"/>
        <v>Yargıcı&gt;Paşabahçe Mağazaları</v>
      </c>
    </row>
    <row r="1414">
      <c r="A1414" s="91">
        <v>1.0</v>
      </c>
      <c r="B1414" s="91" t="s">
        <v>823</v>
      </c>
      <c r="C1414" s="91"/>
      <c r="D1414" s="171" t="str">
        <f t="shared" si="1"/>
        <v>Yargıcı</v>
      </c>
      <c r="F1414" s="91" t="s">
        <v>193</v>
      </c>
      <c r="G1414" s="170" t="str">
        <f t="shared" si="2"/>
        <v>Yargıcı&gt;Sephora</v>
      </c>
    </row>
    <row r="1415">
      <c r="A1415" s="91">
        <v>1.0</v>
      </c>
      <c r="B1415" s="91" t="s">
        <v>823</v>
      </c>
      <c r="C1415" s="91"/>
      <c r="D1415" s="171" t="str">
        <f t="shared" si="1"/>
        <v>Yargıcı</v>
      </c>
      <c r="F1415" s="91" t="s">
        <v>3857</v>
      </c>
      <c r="G1415" s="170" t="str">
        <f t="shared" si="2"/>
        <v>Yargıcı&gt;Sinema</v>
      </c>
    </row>
    <row r="1416">
      <c r="A1416" s="91">
        <v>1.0</v>
      </c>
      <c r="B1416" s="91" t="s">
        <v>823</v>
      </c>
      <c r="C1416" s="91"/>
      <c r="D1416" s="171" t="str">
        <f t="shared" si="1"/>
        <v>Yargıcı</v>
      </c>
      <c r="F1416" s="91" t="s">
        <v>410</v>
      </c>
      <c r="G1416" s="170" t="str">
        <f t="shared" si="2"/>
        <v>Yargıcı&gt;Touche</v>
      </c>
    </row>
    <row r="1417">
      <c r="A1417" s="91">
        <v>1.0</v>
      </c>
      <c r="B1417" s="91" t="s">
        <v>3848</v>
      </c>
      <c r="C1417" s="91" t="s">
        <v>2712</v>
      </c>
      <c r="D1417" s="171" t="str">
        <f t="shared" si="1"/>
        <v>QR-104</v>
      </c>
      <c r="F1417" s="91" t="s">
        <v>3161</v>
      </c>
      <c r="G1417" s="170" t="str">
        <f t="shared" si="2"/>
        <v>QR-104&gt;Akbank (Branch)</v>
      </c>
    </row>
    <row r="1418">
      <c r="A1418" s="91">
        <v>1.0</v>
      </c>
      <c r="B1418" s="91" t="s">
        <v>3848</v>
      </c>
      <c r="C1418" s="91" t="s">
        <v>2712</v>
      </c>
      <c r="D1418" s="171" t="str">
        <f t="shared" si="1"/>
        <v>QR-104</v>
      </c>
      <c r="F1418" s="91" t="s">
        <v>285</v>
      </c>
      <c r="G1418" s="170" t="str">
        <f t="shared" si="2"/>
        <v>QR-104&gt;Aldo</v>
      </c>
    </row>
    <row r="1419">
      <c r="A1419" s="91">
        <v>1.0</v>
      </c>
      <c r="B1419" s="91" t="s">
        <v>3848</v>
      </c>
      <c r="C1419" s="91" t="s">
        <v>2712</v>
      </c>
      <c r="D1419" s="171" t="str">
        <f t="shared" si="1"/>
        <v>QR-104</v>
      </c>
      <c r="F1419" s="91" t="s">
        <v>682</v>
      </c>
      <c r="G1419" s="170" t="str">
        <f t="shared" si="2"/>
        <v>QR-104&gt;Beymen</v>
      </c>
    </row>
    <row r="1420">
      <c r="A1420" s="91">
        <v>1.0</v>
      </c>
      <c r="B1420" s="91" t="s">
        <v>3848</v>
      </c>
      <c r="C1420" s="91" t="s">
        <v>2712</v>
      </c>
      <c r="D1420" s="171" t="str">
        <f t="shared" si="1"/>
        <v>QR-104</v>
      </c>
      <c r="F1420" s="91" t="s">
        <v>2297</v>
      </c>
      <c r="G1420" s="170" t="str">
        <f t="shared" si="2"/>
        <v>QR-104&gt;Burberry Children</v>
      </c>
    </row>
    <row r="1421">
      <c r="A1421" s="91">
        <v>1.0</v>
      </c>
      <c r="B1421" s="91" t="s">
        <v>3848</v>
      </c>
      <c r="C1421" s="91" t="s">
        <v>2712</v>
      </c>
      <c r="D1421" s="171" t="str">
        <f t="shared" si="1"/>
        <v>QR-104</v>
      </c>
      <c r="F1421" s="91" t="s">
        <v>549</v>
      </c>
      <c r="G1421" s="170" t="str">
        <f t="shared" si="2"/>
        <v>QR-104&gt;Caffe Nero</v>
      </c>
    </row>
    <row r="1422">
      <c r="A1422" s="91">
        <v>1.0</v>
      </c>
      <c r="B1422" s="91" t="s">
        <v>3848</v>
      </c>
      <c r="C1422" s="91" t="s">
        <v>2712</v>
      </c>
      <c r="D1422" s="171" t="str">
        <f t="shared" si="1"/>
        <v>QR-104</v>
      </c>
      <c r="F1422" s="91" t="s">
        <v>728</v>
      </c>
      <c r="G1422" s="170" t="str">
        <f t="shared" si="2"/>
        <v>QR-104&gt;Calvin Klein Jeans</v>
      </c>
    </row>
    <row r="1423">
      <c r="A1423" s="91">
        <v>1.0</v>
      </c>
      <c r="B1423" s="91" t="s">
        <v>3848</v>
      </c>
      <c r="C1423" s="91" t="s">
        <v>2712</v>
      </c>
      <c r="D1423" s="171" t="str">
        <f t="shared" si="1"/>
        <v>QR-104</v>
      </c>
      <c r="F1423" s="91" t="s">
        <v>297</v>
      </c>
      <c r="G1423" s="170" t="str">
        <f t="shared" si="2"/>
        <v>QR-104&gt;Camper</v>
      </c>
    </row>
    <row r="1424">
      <c r="A1424" s="91">
        <v>1.0</v>
      </c>
      <c r="B1424" s="91" t="s">
        <v>3848</v>
      </c>
      <c r="C1424" s="91" t="s">
        <v>2712</v>
      </c>
      <c r="D1424" s="171" t="str">
        <f t="shared" si="1"/>
        <v>QR-104</v>
      </c>
      <c r="F1424" s="91" t="s">
        <v>3826</v>
      </c>
      <c r="G1424" s="170" t="str">
        <f t="shared" si="2"/>
        <v>QR-104&gt;Car Park Entrance Zincirlikuyu</v>
      </c>
    </row>
    <row r="1425">
      <c r="A1425" s="91">
        <v>1.0</v>
      </c>
      <c r="B1425" s="91" t="s">
        <v>3848</v>
      </c>
      <c r="C1425" s="91" t="s">
        <v>2712</v>
      </c>
      <c r="D1425" s="171" t="str">
        <f t="shared" si="1"/>
        <v>QR-104</v>
      </c>
      <c r="F1425" s="91" t="s">
        <v>1708</v>
      </c>
      <c r="G1425" s="170" t="str">
        <f t="shared" si="2"/>
        <v>QR-104&gt;Chakra</v>
      </c>
    </row>
    <row r="1426">
      <c r="A1426" s="91">
        <v>1.0</v>
      </c>
      <c r="B1426" s="91" t="s">
        <v>3848</v>
      </c>
      <c r="C1426" s="91" t="s">
        <v>2712</v>
      </c>
      <c r="D1426" s="171" t="str">
        <f t="shared" si="1"/>
        <v>QR-104</v>
      </c>
      <c r="F1426" s="91" t="s">
        <v>3855</v>
      </c>
      <c r="G1426" s="170" t="str">
        <f t="shared" si="2"/>
        <v>QR-104&gt;Cinema</v>
      </c>
    </row>
    <row r="1427">
      <c r="A1427" s="91">
        <v>1.0</v>
      </c>
      <c r="B1427" s="91" t="s">
        <v>3848</v>
      </c>
      <c r="C1427" s="91" t="s">
        <v>2712</v>
      </c>
      <c r="D1427" s="171" t="str">
        <f t="shared" si="1"/>
        <v>QR-104</v>
      </c>
      <c r="F1427" s="91" t="s">
        <v>3870</v>
      </c>
      <c r="G1427" s="170" t="str">
        <f t="shared" si="2"/>
        <v>QR-104&gt;D</v>
      </c>
    </row>
    <row r="1428">
      <c r="A1428" s="91">
        <v>1.0</v>
      </c>
      <c r="B1428" s="91" t="s">
        <v>3848</v>
      </c>
      <c r="C1428" s="91" t="s">
        <v>2712</v>
      </c>
      <c r="D1428" s="171" t="str">
        <f t="shared" si="1"/>
        <v>QR-104</v>
      </c>
      <c r="F1428" s="91" t="s">
        <v>3192</v>
      </c>
      <c r="G1428" s="170" t="str">
        <f t="shared" si="2"/>
        <v>QR-104&gt;DenizBank (ATM)</v>
      </c>
    </row>
    <row r="1429">
      <c r="A1429" s="91">
        <v>1.0</v>
      </c>
      <c r="B1429" s="91" t="s">
        <v>3848</v>
      </c>
      <c r="C1429" s="91" t="s">
        <v>2712</v>
      </c>
      <c r="D1429" s="171" t="str">
        <f t="shared" si="1"/>
        <v>QR-104</v>
      </c>
      <c r="F1429" s="91" t="s">
        <v>1290</v>
      </c>
      <c r="G1429" s="170" t="str">
        <f t="shared" si="2"/>
        <v>QR-104&gt;Dior</v>
      </c>
    </row>
    <row r="1430">
      <c r="A1430" s="91">
        <v>1.0</v>
      </c>
      <c r="B1430" s="91" t="s">
        <v>3848</v>
      </c>
      <c r="C1430" s="91" t="s">
        <v>2712</v>
      </c>
      <c r="D1430" s="171" t="str">
        <f t="shared" si="1"/>
        <v>QR-104</v>
      </c>
      <c r="F1430" s="91" t="s">
        <v>1640</v>
      </c>
      <c r="G1430" s="170" t="str">
        <f t="shared" si="2"/>
        <v>QR-104&gt;Dorya Home</v>
      </c>
    </row>
    <row r="1431">
      <c r="A1431" s="91">
        <v>1.0</v>
      </c>
      <c r="B1431" s="91" t="s">
        <v>3848</v>
      </c>
      <c r="C1431" s="91" t="s">
        <v>2712</v>
      </c>
      <c r="D1431" s="171" t="str">
        <f t="shared" si="1"/>
        <v>QR-104</v>
      </c>
      <c r="F1431" s="91" t="s">
        <v>1573</v>
      </c>
      <c r="G1431" s="170" t="str">
        <f t="shared" si="2"/>
        <v>QR-104&gt;English Home</v>
      </c>
    </row>
    <row r="1432">
      <c r="A1432" s="91">
        <v>1.0</v>
      </c>
      <c r="B1432" s="91" t="s">
        <v>3848</v>
      </c>
      <c r="C1432" s="91" t="s">
        <v>2712</v>
      </c>
      <c r="D1432" s="171" t="str">
        <f t="shared" si="1"/>
        <v>QR-104</v>
      </c>
      <c r="F1432" s="91" t="s">
        <v>3875</v>
      </c>
      <c r="G1432" s="170" t="str">
        <f t="shared" si="2"/>
        <v>QR-104&gt;Entrance Ulus</v>
      </c>
    </row>
    <row r="1433">
      <c r="A1433" s="91">
        <v>1.0</v>
      </c>
      <c r="B1433" s="91" t="s">
        <v>3848</v>
      </c>
      <c r="C1433" s="91" t="s">
        <v>2712</v>
      </c>
      <c r="D1433" s="171" t="str">
        <f t="shared" si="1"/>
        <v>QR-104</v>
      </c>
      <c r="F1433" s="91" t="s">
        <v>515</v>
      </c>
      <c r="G1433" s="170" t="str">
        <f t="shared" si="2"/>
        <v>QR-104&gt;Falconeri</v>
      </c>
    </row>
    <row r="1434">
      <c r="A1434" s="91">
        <v>1.0</v>
      </c>
      <c r="B1434" s="91" t="s">
        <v>3848</v>
      </c>
      <c r="C1434" s="91" t="s">
        <v>2712</v>
      </c>
      <c r="D1434" s="171" t="str">
        <f t="shared" si="1"/>
        <v>QR-104</v>
      </c>
      <c r="F1434" s="91" t="s">
        <v>222</v>
      </c>
      <c r="G1434" s="170" t="str">
        <f t="shared" si="2"/>
        <v>QR-104&gt;Gap</v>
      </c>
    </row>
    <row r="1435">
      <c r="A1435" s="91">
        <v>1.0</v>
      </c>
      <c r="B1435" s="91" t="s">
        <v>3848</v>
      </c>
      <c r="C1435" s="91" t="s">
        <v>2712</v>
      </c>
      <c r="D1435" s="171" t="str">
        <f t="shared" si="1"/>
        <v>QR-104</v>
      </c>
      <c r="F1435" s="91" t="s">
        <v>2804</v>
      </c>
      <c r="G1435" s="170" t="str">
        <f t="shared" si="2"/>
        <v>QR-104&gt;Garanti BBVA (ATM)</v>
      </c>
    </row>
    <row r="1436">
      <c r="A1436" s="91">
        <v>1.0</v>
      </c>
      <c r="B1436" s="91" t="s">
        <v>3848</v>
      </c>
      <c r="C1436" s="91" t="s">
        <v>2712</v>
      </c>
      <c r="D1436" s="171" t="str">
        <f t="shared" si="1"/>
        <v>QR-104</v>
      </c>
      <c r="F1436" s="91" t="s">
        <v>1337</v>
      </c>
      <c r="G1436" s="170" t="str">
        <f t="shared" si="2"/>
        <v>QR-104&gt;Godiva</v>
      </c>
    </row>
    <row r="1437">
      <c r="A1437" s="91">
        <v>1.0</v>
      </c>
      <c r="B1437" s="91" t="s">
        <v>3848</v>
      </c>
      <c r="C1437" s="91" t="s">
        <v>2712</v>
      </c>
      <c r="D1437" s="171" t="str">
        <f t="shared" si="1"/>
        <v>QR-104</v>
      </c>
      <c r="F1437" s="91" t="s">
        <v>3032</v>
      </c>
      <c r="G1437" s="170" t="str">
        <f t="shared" si="2"/>
        <v>QR-104&gt;Infirmary</v>
      </c>
    </row>
    <row r="1438">
      <c r="A1438" s="91">
        <v>1.0</v>
      </c>
      <c r="B1438" s="91" t="s">
        <v>3848</v>
      </c>
      <c r="C1438" s="91" t="s">
        <v>2712</v>
      </c>
      <c r="D1438" s="171" t="str">
        <f t="shared" si="1"/>
        <v>QR-104</v>
      </c>
      <c r="F1438" s="91" t="s">
        <v>794</v>
      </c>
      <c r="G1438" s="170" t="str">
        <f t="shared" si="2"/>
        <v>QR-104&gt;Kiehl's</v>
      </c>
    </row>
    <row r="1439">
      <c r="A1439" s="91">
        <v>1.0</v>
      </c>
      <c r="B1439" s="91" t="s">
        <v>3848</v>
      </c>
      <c r="C1439" s="91" t="s">
        <v>2712</v>
      </c>
      <c r="D1439" s="171" t="str">
        <f t="shared" si="1"/>
        <v>QR-104</v>
      </c>
      <c r="F1439" s="91" t="s">
        <v>1696</v>
      </c>
      <c r="G1439" s="170" t="str">
        <f t="shared" si="2"/>
        <v>QR-104&gt;MOC</v>
      </c>
    </row>
    <row r="1440">
      <c r="A1440" s="91">
        <v>1.0</v>
      </c>
      <c r="B1440" s="91" t="s">
        <v>3848</v>
      </c>
      <c r="C1440" s="91" t="s">
        <v>2712</v>
      </c>
      <c r="D1440" s="171" t="str">
        <f t="shared" si="1"/>
        <v>QR-104</v>
      </c>
      <c r="F1440" s="91" t="s">
        <v>216</v>
      </c>
      <c r="G1440" s="170" t="str">
        <f t="shared" si="2"/>
        <v>QR-104&gt;Mavi</v>
      </c>
    </row>
    <row r="1441">
      <c r="A1441" s="91">
        <v>1.0</v>
      </c>
      <c r="B1441" s="91" t="s">
        <v>3848</v>
      </c>
      <c r="C1441" s="91" t="s">
        <v>2712</v>
      </c>
      <c r="D1441" s="171" t="str">
        <f t="shared" si="1"/>
        <v>QR-104</v>
      </c>
      <c r="F1441" s="91" t="s">
        <v>1228</v>
      </c>
      <c r="G1441" s="170" t="str">
        <f t="shared" si="2"/>
        <v>QR-104&gt;Mer's</v>
      </c>
    </row>
    <row r="1442">
      <c r="A1442" s="91">
        <v>1.0</v>
      </c>
      <c r="B1442" s="91" t="s">
        <v>3848</v>
      </c>
      <c r="C1442" s="91" t="s">
        <v>2712</v>
      </c>
      <c r="D1442" s="171" t="str">
        <f t="shared" si="1"/>
        <v>QR-104</v>
      </c>
      <c r="F1442" s="91" t="s">
        <v>1380</v>
      </c>
      <c r="G1442" s="170" t="str">
        <f t="shared" si="2"/>
        <v>QR-104&gt;Nespresso</v>
      </c>
    </row>
    <row r="1443">
      <c r="A1443" s="91">
        <v>1.0</v>
      </c>
      <c r="B1443" s="91" t="s">
        <v>3848</v>
      </c>
      <c r="C1443" s="91" t="s">
        <v>2712</v>
      </c>
      <c r="D1443" s="171" t="str">
        <f t="shared" si="1"/>
        <v>QR-104</v>
      </c>
      <c r="F1443" s="91" t="s">
        <v>240</v>
      </c>
      <c r="G1443" s="170" t="str">
        <f t="shared" si="2"/>
        <v>QR-104&gt;Nike by Levazım</v>
      </c>
    </row>
    <row r="1444">
      <c r="A1444" s="91">
        <v>1.0</v>
      </c>
      <c r="B1444" s="91" t="s">
        <v>3848</v>
      </c>
      <c r="C1444" s="91" t="s">
        <v>2712</v>
      </c>
      <c r="D1444" s="171" t="str">
        <f t="shared" si="1"/>
        <v>QR-104</v>
      </c>
      <c r="F1444" s="91" t="s">
        <v>1296</v>
      </c>
      <c r="G1444" s="170" t="str">
        <f t="shared" si="2"/>
        <v>QR-104&gt;Parle</v>
      </c>
    </row>
    <row r="1445">
      <c r="A1445" s="91">
        <v>1.0</v>
      </c>
      <c r="B1445" s="91" t="s">
        <v>3848</v>
      </c>
      <c r="C1445" s="91" t="s">
        <v>2712</v>
      </c>
      <c r="D1445" s="171" t="str">
        <f t="shared" si="1"/>
        <v>QR-104</v>
      </c>
      <c r="F1445" s="91" t="s">
        <v>119</v>
      </c>
      <c r="G1445" s="170" t="str">
        <f t="shared" si="2"/>
        <v>QR-104&gt;Penelope</v>
      </c>
    </row>
    <row r="1446">
      <c r="A1446" s="91">
        <v>1.0</v>
      </c>
      <c r="B1446" s="91" t="s">
        <v>3848</v>
      </c>
      <c r="C1446" s="91" t="s">
        <v>2712</v>
      </c>
      <c r="D1446" s="171" t="str">
        <f t="shared" si="1"/>
        <v>QR-104</v>
      </c>
      <c r="F1446" s="91" t="s">
        <v>722</v>
      </c>
      <c r="G1446" s="170" t="str">
        <f t="shared" si="2"/>
        <v>QR-104&gt;Ramsey</v>
      </c>
    </row>
    <row r="1447">
      <c r="A1447" s="91">
        <v>1.0</v>
      </c>
      <c r="B1447" s="91" t="s">
        <v>3848</v>
      </c>
      <c r="C1447" s="91" t="s">
        <v>2712</v>
      </c>
      <c r="D1447" s="171" t="str">
        <f t="shared" si="1"/>
        <v>QR-104</v>
      </c>
      <c r="F1447" s="91" t="s">
        <v>2991</v>
      </c>
      <c r="G1447" s="170" t="str">
        <f t="shared" si="2"/>
        <v>QR-104&gt;Restroom</v>
      </c>
    </row>
    <row r="1448">
      <c r="A1448" s="91">
        <v>1.0</v>
      </c>
      <c r="B1448" s="91" t="s">
        <v>3848</v>
      </c>
      <c r="C1448" s="91" t="s">
        <v>2712</v>
      </c>
      <c r="D1448" s="171" t="str">
        <f t="shared" si="1"/>
        <v>QR-104</v>
      </c>
      <c r="F1448" s="91" t="s">
        <v>337</v>
      </c>
      <c r="G1448" s="170" t="str">
        <f t="shared" si="2"/>
        <v>QR-104&gt;Saat &amp; Saat</v>
      </c>
    </row>
    <row r="1449">
      <c r="A1449" s="91">
        <v>1.0</v>
      </c>
      <c r="B1449" s="91" t="s">
        <v>3848</v>
      </c>
      <c r="C1449" s="91" t="s">
        <v>2712</v>
      </c>
      <c r="D1449" s="171" t="str">
        <f t="shared" si="1"/>
        <v>QR-104</v>
      </c>
      <c r="F1449" s="91" t="s">
        <v>1364</v>
      </c>
      <c r="G1449" s="170" t="str">
        <f t="shared" si="2"/>
        <v>QR-104&gt;Sabit Akkaya Hair Stylist</v>
      </c>
    </row>
    <row r="1450">
      <c r="A1450" s="91">
        <v>1.0</v>
      </c>
      <c r="B1450" s="91" t="s">
        <v>3848</v>
      </c>
      <c r="C1450" s="91" t="s">
        <v>2712</v>
      </c>
      <c r="D1450" s="171" t="str">
        <f t="shared" si="1"/>
        <v>QR-104</v>
      </c>
      <c r="F1450" s="91" t="s">
        <v>343</v>
      </c>
      <c r="G1450" s="170" t="str">
        <f t="shared" si="2"/>
        <v>QR-104&gt;Sneaks Up</v>
      </c>
    </row>
    <row r="1451">
      <c r="A1451" s="91">
        <v>1.0</v>
      </c>
      <c r="B1451" s="91" t="s">
        <v>3848</v>
      </c>
      <c r="C1451" s="91" t="s">
        <v>2712</v>
      </c>
      <c r="D1451" s="171" t="str">
        <f t="shared" si="1"/>
        <v>QR-104</v>
      </c>
      <c r="F1451" s="91" t="s">
        <v>812</v>
      </c>
      <c r="G1451" s="170" t="str">
        <f t="shared" si="2"/>
        <v>QR-104&gt;Swarovski</v>
      </c>
    </row>
    <row r="1452">
      <c r="A1452" s="91">
        <v>1.0</v>
      </c>
      <c r="B1452" s="91" t="s">
        <v>3848</v>
      </c>
      <c r="C1452" s="91" t="s">
        <v>2712</v>
      </c>
      <c r="D1452" s="171" t="str">
        <f t="shared" si="1"/>
        <v>QR-104</v>
      </c>
      <c r="F1452" s="91" t="s">
        <v>1611</v>
      </c>
      <c r="G1452" s="170" t="str">
        <f t="shared" si="2"/>
        <v>QR-104&gt;Terazza Italia</v>
      </c>
    </row>
    <row r="1453">
      <c r="A1453" s="91">
        <v>1.0</v>
      </c>
      <c r="B1453" s="91" t="s">
        <v>3848</v>
      </c>
      <c r="C1453" s="91" t="s">
        <v>2712</v>
      </c>
      <c r="D1453" s="171" t="str">
        <f t="shared" si="1"/>
        <v>QR-104</v>
      </c>
      <c r="F1453" s="91" t="s">
        <v>1165</v>
      </c>
      <c r="G1453" s="170" t="str">
        <f t="shared" si="2"/>
        <v>QR-104&gt;Tiffany &amp; Co.</v>
      </c>
    </row>
    <row r="1454">
      <c r="A1454" s="91">
        <v>1.0</v>
      </c>
      <c r="B1454" s="91" t="s">
        <v>3848</v>
      </c>
      <c r="C1454" s="91" t="s">
        <v>2712</v>
      </c>
      <c r="D1454" s="171" t="str">
        <f t="shared" si="1"/>
        <v>QR-104</v>
      </c>
      <c r="F1454" s="91" t="s">
        <v>497</v>
      </c>
      <c r="G1454" s="170" t="str">
        <f t="shared" si="2"/>
        <v>QR-104&gt;Tobacco Shop</v>
      </c>
    </row>
    <row r="1455">
      <c r="A1455" s="91">
        <v>1.0</v>
      </c>
      <c r="B1455" s="91" t="s">
        <v>3848</v>
      </c>
      <c r="C1455" s="91" t="s">
        <v>2712</v>
      </c>
      <c r="D1455" s="171" t="str">
        <f t="shared" si="1"/>
        <v>QR-104</v>
      </c>
      <c r="F1455" s="91" t="s">
        <v>1548</v>
      </c>
      <c r="G1455" s="170" t="str">
        <f t="shared" si="2"/>
        <v>QR-104&gt;Toyzz Shop</v>
      </c>
    </row>
    <row r="1456">
      <c r="A1456" s="91">
        <v>1.0</v>
      </c>
      <c r="B1456" s="91" t="s">
        <v>3848</v>
      </c>
      <c r="C1456" s="91" t="s">
        <v>2712</v>
      </c>
      <c r="D1456" s="171" t="str">
        <f t="shared" si="1"/>
        <v>QR-104</v>
      </c>
      <c r="F1456" s="91" t="s">
        <v>937</v>
      </c>
      <c r="G1456" s="170" t="str">
        <f t="shared" si="2"/>
        <v>QR-104&gt;Universal Conselor</v>
      </c>
    </row>
    <row r="1457">
      <c r="A1457" s="91">
        <v>1.0</v>
      </c>
      <c r="B1457" s="91" t="s">
        <v>3848</v>
      </c>
      <c r="C1457" s="91" t="s">
        <v>2712</v>
      </c>
      <c r="D1457" s="171" t="str">
        <f t="shared" si="1"/>
        <v>QR-104</v>
      </c>
      <c r="F1457" s="91" t="s">
        <v>939</v>
      </c>
      <c r="G1457" s="170" t="str">
        <f t="shared" si="2"/>
        <v>QR-104&gt;VR Gayrimenkul A.Ş.</v>
      </c>
    </row>
    <row r="1458">
      <c r="A1458" s="91">
        <v>1.0</v>
      </c>
      <c r="B1458" s="91" t="s">
        <v>3848</v>
      </c>
      <c r="C1458" s="91" t="s">
        <v>2712</v>
      </c>
      <c r="D1458" s="171" t="str">
        <f t="shared" si="1"/>
        <v>QR-104</v>
      </c>
      <c r="F1458" s="91" t="s">
        <v>1020</v>
      </c>
      <c r="G1458" s="170" t="str">
        <f t="shared" si="2"/>
        <v>QR-104&gt;Vakko</v>
      </c>
    </row>
    <row r="1459">
      <c r="A1459" s="91">
        <v>1.0</v>
      </c>
      <c r="B1459" s="91" t="s">
        <v>3848</v>
      </c>
      <c r="C1459" s="91" t="s">
        <v>2712</v>
      </c>
      <c r="D1459" s="171" t="str">
        <f t="shared" si="1"/>
        <v>QR-104</v>
      </c>
      <c r="F1459" s="91" t="s">
        <v>1053</v>
      </c>
      <c r="G1459" s="170" t="str">
        <f t="shared" si="2"/>
        <v>QR-104&gt;Valentino</v>
      </c>
    </row>
    <row r="1460">
      <c r="A1460" s="91">
        <v>1.0</v>
      </c>
      <c r="B1460" s="91" t="s">
        <v>3848</v>
      </c>
      <c r="C1460" s="91" t="s">
        <v>2712</v>
      </c>
      <c r="D1460" s="171" t="str">
        <f t="shared" si="1"/>
        <v>QR-104</v>
      </c>
      <c r="F1460" s="91" t="s">
        <v>835</v>
      </c>
      <c r="G1460" s="170" t="str">
        <f t="shared" si="2"/>
        <v>QR-104&gt;Vennüs Telefon Aksesuar</v>
      </c>
    </row>
    <row r="1461">
      <c r="A1461" s="91">
        <v>1.0</v>
      </c>
      <c r="B1461" s="91" t="s">
        <v>3848</v>
      </c>
      <c r="C1461" s="91" t="s">
        <v>2712</v>
      </c>
      <c r="D1461" s="171" t="str">
        <f t="shared" si="1"/>
        <v>QR-104</v>
      </c>
      <c r="F1461" s="91" t="s">
        <v>1692</v>
      </c>
      <c r="G1461" s="170" t="str">
        <f t="shared" si="2"/>
        <v>QR-104&gt;Voi Coffee Company</v>
      </c>
    </row>
    <row r="1462">
      <c r="A1462" s="91">
        <v>1.0</v>
      </c>
      <c r="B1462" s="91" t="s">
        <v>3848</v>
      </c>
      <c r="C1462" s="91" t="s">
        <v>2712</v>
      </c>
      <c r="D1462" s="171" t="str">
        <f t="shared" si="1"/>
        <v>QR-104</v>
      </c>
      <c r="F1462" s="91" t="s">
        <v>871</v>
      </c>
      <c r="G1462" s="170" t="str">
        <f t="shared" si="2"/>
        <v>QR-104&gt;Zara Home</v>
      </c>
    </row>
    <row r="1463">
      <c r="A1463" s="91">
        <v>1.0</v>
      </c>
      <c r="B1463" s="91" t="s">
        <v>3848</v>
      </c>
      <c r="C1463" s="91" t="s">
        <v>2712</v>
      </c>
      <c r="D1463" s="171" t="str">
        <f t="shared" si="1"/>
        <v>QR-104</v>
      </c>
      <c r="F1463" s="91" t="s">
        <v>3080</v>
      </c>
      <c r="G1463" s="170" t="str">
        <f t="shared" si="2"/>
        <v>QR-104&gt;Zorlu PSM Square Floor</v>
      </c>
    </row>
    <row r="1464">
      <c r="A1464" s="91">
        <v>1.0</v>
      </c>
      <c r="B1464" s="91" t="s">
        <v>3848</v>
      </c>
      <c r="C1464" s="91" t="s">
        <v>2712</v>
      </c>
      <c r="D1464" s="171" t="str">
        <f t="shared" si="1"/>
        <v>QR-104</v>
      </c>
      <c r="F1464" s="91" t="s">
        <v>228</v>
      </c>
      <c r="G1464" s="170" t="str">
        <f t="shared" si="2"/>
        <v>QR-104&gt;İpekyol</v>
      </c>
    </row>
    <row r="1465">
      <c r="A1465" s="91">
        <v>1.0</v>
      </c>
      <c r="B1465" s="91" t="s">
        <v>3848</v>
      </c>
      <c r="C1465" s="91" t="s">
        <v>2724</v>
      </c>
      <c r="D1465" s="171" t="str">
        <f t="shared" si="1"/>
        <v>QR-108</v>
      </c>
      <c r="F1465" s="91" t="s">
        <v>399</v>
      </c>
      <c r="G1465" s="170" t="str">
        <f t="shared" si="2"/>
        <v>QR-108&gt;Apple</v>
      </c>
    </row>
    <row r="1466">
      <c r="A1466" s="91">
        <v>1.0</v>
      </c>
      <c r="B1466" s="91" t="s">
        <v>3848</v>
      </c>
      <c r="C1466" s="91" t="s">
        <v>2724</v>
      </c>
      <c r="D1466" s="171" t="str">
        <f t="shared" si="1"/>
        <v>QR-108</v>
      </c>
      <c r="F1466" s="91" t="s">
        <v>2297</v>
      </c>
      <c r="G1466" s="170" t="str">
        <f t="shared" si="2"/>
        <v>QR-108&gt;Burberry Children</v>
      </c>
    </row>
    <row r="1467">
      <c r="A1467" s="91">
        <v>1.0</v>
      </c>
      <c r="B1467" s="91" t="s">
        <v>3848</v>
      </c>
      <c r="C1467" s="91" t="s">
        <v>2724</v>
      </c>
      <c r="D1467" s="171" t="str">
        <f t="shared" si="1"/>
        <v>QR-108</v>
      </c>
      <c r="F1467" s="91" t="s">
        <v>3855</v>
      </c>
      <c r="G1467" s="170" t="str">
        <f t="shared" si="2"/>
        <v>QR-108&gt;Cinema</v>
      </c>
    </row>
    <row r="1468">
      <c r="A1468" s="91">
        <v>1.0</v>
      </c>
      <c r="B1468" s="91" t="s">
        <v>3848</v>
      </c>
      <c r="C1468" s="91" t="s">
        <v>2724</v>
      </c>
      <c r="D1468" s="171" t="str">
        <f t="shared" si="1"/>
        <v>QR-108</v>
      </c>
      <c r="F1468" s="91" t="s">
        <v>503</v>
      </c>
      <c r="G1468" s="170" t="str">
        <f t="shared" si="2"/>
        <v>QR-108&gt;Plus Kitchen</v>
      </c>
    </row>
    <row r="1469">
      <c r="A1469" s="91">
        <v>1.0</v>
      </c>
      <c r="B1469" s="91" t="s">
        <v>3848</v>
      </c>
      <c r="C1469" s="91" t="s">
        <v>2727</v>
      </c>
      <c r="D1469" s="171" t="str">
        <f t="shared" si="1"/>
        <v>QR-109</v>
      </c>
      <c r="F1469" s="91" t="s">
        <v>549</v>
      </c>
      <c r="G1469" s="170" t="str">
        <f t="shared" si="2"/>
        <v>QR-109&gt;Caffe Nero</v>
      </c>
    </row>
    <row r="1470">
      <c r="A1470" s="91">
        <v>1.0</v>
      </c>
      <c r="B1470" s="91" t="s">
        <v>3848</v>
      </c>
      <c r="C1470" s="91" t="s">
        <v>2727</v>
      </c>
      <c r="D1470" s="171" t="str">
        <f t="shared" si="1"/>
        <v>QR-109</v>
      </c>
      <c r="F1470" s="91" t="s">
        <v>1337</v>
      </c>
      <c r="G1470" s="170" t="str">
        <f t="shared" si="2"/>
        <v>QR-109&gt;Godiva</v>
      </c>
    </row>
    <row r="1471">
      <c r="A1471" s="91">
        <v>1.0</v>
      </c>
      <c r="B1471" s="91" t="s">
        <v>3848</v>
      </c>
      <c r="C1471" s="91" t="s">
        <v>2727</v>
      </c>
      <c r="D1471" s="171" t="str">
        <f t="shared" si="1"/>
        <v>QR-109</v>
      </c>
      <c r="F1471" s="91" t="s">
        <v>1634</v>
      </c>
      <c r="G1471" s="170" t="str">
        <f t="shared" si="2"/>
        <v>QR-109&gt;HandeHaluk Kuaför</v>
      </c>
    </row>
    <row r="1472">
      <c r="A1472" s="91">
        <v>1.0</v>
      </c>
      <c r="B1472" s="91" t="s">
        <v>3848</v>
      </c>
      <c r="C1472" s="91" t="s">
        <v>2727</v>
      </c>
      <c r="D1472" s="171" t="str">
        <f t="shared" si="1"/>
        <v>QR-109</v>
      </c>
      <c r="F1472" s="91" t="s">
        <v>181</v>
      </c>
      <c r="G1472" s="170" t="str">
        <f t="shared" si="2"/>
        <v>QR-109&gt;Starbucks</v>
      </c>
    </row>
    <row r="1473">
      <c r="A1473" s="91">
        <v>1.0</v>
      </c>
      <c r="B1473" s="91" t="s">
        <v>3848</v>
      </c>
      <c r="C1473" s="91" t="s">
        <v>2727</v>
      </c>
      <c r="D1473" s="171" t="str">
        <f t="shared" si="1"/>
        <v>QR-109</v>
      </c>
      <c r="F1473" s="91" t="s">
        <v>1403</v>
      </c>
      <c r="G1473" s="170" t="str">
        <f t="shared" si="2"/>
        <v>QR-109&gt;Zorlu Center Açık Hava</v>
      </c>
    </row>
    <row r="1474">
      <c r="A1474" s="91">
        <v>1.0</v>
      </c>
      <c r="B1474" s="91" t="s">
        <v>3848</v>
      </c>
      <c r="C1474" s="91" t="s">
        <v>2736</v>
      </c>
      <c r="D1474" s="171" t="str">
        <f t="shared" si="1"/>
        <v>QR-112</v>
      </c>
      <c r="F1474" s="91" t="s">
        <v>2843</v>
      </c>
      <c r="G1474" s="170" t="str">
        <f t="shared" si="2"/>
        <v>QR-112&gt;ATM</v>
      </c>
    </row>
    <row r="1475">
      <c r="A1475" s="91">
        <v>1.0</v>
      </c>
      <c r="B1475" s="91" t="s">
        <v>3848</v>
      </c>
      <c r="C1475" s="91" t="s">
        <v>2736</v>
      </c>
      <c r="D1475" s="171" t="str">
        <f t="shared" si="1"/>
        <v>QR-112</v>
      </c>
      <c r="F1475" s="91" t="s">
        <v>399</v>
      </c>
      <c r="G1475" s="170" t="str">
        <f t="shared" si="2"/>
        <v>QR-112&gt;Apple</v>
      </c>
    </row>
    <row r="1476">
      <c r="A1476" s="91">
        <v>1.0</v>
      </c>
      <c r="B1476" s="91" t="s">
        <v>3848</v>
      </c>
      <c r="C1476" s="91" t="s">
        <v>2736</v>
      </c>
      <c r="D1476" s="171" t="str">
        <f t="shared" si="1"/>
        <v>QR-112</v>
      </c>
      <c r="F1476" s="91" t="s">
        <v>652</v>
      </c>
      <c r="G1476" s="170" t="str">
        <f t="shared" si="2"/>
        <v>QR-112&gt;Bobbi Brown</v>
      </c>
    </row>
    <row r="1477">
      <c r="A1477" s="91">
        <v>1.0</v>
      </c>
      <c r="B1477" s="91" t="s">
        <v>3848</v>
      </c>
      <c r="C1477" s="91" t="s">
        <v>2736</v>
      </c>
      <c r="D1477" s="171" t="str">
        <f t="shared" si="1"/>
        <v>QR-112</v>
      </c>
      <c r="F1477" s="91" t="s">
        <v>549</v>
      </c>
      <c r="G1477" s="170" t="str">
        <f t="shared" si="2"/>
        <v>QR-112&gt;Caffe Nero</v>
      </c>
    </row>
    <row r="1478">
      <c r="A1478" s="91">
        <v>1.0</v>
      </c>
      <c r="B1478" s="91" t="s">
        <v>3848</v>
      </c>
      <c r="C1478" s="91" t="s">
        <v>2736</v>
      </c>
      <c r="D1478" s="171" t="str">
        <f t="shared" si="1"/>
        <v>QR-112</v>
      </c>
      <c r="F1478" s="91" t="s">
        <v>728</v>
      </c>
      <c r="G1478" s="170" t="str">
        <f t="shared" si="2"/>
        <v>QR-112&gt;Calvin Klein Jeans</v>
      </c>
    </row>
    <row r="1479">
      <c r="A1479" s="91">
        <v>1.0</v>
      </c>
      <c r="B1479" s="91" t="s">
        <v>3848</v>
      </c>
      <c r="C1479" s="91" t="s">
        <v>2736</v>
      </c>
      <c r="D1479" s="171" t="str">
        <f t="shared" si="1"/>
        <v>QR-112</v>
      </c>
      <c r="F1479" s="91" t="s">
        <v>521</v>
      </c>
      <c r="G1479" s="170" t="str">
        <f t="shared" si="2"/>
        <v>QR-112&gt;Calzedonia</v>
      </c>
    </row>
    <row r="1480">
      <c r="A1480" s="91">
        <v>1.0</v>
      </c>
      <c r="B1480" s="91" t="s">
        <v>3848</v>
      </c>
      <c r="C1480" s="91" t="s">
        <v>2736</v>
      </c>
      <c r="D1480" s="171" t="str">
        <f t="shared" si="1"/>
        <v>QR-112</v>
      </c>
      <c r="F1480" s="91" t="s">
        <v>1374</v>
      </c>
      <c r="G1480" s="170" t="str">
        <f t="shared" si="2"/>
        <v>QR-112&gt;Concierge</v>
      </c>
    </row>
    <row r="1481">
      <c r="A1481" s="91">
        <v>1.0</v>
      </c>
      <c r="B1481" s="91" t="s">
        <v>3848</v>
      </c>
      <c r="C1481" s="91" t="s">
        <v>2736</v>
      </c>
      <c r="D1481" s="171" t="str">
        <f t="shared" si="1"/>
        <v>QR-112</v>
      </c>
      <c r="F1481" s="91" t="s">
        <v>1579</v>
      </c>
      <c r="G1481" s="170" t="str">
        <f t="shared" si="2"/>
        <v>QR-112&gt;D&amp;R</v>
      </c>
    </row>
    <row r="1482">
      <c r="A1482" s="91">
        <v>1.0</v>
      </c>
      <c r="B1482" s="91" t="s">
        <v>3848</v>
      </c>
      <c r="C1482" s="91" t="s">
        <v>2736</v>
      </c>
      <c r="D1482" s="171" t="str">
        <f t="shared" si="1"/>
        <v>QR-112</v>
      </c>
      <c r="F1482" s="91" t="s">
        <v>2083</v>
      </c>
      <c r="G1482" s="170" t="str">
        <f t="shared" si="2"/>
        <v>QR-112&gt;Döner Stop</v>
      </c>
    </row>
    <row r="1483">
      <c r="A1483" s="91">
        <v>1.0</v>
      </c>
      <c r="B1483" s="91" t="s">
        <v>3848</v>
      </c>
      <c r="C1483" s="91" t="s">
        <v>2736</v>
      </c>
      <c r="D1483" s="171" t="str">
        <f t="shared" si="1"/>
        <v>QR-112</v>
      </c>
      <c r="F1483" s="91" t="s">
        <v>1218</v>
      </c>
      <c r="G1483" s="170" t="str">
        <f t="shared" si="2"/>
        <v>QR-112&gt;Franck Muller</v>
      </c>
    </row>
    <row r="1484">
      <c r="A1484" s="91">
        <v>1.0</v>
      </c>
      <c r="B1484" s="91" t="s">
        <v>3848</v>
      </c>
      <c r="C1484" s="91" t="s">
        <v>2736</v>
      </c>
      <c r="D1484" s="171" t="str">
        <f t="shared" si="1"/>
        <v>QR-112</v>
      </c>
      <c r="F1484" s="91" t="s">
        <v>2439</v>
      </c>
      <c r="G1484" s="170" t="str">
        <f t="shared" si="2"/>
        <v>QR-112&gt;Gran Cafe Eataly</v>
      </c>
    </row>
    <row r="1485">
      <c r="A1485" s="91">
        <v>1.0</v>
      </c>
      <c r="B1485" s="91" t="s">
        <v>3848</v>
      </c>
      <c r="C1485" s="91" t="s">
        <v>2736</v>
      </c>
      <c r="D1485" s="171" t="str">
        <f t="shared" si="1"/>
        <v>QR-112</v>
      </c>
      <c r="F1485" s="91" t="s">
        <v>1634</v>
      </c>
      <c r="G1485" s="170" t="str">
        <f t="shared" si="2"/>
        <v>QR-112&gt;HandeHaluk Kuaför</v>
      </c>
    </row>
    <row r="1486">
      <c r="A1486" s="91">
        <v>1.0</v>
      </c>
      <c r="B1486" s="91" t="s">
        <v>3848</v>
      </c>
      <c r="C1486" s="91" t="s">
        <v>2736</v>
      </c>
      <c r="D1486" s="171" t="str">
        <f t="shared" si="1"/>
        <v>QR-112</v>
      </c>
      <c r="F1486" s="91" t="s">
        <v>788</v>
      </c>
      <c r="G1486" s="170" t="str">
        <f t="shared" si="2"/>
        <v>QR-112&gt;Mapa</v>
      </c>
    </row>
    <row r="1487">
      <c r="A1487" s="91">
        <v>1.0</v>
      </c>
      <c r="B1487" s="91" t="s">
        <v>3848</v>
      </c>
      <c r="C1487" s="91" t="s">
        <v>2736</v>
      </c>
      <c r="D1487" s="171" t="str">
        <f t="shared" si="1"/>
        <v>QR-112</v>
      </c>
      <c r="F1487" s="91" t="s">
        <v>326</v>
      </c>
      <c r="G1487" s="170" t="str">
        <f t="shared" si="2"/>
        <v>QR-112&gt;Massimo Dutti</v>
      </c>
    </row>
    <row r="1488">
      <c r="A1488" s="91">
        <v>1.0</v>
      </c>
      <c r="B1488" s="91" t="s">
        <v>3848</v>
      </c>
      <c r="C1488" s="91" t="s">
        <v>2736</v>
      </c>
      <c r="D1488" s="171" t="str">
        <f t="shared" si="1"/>
        <v>QR-112</v>
      </c>
      <c r="F1488" s="91" t="s">
        <v>3859</v>
      </c>
      <c r="G1488" s="170" t="str">
        <f t="shared" si="2"/>
        <v>QR-112&gt;Metro&lt;br&gt;Metrobus</v>
      </c>
    </row>
    <row r="1489">
      <c r="A1489" s="91">
        <v>1.0</v>
      </c>
      <c r="B1489" s="91" t="s">
        <v>3848</v>
      </c>
      <c r="C1489" s="91" t="s">
        <v>2736</v>
      </c>
      <c r="D1489" s="171" t="str">
        <f t="shared" si="1"/>
        <v>QR-112</v>
      </c>
      <c r="F1489" s="91" t="s">
        <v>664</v>
      </c>
      <c r="G1489" s="170" t="str">
        <f t="shared" si="2"/>
        <v>QR-112&gt;Network</v>
      </c>
    </row>
    <row r="1490">
      <c r="A1490" s="91">
        <v>1.0</v>
      </c>
      <c r="B1490" s="91" t="s">
        <v>3848</v>
      </c>
      <c r="C1490" s="91" t="s">
        <v>2736</v>
      </c>
      <c r="D1490" s="171" t="str">
        <f t="shared" si="1"/>
        <v>QR-112</v>
      </c>
      <c r="F1490" s="91" t="s">
        <v>240</v>
      </c>
      <c r="G1490" s="170" t="str">
        <f t="shared" si="2"/>
        <v>QR-112&gt;Nike by Levazım</v>
      </c>
    </row>
    <row r="1491">
      <c r="A1491" s="91">
        <v>1.0</v>
      </c>
      <c r="B1491" s="91" t="s">
        <v>3848</v>
      </c>
      <c r="C1491" s="91" t="s">
        <v>2736</v>
      </c>
      <c r="D1491" s="171" t="str">
        <f t="shared" si="1"/>
        <v>QR-112</v>
      </c>
      <c r="F1491" s="91" t="s">
        <v>3854</v>
      </c>
      <c r="G1491" s="170" t="str">
        <f t="shared" si="2"/>
        <v>QR-112&gt;Pharmacy</v>
      </c>
    </row>
    <row r="1492">
      <c r="A1492" s="91">
        <v>1.0</v>
      </c>
      <c r="B1492" s="91" t="s">
        <v>3848</v>
      </c>
      <c r="C1492" s="91" t="s">
        <v>2736</v>
      </c>
      <c r="D1492" s="171" t="str">
        <f t="shared" si="1"/>
        <v>QR-112</v>
      </c>
      <c r="F1492" s="91" t="s">
        <v>2834</v>
      </c>
      <c r="G1492" s="170" t="str">
        <f t="shared" si="2"/>
        <v>QR-112&gt;Pharmacy Zorlu Center</v>
      </c>
    </row>
    <row r="1493">
      <c r="A1493" s="91">
        <v>1.0</v>
      </c>
      <c r="B1493" s="91" t="s">
        <v>3848</v>
      </c>
      <c r="C1493" s="91" t="s">
        <v>2736</v>
      </c>
      <c r="D1493" s="171" t="str">
        <f t="shared" si="1"/>
        <v>QR-112</v>
      </c>
      <c r="F1493" s="91" t="s">
        <v>711</v>
      </c>
      <c r="G1493" s="170" t="str">
        <f t="shared" si="2"/>
        <v>QR-112&gt;Pinko</v>
      </c>
    </row>
    <row r="1494">
      <c r="A1494" s="91">
        <v>1.0</v>
      </c>
      <c r="B1494" s="91" t="s">
        <v>3848</v>
      </c>
      <c r="C1494" s="91" t="s">
        <v>2736</v>
      </c>
      <c r="D1494" s="171" t="str">
        <f t="shared" si="1"/>
        <v>QR-112</v>
      </c>
      <c r="F1494" s="91" t="s">
        <v>1345</v>
      </c>
      <c r="G1494" s="170" t="str">
        <f t="shared" si="2"/>
        <v>QR-112&gt;Raffles Istanbul</v>
      </c>
    </row>
    <row r="1495">
      <c r="A1495" s="91">
        <v>1.0</v>
      </c>
      <c r="B1495" s="91" t="s">
        <v>3848</v>
      </c>
      <c r="C1495" s="91" t="s">
        <v>2736</v>
      </c>
      <c r="D1495" s="171" t="str">
        <f t="shared" si="1"/>
        <v>QR-112</v>
      </c>
      <c r="F1495" s="91" t="s">
        <v>1082</v>
      </c>
      <c r="G1495" s="170" t="str">
        <f t="shared" si="2"/>
        <v>QR-112&gt;Saray Muhallebicisi</v>
      </c>
    </row>
    <row r="1496">
      <c r="A1496" s="91">
        <v>1.0</v>
      </c>
      <c r="B1496" s="91" t="s">
        <v>3848</v>
      </c>
      <c r="C1496" s="91" t="s">
        <v>2736</v>
      </c>
      <c r="D1496" s="171" t="str">
        <f t="shared" si="1"/>
        <v>QR-112</v>
      </c>
      <c r="F1496" s="91" t="s">
        <v>640</v>
      </c>
      <c r="G1496" s="170" t="str">
        <f t="shared" si="2"/>
        <v>QR-112&gt;Sosa</v>
      </c>
    </row>
    <row r="1497">
      <c r="A1497" s="91">
        <v>1.0</v>
      </c>
      <c r="B1497" s="91" t="s">
        <v>3848</v>
      </c>
      <c r="C1497" s="91" t="s">
        <v>2736</v>
      </c>
      <c r="D1497" s="171" t="str">
        <f t="shared" si="1"/>
        <v>QR-112</v>
      </c>
      <c r="F1497" s="91" t="s">
        <v>181</v>
      </c>
      <c r="G1497" s="170" t="str">
        <f t="shared" si="2"/>
        <v>QR-112&gt;Starbucks</v>
      </c>
    </row>
    <row r="1498">
      <c r="A1498" s="91">
        <v>1.0</v>
      </c>
      <c r="B1498" s="91" t="s">
        <v>3848</v>
      </c>
      <c r="C1498" s="91" t="s">
        <v>2736</v>
      </c>
      <c r="D1498" s="171" t="str">
        <f t="shared" si="1"/>
        <v>QR-112</v>
      </c>
      <c r="F1498" s="91" t="s">
        <v>2325</v>
      </c>
      <c r="G1498" s="170" t="str">
        <f t="shared" si="2"/>
        <v>QR-112&gt;Superstep</v>
      </c>
    </row>
    <row r="1499">
      <c r="A1499" s="91">
        <v>1.0</v>
      </c>
      <c r="B1499" s="91" t="s">
        <v>3848</v>
      </c>
      <c r="C1499" s="91" t="s">
        <v>2736</v>
      </c>
      <c r="D1499" s="171" t="str">
        <f t="shared" si="1"/>
        <v>QR-112</v>
      </c>
      <c r="F1499" s="91" t="s">
        <v>1548</v>
      </c>
      <c r="G1499" s="170" t="str">
        <f t="shared" si="2"/>
        <v>QR-112&gt;Toyzz Shop</v>
      </c>
    </row>
    <row r="1500">
      <c r="A1500" s="91">
        <v>1.0</v>
      </c>
      <c r="B1500" s="91" t="s">
        <v>3848</v>
      </c>
      <c r="C1500" s="91" t="s">
        <v>2736</v>
      </c>
      <c r="D1500" s="171" t="str">
        <f t="shared" si="1"/>
        <v>QR-112</v>
      </c>
      <c r="F1500" s="91" t="s">
        <v>413</v>
      </c>
      <c r="G1500" s="170" t="str">
        <f t="shared" si="2"/>
        <v>QR-112&gt;Tumi</v>
      </c>
    </row>
    <row r="1501">
      <c r="A1501" s="91">
        <v>1.0</v>
      </c>
      <c r="B1501" s="91" t="s">
        <v>3848</v>
      </c>
      <c r="C1501" s="91" t="s">
        <v>2736</v>
      </c>
      <c r="D1501" s="171" t="str">
        <f t="shared" si="1"/>
        <v>QR-112</v>
      </c>
      <c r="F1501" s="91" t="s">
        <v>485</v>
      </c>
      <c r="G1501" s="170" t="str">
        <f t="shared" si="2"/>
        <v>QR-112&gt;Watsons</v>
      </c>
    </row>
    <row r="1502">
      <c r="A1502" s="91">
        <v>1.0</v>
      </c>
      <c r="B1502" s="91" t="s">
        <v>3848</v>
      </c>
      <c r="C1502" s="91" t="s">
        <v>2736</v>
      </c>
      <c r="D1502" s="171" t="str">
        <f t="shared" si="1"/>
        <v>QR-112</v>
      </c>
      <c r="F1502" s="91" t="s">
        <v>3680</v>
      </c>
      <c r="G1502" s="170" t="str">
        <f t="shared" si="2"/>
        <v>QR-112&gt;Zorlu PSM Bosphorus Floor</v>
      </c>
    </row>
    <row r="1503">
      <c r="A1503" s="91">
        <v>1.0</v>
      </c>
      <c r="B1503" s="91" t="s">
        <v>3848</v>
      </c>
      <c r="C1503" s="91" t="s">
        <v>2745</v>
      </c>
      <c r="D1503" s="171" t="str">
        <f t="shared" si="1"/>
        <v>QR-203</v>
      </c>
      <c r="F1503" s="91" t="s">
        <v>1662</v>
      </c>
      <c r="G1503" s="170" t="str">
        <f t="shared" si="2"/>
        <v>QR-203&gt;1290SQM</v>
      </c>
    </row>
    <row r="1504">
      <c r="A1504" s="91">
        <v>1.0</v>
      </c>
      <c r="B1504" s="91" t="s">
        <v>3848</v>
      </c>
      <c r="C1504" s="91" t="s">
        <v>2745</v>
      </c>
      <c r="D1504" s="171" t="str">
        <f t="shared" si="1"/>
        <v>QR-203</v>
      </c>
      <c r="F1504" s="91" t="s">
        <v>285</v>
      </c>
      <c r="G1504" s="170" t="str">
        <f t="shared" si="2"/>
        <v>QR-203&gt;Aldo</v>
      </c>
    </row>
    <row r="1505">
      <c r="A1505" s="91">
        <v>1.0</v>
      </c>
      <c r="B1505" s="91" t="s">
        <v>3848</v>
      </c>
      <c r="C1505" s="91" t="s">
        <v>2745</v>
      </c>
      <c r="D1505" s="171" t="str">
        <f t="shared" si="1"/>
        <v>QR-203</v>
      </c>
      <c r="F1505" s="91" t="s">
        <v>1406</v>
      </c>
      <c r="G1505" s="170" t="str">
        <f t="shared" si="2"/>
        <v>QR-203&gt;Arifoğlu</v>
      </c>
    </row>
    <row r="1506">
      <c r="A1506" s="91">
        <v>1.0</v>
      </c>
      <c r="B1506" s="91" t="s">
        <v>3848</v>
      </c>
      <c r="C1506" s="91" t="s">
        <v>2745</v>
      </c>
      <c r="D1506" s="171" t="str">
        <f t="shared" si="1"/>
        <v>QR-203</v>
      </c>
      <c r="F1506" s="91" t="s">
        <v>211</v>
      </c>
      <c r="G1506" s="170" t="str">
        <f t="shared" si="2"/>
        <v>QR-203&gt;Asics</v>
      </c>
    </row>
    <row r="1507">
      <c r="A1507" s="91">
        <v>1.0</v>
      </c>
      <c r="B1507" s="91" t="s">
        <v>3848</v>
      </c>
      <c r="C1507" s="91" t="s">
        <v>2745</v>
      </c>
      <c r="D1507" s="171" t="str">
        <f t="shared" si="1"/>
        <v>QR-203</v>
      </c>
      <c r="F1507" s="91" t="s">
        <v>705</v>
      </c>
      <c r="G1507" s="170" t="str">
        <f t="shared" si="2"/>
        <v>QR-203&gt;Atasay</v>
      </c>
    </row>
    <row r="1508">
      <c r="A1508" s="91">
        <v>1.0</v>
      </c>
      <c r="B1508" s="91" t="s">
        <v>3848</v>
      </c>
      <c r="C1508" s="91" t="s">
        <v>2745</v>
      </c>
      <c r="D1508" s="171" t="str">
        <f t="shared" si="1"/>
        <v>QR-203</v>
      </c>
      <c r="F1508" s="91" t="s">
        <v>1088</v>
      </c>
      <c r="G1508" s="170" t="str">
        <f t="shared" si="2"/>
        <v>QR-203&gt;Balenciaga</v>
      </c>
    </row>
    <row r="1509">
      <c r="A1509" s="91">
        <v>1.0</v>
      </c>
      <c r="B1509" s="91" t="s">
        <v>3848</v>
      </c>
      <c r="C1509" s="91" t="s">
        <v>2745</v>
      </c>
      <c r="D1509" s="171" t="str">
        <f t="shared" si="1"/>
        <v>QR-203</v>
      </c>
      <c r="F1509" s="91" t="s">
        <v>1325</v>
      </c>
      <c r="G1509" s="170" t="str">
        <f t="shared" si="2"/>
        <v>QR-203&gt;Balmain</v>
      </c>
    </row>
    <row r="1510">
      <c r="A1510" s="91">
        <v>1.0</v>
      </c>
      <c r="B1510" s="91" t="s">
        <v>3848</v>
      </c>
      <c r="C1510" s="91" t="s">
        <v>2745</v>
      </c>
      <c r="D1510" s="171" t="str">
        <f t="shared" si="1"/>
        <v>QR-203</v>
      </c>
      <c r="F1510" s="91" t="s">
        <v>1100</v>
      </c>
      <c r="G1510" s="170" t="str">
        <f t="shared" si="2"/>
        <v>QR-203&gt;Burberry</v>
      </c>
    </row>
    <row r="1511">
      <c r="A1511" s="91">
        <v>1.0</v>
      </c>
      <c r="B1511" s="91" t="s">
        <v>3848</v>
      </c>
      <c r="C1511" s="91" t="s">
        <v>2745</v>
      </c>
      <c r="D1511" s="171" t="str">
        <f t="shared" si="1"/>
        <v>QR-203</v>
      </c>
      <c r="F1511" s="91" t="s">
        <v>777</v>
      </c>
      <c r="G1511" s="170" t="str">
        <f t="shared" si="2"/>
        <v>QR-203&gt;COS</v>
      </c>
    </row>
    <row r="1512">
      <c r="A1512" s="91">
        <v>1.0</v>
      </c>
      <c r="B1512" s="91" t="s">
        <v>3848</v>
      </c>
      <c r="C1512" s="91" t="s">
        <v>2745</v>
      </c>
      <c r="D1512" s="171" t="str">
        <f t="shared" si="1"/>
        <v>QR-203</v>
      </c>
      <c r="F1512" s="91" t="s">
        <v>297</v>
      </c>
      <c r="G1512" s="170" t="str">
        <f t="shared" si="2"/>
        <v>QR-203&gt;Camper</v>
      </c>
    </row>
    <row r="1513">
      <c r="A1513" s="91">
        <v>1.0</v>
      </c>
      <c r="B1513" s="91" t="s">
        <v>3848</v>
      </c>
      <c r="C1513" s="91" t="s">
        <v>2745</v>
      </c>
      <c r="D1513" s="171" t="str">
        <f t="shared" si="1"/>
        <v>QR-203</v>
      </c>
      <c r="F1513" s="91" t="s">
        <v>2955</v>
      </c>
      <c r="G1513" s="170" t="str">
        <f t="shared" si="2"/>
        <v>QR-203&gt;Car Park</v>
      </c>
    </row>
    <row r="1514">
      <c r="A1514" s="91">
        <v>1.0</v>
      </c>
      <c r="B1514" s="91" t="s">
        <v>3848</v>
      </c>
      <c r="C1514" s="91" t="s">
        <v>2745</v>
      </c>
      <c r="D1514" s="171" t="str">
        <f t="shared" si="1"/>
        <v>QR-203</v>
      </c>
      <c r="F1514" s="91" t="s">
        <v>1708</v>
      </c>
      <c r="G1514" s="170" t="str">
        <f t="shared" si="2"/>
        <v>QR-203&gt;Chakra</v>
      </c>
    </row>
    <row r="1515">
      <c r="A1515" s="91">
        <v>1.0</v>
      </c>
      <c r="B1515" s="91" t="s">
        <v>3848</v>
      </c>
      <c r="C1515" s="91" t="s">
        <v>2745</v>
      </c>
      <c r="D1515" s="171" t="str">
        <f t="shared" si="1"/>
        <v>QR-203</v>
      </c>
      <c r="F1515" s="91" t="s">
        <v>1423</v>
      </c>
      <c r="G1515" s="170" t="str">
        <f t="shared" si="2"/>
        <v>QR-203&gt;Chanel</v>
      </c>
    </row>
    <row r="1516">
      <c r="A1516" s="91">
        <v>1.0</v>
      </c>
      <c r="B1516" s="91" t="s">
        <v>3848</v>
      </c>
      <c r="C1516" s="91" t="s">
        <v>2745</v>
      </c>
      <c r="D1516" s="171" t="str">
        <f t="shared" si="1"/>
        <v>QR-203</v>
      </c>
      <c r="F1516" s="91" t="s">
        <v>1290</v>
      </c>
      <c r="G1516" s="170" t="str">
        <f t="shared" si="2"/>
        <v>QR-203&gt;Dior</v>
      </c>
    </row>
    <row r="1517">
      <c r="A1517" s="91">
        <v>1.0</v>
      </c>
      <c r="B1517" s="91" t="s">
        <v>3848</v>
      </c>
      <c r="C1517" s="91" t="s">
        <v>2745</v>
      </c>
      <c r="D1517" s="171" t="str">
        <f t="shared" si="1"/>
        <v>QR-203</v>
      </c>
      <c r="F1517" s="91" t="s">
        <v>2238</v>
      </c>
      <c r="G1517" s="170" t="str">
        <f t="shared" si="2"/>
        <v>QR-203&gt;Et İşleri</v>
      </c>
    </row>
    <row r="1518">
      <c r="A1518" s="91">
        <v>1.0</v>
      </c>
      <c r="B1518" s="91" t="s">
        <v>3848</v>
      </c>
      <c r="C1518" s="91" t="s">
        <v>2745</v>
      </c>
      <c r="D1518" s="171" t="str">
        <f t="shared" si="1"/>
        <v>QR-203</v>
      </c>
      <c r="F1518" s="91" t="s">
        <v>1284</v>
      </c>
      <c r="G1518" s="170" t="str">
        <f t="shared" si="2"/>
        <v>QR-203&gt;Fendi</v>
      </c>
    </row>
    <row r="1519">
      <c r="A1519" s="91">
        <v>1.0</v>
      </c>
      <c r="B1519" s="91" t="s">
        <v>3848</v>
      </c>
      <c r="C1519" s="91" t="s">
        <v>2745</v>
      </c>
      <c r="D1519" s="171" t="str">
        <f t="shared" si="1"/>
        <v>QR-203</v>
      </c>
      <c r="F1519" s="91" t="s">
        <v>1308</v>
      </c>
      <c r="G1519" s="170" t="str">
        <f t="shared" si="2"/>
        <v>QR-203&gt;Five O'Clock</v>
      </c>
    </row>
    <row r="1520">
      <c r="A1520" s="91">
        <v>1.0</v>
      </c>
      <c r="B1520" s="91" t="s">
        <v>3848</v>
      </c>
      <c r="C1520" s="91" t="s">
        <v>2745</v>
      </c>
      <c r="D1520" s="171" t="str">
        <f t="shared" si="1"/>
        <v>QR-203</v>
      </c>
      <c r="F1520" s="91" t="s">
        <v>1003</v>
      </c>
      <c r="G1520" s="170" t="str">
        <f t="shared" si="2"/>
        <v>QR-203&gt;Golden Goose</v>
      </c>
    </row>
    <row r="1521">
      <c r="A1521" s="91">
        <v>1.0</v>
      </c>
      <c r="B1521" s="91" t="s">
        <v>3848</v>
      </c>
      <c r="C1521" s="91" t="s">
        <v>2745</v>
      </c>
      <c r="D1521" s="171" t="str">
        <f t="shared" si="1"/>
        <v>QR-203</v>
      </c>
      <c r="F1521" s="91" t="s">
        <v>1207</v>
      </c>
      <c r="G1521" s="170" t="str">
        <f t="shared" si="2"/>
        <v>QR-203&gt;Greenwich</v>
      </c>
    </row>
    <row r="1522">
      <c r="A1522" s="91">
        <v>1.0</v>
      </c>
      <c r="B1522" s="91" t="s">
        <v>3848</v>
      </c>
      <c r="C1522" s="91" t="s">
        <v>2745</v>
      </c>
      <c r="D1522" s="171" t="str">
        <f t="shared" si="1"/>
        <v>QR-203</v>
      </c>
      <c r="F1522" s="91" t="s">
        <v>555</v>
      </c>
      <c r="G1522" s="170" t="str">
        <f t="shared" si="2"/>
        <v>QR-203&gt;Günaydın Köfte &amp; Döner</v>
      </c>
    </row>
    <row r="1523">
      <c r="A1523" s="91">
        <v>1.0</v>
      </c>
      <c r="B1523" s="91" t="s">
        <v>3848</v>
      </c>
      <c r="C1523" s="91" t="s">
        <v>2745</v>
      </c>
      <c r="D1523" s="171" t="str">
        <f t="shared" si="1"/>
        <v>QR-203</v>
      </c>
      <c r="F1523" s="91" t="s">
        <v>3164</v>
      </c>
      <c r="G1523" s="170" t="str">
        <f t="shared" si="2"/>
        <v>QR-203&gt;Info Desk</v>
      </c>
    </row>
    <row r="1524">
      <c r="A1524" s="91">
        <v>1.0</v>
      </c>
      <c r="B1524" s="91" t="s">
        <v>3848</v>
      </c>
      <c r="C1524" s="91" t="s">
        <v>2745</v>
      </c>
      <c r="D1524" s="171" t="str">
        <f t="shared" si="1"/>
        <v>QR-203</v>
      </c>
      <c r="F1524" s="91" t="s">
        <v>818</v>
      </c>
      <c r="G1524" s="170" t="str">
        <f t="shared" si="2"/>
        <v>QR-203&gt;Intimissimi Uomo</v>
      </c>
    </row>
    <row r="1525">
      <c r="A1525" s="91">
        <v>1.0</v>
      </c>
      <c r="B1525" s="91" t="s">
        <v>3848</v>
      </c>
      <c r="C1525" s="91" t="s">
        <v>2745</v>
      </c>
      <c r="D1525" s="171" t="str">
        <f t="shared" si="1"/>
        <v>QR-203</v>
      </c>
      <c r="F1525" s="91" t="s">
        <v>2249</v>
      </c>
      <c r="G1525" s="170" t="str">
        <f t="shared" si="2"/>
        <v>QR-203&gt;KFC</v>
      </c>
    </row>
    <row r="1526">
      <c r="A1526" s="91">
        <v>1.0</v>
      </c>
      <c r="B1526" s="91" t="s">
        <v>3848</v>
      </c>
      <c r="C1526" s="91" t="s">
        <v>2745</v>
      </c>
      <c r="D1526" s="171" t="str">
        <f t="shared" si="1"/>
        <v>QR-203</v>
      </c>
      <c r="F1526" s="91" t="s">
        <v>1223</v>
      </c>
      <c r="G1526" s="170" t="str">
        <f t="shared" si="2"/>
        <v>QR-203&gt;Le Baron</v>
      </c>
    </row>
    <row r="1527">
      <c r="A1527" s="91">
        <v>1.0</v>
      </c>
      <c r="B1527" s="91" t="s">
        <v>3848</v>
      </c>
      <c r="C1527" s="91" t="s">
        <v>2745</v>
      </c>
      <c r="D1527" s="171" t="str">
        <f t="shared" si="1"/>
        <v>QR-203</v>
      </c>
      <c r="F1527" s="91" t="s">
        <v>3061</v>
      </c>
      <c r="G1527" s="170" t="str">
        <f t="shared" si="2"/>
        <v>QR-203&gt;Masjid</v>
      </c>
    </row>
    <row r="1528">
      <c r="A1528" s="91">
        <v>1.0</v>
      </c>
      <c r="B1528" s="91" t="s">
        <v>3848</v>
      </c>
      <c r="C1528" s="91" t="s">
        <v>2745</v>
      </c>
      <c r="D1528" s="171" t="str">
        <f t="shared" si="1"/>
        <v>QR-203</v>
      </c>
      <c r="F1528" s="91" t="s">
        <v>630</v>
      </c>
      <c r="G1528" s="170" t="str">
        <f t="shared" si="2"/>
        <v>QR-203&gt;McDonald's</v>
      </c>
    </row>
    <row r="1529">
      <c r="A1529" s="91">
        <v>1.0</v>
      </c>
      <c r="B1529" s="91" t="s">
        <v>3848</v>
      </c>
      <c r="C1529" s="91" t="s">
        <v>2745</v>
      </c>
      <c r="D1529" s="171" t="str">
        <f t="shared" si="1"/>
        <v>QR-203</v>
      </c>
      <c r="F1529" s="91" t="s">
        <v>1228</v>
      </c>
      <c r="G1529" s="170" t="str">
        <f t="shared" si="2"/>
        <v>QR-203&gt;Mer's</v>
      </c>
    </row>
    <row r="1530">
      <c r="A1530" s="91">
        <v>1.0</v>
      </c>
      <c r="B1530" s="91" t="s">
        <v>3848</v>
      </c>
      <c r="C1530" s="91" t="s">
        <v>2745</v>
      </c>
      <c r="D1530" s="171" t="str">
        <f t="shared" si="1"/>
        <v>QR-203</v>
      </c>
      <c r="F1530" s="91" t="s">
        <v>3859</v>
      </c>
      <c r="G1530" s="170" t="str">
        <f t="shared" si="2"/>
        <v>QR-203&gt;Metro&lt;br&gt;Metrobus</v>
      </c>
    </row>
    <row r="1531">
      <c r="A1531" s="91">
        <v>1.0</v>
      </c>
      <c r="B1531" s="91" t="s">
        <v>3848</v>
      </c>
      <c r="C1531" s="91" t="s">
        <v>2745</v>
      </c>
      <c r="D1531" s="171" t="str">
        <f t="shared" si="1"/>
        <v>QR-203</v>
      </c>
      <c r="F1531" s="91" t="s">
        <v>1560</v>
      </c>
      <c r="G1531" s="170" t="str">
        <f t="shared" si="2"/>
        <v>QR-203&gt;Miele</v>
      </c>
    </row>
    <row r="1532">
      <c r="A1532" s="91">
        <v>1.0</v>
      </c>
      <c r="B1532" s="91" t="s">
        <v>3848</v>
      </c>
      <c r="C1532" s="91" t="s">
        <v>2745</v>
      </c>
      <c r="D1532" s="171" t="str">
        <f t="shared" si="1"/>
        <v>QR-203</v>
      </c>
      <c r="F1532" s="91" t="s">
        <v>1380</v>
      </c>
      <c r="G1532" s="170" t="str">
        <f t="shared" si="2"/>
        <v>QR-203&gt;Nespresso</v>
      </c>
    </row>
    <row r="1533">
      <c r="A1533" s="91">
        <v>1.0</v>
      </c>
      <c r="B1533" s="91" t="s">
        <v>3848</v>
      </c>
      <c r="C1533" s="91" t="s">
        <v>2745</v>
      </c>
      <c r="D1533" s="171" t="str">
        <f t="shared" si="1"/>
        <v>QR-203</v>
      </c>
      <c r="F1533" s="91" t="s">
        <v>927</v>
      </c>
      <c r="G1533" s="170" t="str">
        <f t="shared" si="2"/>
        <v>QR-203&gt;Odaş Elektrik</v>
      </c>
    </row>
    <row r="1534">
      <c r="A1534" s="91">
        <v>1.0</v>
      </c>
      <c r="B1534" s="91" t="s">
        <v>3848</v>
      </c>
      <c r="C1534" s="91" t="s">
        <v>2745</v>
      </c>
      <c r="D1534" s="171" t="str">
        <f t="shared" si="1"/>
        <v>QR-203</v>
      </c>
      <c r="F1534" s="91" t="s">
        <v>3851</v>
      </c>
      <c r="G1534" s="170" t="str">
        <f t="shared" si="2"/>
        <v>QR-203&gt;Park Area</v>
      </c>
    </row>
    <row r="1535">
      <c r="A1535" s="91">
        <v>1.0</v>
      </c>
      <c r="B1535" s="91" t="s">
        <v>3848</v>
      </c>
      <c r="C1535" s="91" t="s">
        <v>2745</v>
      </c>
      <c r="D1535" s="171" t="str">
        <f t="shared" si="1"/>
        <v>QR-203</v>
      </c>
      <c r="F1535" s="91" t="s">
        <v>1554</v>
      </c>
      <c r="G1535" s="170" t="str">
        <f t="shared" si="2"/>
        <v>QR-203&gt;Paşabahçe Mağazaları</v>
      </c>
    </row>
    <row r="1536">
      <c r="A1536" s="91">
        <v>1.0</v>
      </c>
      <c r="B1536" s="91" t="s">
        <v>3848</v>
      </c>
      <c r="C1536" s="91" t="s">
        <v>2745</v>
      </c>
      <c r="D1536" s="171" t="str">
        <f t="shared" si="1"/>
        <v>QR-203</v>
      </c>
      <c r="F1536" s="91" t="s">
        <v>1026</v>
      </c>
      <c r="G1536" s="170" t="str">
        <f t="shared" si="2"/>
        <v>QR-203&gt;Tod's</v>
      </c>
    </row>
    <row r="1537">
      <c r="A1537" s="91">
        <v>1.0</v>
      </c>
      <c r="B1537" s="91" t="s">
        <v>3848</v>
      </c>
      <c r="C1537" s="91" t="s">
        <v>2745</v>
      </c>
      <c r="D1537" s="171" t="str">
        <f t="shared" si="1"/>
        <v>QR-203</v>
      </c>
      <c r="F1537" s="91" t="s">
        <v>676</v>
      </c>
      <c r="G1537" s="170" t="str">
        <f t="shared" si="2"/>
        <v>QR-203&gt;Tommy Hilfiger</v>
      </c>
    </row>
    <row r="1538">
      <c r="A1538" s="91">
        <v>1.0</v>
      </c>
      <c r="B1538" s="91" t="s">
        <v>3848</v>
      </c>
      <c r="C1538" s="91" t="s">
        <v>2745</v>
      </c>
      <c r="D1538" s="171" t="str">
        <f t="shared" si="1"/>
        <v>QR-203</v>
      </c>
      <c r="F1538" s="91" t="s">
        <v>1548</v>
      </c>
      <c r="G1538" s="170" t="str">
        <f t="shared" si="2"/>
        <v>QR-203&gt;Toyzz Shop</v>
      </c>
    </row>
    <row r="1539">
      <c r="A1539" s="91">
        <v>1.0</v>
      </c>
      <c r="B1539" s="91" t="s">
        <v>3848</v>
      </c>
      <c r="C1539" s="91" t="s">
        <v>2745</v>
      </c>
      <c r="D1539" s="171" t="str">
        <f t="shared" si="1"/>
        <v>QR-203</v>
      </c>
      <c r="F1539" s="91" t="s">
        <v>1009</v>
      </c>
      <c r="G1539" s="170" t="str">
        <f t="shared" si="2"/>
        <v>QR-203&gt;Welldone</v>
      </c>
    </row>
    <row r="1540">
      <c r="A1540" s="91">
        <v>1.0</v>
      </c>
      <c r="B1540" s="91" t="s">
        <v>3848</v>
      </c>
      <c r="C1540" s="91" t="s">
        <v>2745</v>
      </c>
      <c r="D1540" s="171" t="str">
        <f t="shared" si="1"/>
        <v>QR-203</v>
      </c>
      <c r="F1540" s="91" t="s">
        <v>1714</v>
      </c>
      <c r="G1540" s="170" t="str">
        <f t="shared" si="2"/>
        <v>QR-203&gt;Zorlu Gayrimenkul</v>
      </c>
    </row>
    <row r="1541">
      <c r="A1541" s="91">
        <v>1.0</v>
      </c>
      <c r="B1541" s="91" t="s">
        <v>3848</v>
      </c>
      <c r="C1541" s="91" t="s">
        <v>2745</v>
      </c>
      <c r="D1541" s="171" t="str">
        <f t="shared" si="1"/>
        <v>QR-203</v>
      </c>
      <c r="F1541" s="91" t="s">
        <v>3862</v>
      </c>
      <c r="G1541" s="170" t="str">
        <f t="shared" si="2"/>
        <v>QR-203&gt;Zorlu PSM Metro Floor</v>
      </c>
    </row>
    <row r="1542">
      <c r="A1542" s="91">
        <v>1.0</v>
      </c>
      <c r="B1542" s="91" t="s">
        <v>3848</v>
      </c>
      <c r="C1542" s="91" t="s">
        <v>2757</v>
      </c>
      <c r="D1542" s="171" t="str">
        <f t="shared" si="1"/>
        <v>QR-301</v>
      </c>
      <c r="F1542" s="91" t="s">
        <v>682</v>
      </c>
      <c r="G1542" s="170" t="str">
        <f t="shared" si="2"/>
        <v>QR-301&gt;Beymen</v>
      </c>
    </row>
    <row r="1543">
      <c r="A1543" s="91">
        <v>1.0</v>
      </c>
      <c r="B1543" s="91" t="s">
        <v>3848</v>
      </c>
      <c r="C1543" s="91" t="s">
        <v>2757</v>
      </c>
      <c r="D1543" s="171" t="str">
        <f t="shared" si="1"/>
        <v>QR-301</v>
      </c>
      <c r="F1543" s="91" t="s">
        <v>569</v>
      </c>
      <c r="G1543" s="170" t="str">
        <f t="shared" si="2"/>
        <v>QR-301&gt;Burger King</v>
      </c>
    </row>
    <row r="1544">
      <c r="A1544" s="91">
        <v>1.0</v>
      </c>
      <c r="B1544" s="91" t="s">
        <v>3848</v>
      </c>
      <c r="C1544" s="91" t="s">
        <v>2757</v>
      </c>
      <c r="D1544" s="171" t="str">
        <f t="shared" si="1"/>
        <v>QR-301</v>
      </c>
      <c r="F1544" s="91" t="s">
        <v>549</v>
      </c>
      <c r="G1544" s="170" t="str">
        <f t="shared" si="2"/>
        <v>QR-301&gt;Caffe Nero</v>
      </c>
    </row>
    <row r="1545">
      <c r="A1545" s="91">
        <v>1.0</v>
      </c>
      <c r="B1545" s="91" t="s">
        <v>3848</v>
      </c>
      <c r="C1545" s="91" t="s">
        <v>2757</v>
      </c>
      <c r="D1545" s="171" t="str">
        <f t="shared" si="1"/>
        <v>QR-301</v>
      </c>
      <c r="F1545" s="91" t="s">
        <v>2955</v>
      </c>
      <c r="G1545" s="170" t="str">
        <f t="shared" si="2"/>
        <v>QR-301&gt;Car Park</v>
      </c>
    </row>
    <row r="1546">
      <c r="A1546" s="91">
        <v>1.0</v>
      </c>
      <c r="B1546" s="91" t="s">
        <v>3848</v>
      </c>
      <c r="C1546" s="91" t="s">
        <v>2757</v>
      </c>
      <c r="D1546" s="171" t="str">
        <f t="shared" si="1"/>
        <v>QR-301</v>
      </c>
      <c r="F1546" s="91" t="s">
        <v>1015</v>
      </c>
      <c r="G1546" s="170" t="str">
        <f t="shared" si="2"/>
        <v>QR-301&gt;Crossing</v>
      </c>
    </row>
    <row r="1547">
      <c r="A1547" s="91">
        <v>1.0</v>
      </c>
      <c r="B1547" s="91" t="s">
        <v>3848</v>
      </c>
      <c r="C1547" s="91" t="s">
        <v>2757</v>
      </c>
      <c r="D1547" s="171" t="str">
        <f t="shared" si="1"/>
        <v>QR-301</v>
      </c>
      <c r="F1547" s="91" t="s">
        <v>2439</v>
      </c>
      <c r="G1547" s="170" t="str">
        <f t="shared" si="2"/>
        <v>QR-301&gt;Gran Cafe Eataly</v>
      </c>
    </row>
    <row r="1548">
      <c r="A1548" s="91">
        <v>1.0</v>
      </c>
      <c r="B1548" s="91" t="s">
        <v>3848</v>
      </c>
      <c r="C1548" s="91" t="s">
        <v>2757</v>
      </c>
      <c r="D1548" s="171" t="str">
        <f t="shared" si="1"/>
        <v>QR-301</v>
      </c>
      <c r="F1548" s="91" t="s">
        <v>350</v>
      </c>
      <c r="G1548" s="170" t="str">
        <f t="shared" si="2"/>
        <v>QR-301&gt;Jacadi Paris</v>
      </c>
    </row>
    <row r="1549">
      <c r="A1549" s="91">
        <v>1.0</v>
      </c>
      <c r="B1549" s="91" t="s">
        <v>3848</v>
      </c>
      <c r="C1549" s="91" t="s">
        <v>2757</v>
      </c>
      <c r="D1549" s="171" t="str">
        <f t="shared" si="1"/>
        <v>QR-301</v>
      </c>
      <c r="F1549" s="91" t="s">
        <v>2249</v>
      </c>
      <c r="G1549" s="170" t="str">
        <f t="shared" si="2"/>
        <v>QR-301&gt;KFC</v>
      </c>
    </row>
    <row r="1550">
      <c r="A1550" s="91">
        <v>1.0</v>
      </c>
      <c r="B1550" s="91" t="s">
        <v>3848</v>
      </c>
      <c r="C1550" s="91" t="s">
        <v>2757</v>
      </c>
      <c r="D1550" s="171" t="str">
        <f t="shared" si="1"/>
        <v>QR-301</v>
      </c>
      <c r="F1550" s="91" t="s">
        <v>94</v>
      </c>
      <c r="G1550" s="170" t="str">
        <f t="shared" si="2"/>
        <v>QR-301&gt;MediaMarkt</v>
      </c>
    </row>
    <row r="1551">
      <c r="A1551" s="91">
        <v>1.0</v>
      </c>
      <c r="B1551" s="91" t="s">
        <v>3848</v>
      </c>
      <c r="C1551" s="91" t="s">
        <v>2757</v>
      </c>
      <c r="D1551" s="171" t="str">
        <f t="shared" si="1"/>
        <v>QR-301</v>
      </c>
      <c r="F1551" s="91" t="s">
        <v>1159</v>
      </c>
      <c r="G1551" s="170" t="str">
        <f t="shared" si="2"/>
        <v>QR-301&gt;Moncler</v>
      </c>
    </row>
    <row r="1552">
      <c r="A1552" s="91">
        <v>1.0</v>
      </c>
      <c r="B1552" s="91" t="s">
        <v>3848</v>
      </c>
      <c r="C1552" s="91" t="s">
        <v>2757</v>
      </c>
      <c r="D1552" s="171" t="str">
        <f t="shared" si="1"/>
        <v>QR-301</v>
      </c>
      <c r="F1552" s="91" t="s">
        <v>1141</v>
      </c>
      <c r="G1552" s="170" t="str">
        <f t="shared" si="2"/>
        <v>QR-301&gt;Morini</v>
      </c>
    </row>
    <row r="1553">
      <c r="A1553" s="91">
        <v>1.0</v>
      </c>
      <c r="B1553" s="91" t="s">
        <v>3848</v>
      </c>
      <c r="C1553" s="91" t="s">
        <v>2757</v>
      </c>
      <c r="D1553" s="171" t="str">
        <f t="shared" si="1"/>
        <v>QR-301</v>
      </c>
      <c r="F1553" s="91" t="s">
        <v>2271</v>
      </c>
      <c r="G1553" s="170" t="str">
        <f t="shared" si="2"/>
        <v>QR-301&gt;Otopark Ödeme</v>
      </c>
    </row>
    <row r="1554">
      <c r="A1554" s="91">
        <v>1.0</v>
      </c>
      <c r="B1554" s="91" t="s">
        <v>3848</v>
      </c>
      <c r="C1554" s="91" t="s">
        <v>2757</v>
      </c>
      <c r="D1554" s="171" t="str">
        <f t="shared" si="1"/>
        <v>QR-301</v>
      </c>
      <c r="F1554" s="91" t="s">
        <v>1296</v>
      </c>
      <c r="G1554" s="170" t="str">
        <f t="shared" si="2"/>
        <v>QR-301&gt;Parle</v>
      </c>
    </row>
    <row r="1555">
      <c r="A1555" s="91">
        <v>1.0</v>
      </c>
      <c r="B1555" s="91" t="s">
        <v>3848</v>
      </c>
      <c r="C1555" s="91" t="s">
        <v>2757</v>
      </c>
      <c r="D1555" s="171" t="str">
        <f t="shared" si="1"/>
        <v>QR-301</v>
      </c>
      <c r="F1555" s="91" t="s">
        <v>1554</v>
      </c>
      <c r="G1555" s="170" t="str">
        <f t="shared" si="2"/>
        <v>QR-301&gt;Paşabahçe Mağazaları</v>
      </c>
    </row>
    <row r="1556">
      <c r="A1556" s="91">
        <v>1.0</v>
      </c>
      <c r="B1556" s="91" t="s">
        <v>3848</v>
      </c>
      <c r="C1556" s="91" t="s">
        <v>2757</v>
      </c>
      <c r="D1556" s="171" t="str">
        <f t="shared" si="1"/>
        <v>QR-301</v>
      </c>
      <c r="F1556" s="91" t="s">
        <v>1082</v>
      </c>
      <c r="G1556" s="170" t="str">
        <f t="shared" si="2"/>
        <v>QR-301&gt;Saray Muhallebicisi</v>
      </c>
    </row>
    <row r="1557">
      <c r="A1557" s="91">
        <v>1.0</v>
      </c>
      <c r="B1557" s="91" t="s">
        <v>3848</v>
      </c>
      <c r="C1557" s="91" t="s">
        <v>2757</v>
      </c>
      <c r="D1557" s="171" t="str">
        <f t="shared" si="1"/>
        <v>QR-301</v>
      </c>
      <c r="F1557" s="91" t="s">
        <v>2349</v>
      </c>
      <c r="G1557" s="170" t="str">
        <f t="shared" si="2"/>
        <v>QR-301&gt;Togg Deneyim Merkezi</v>
      </c>
    </row>
    <row r="1558">
      <c r="A1558" s="91">
        <v>1.0</v>
      </c>
      <c r="B1558" s="91" t="s">
        <v>3848</v>
      </c>
      <c r="C1558" s="91" t="s">
        <v>2757</v>
      </c>
      <c r="D1558" s="171" t="str">
        <f t="shared" si="1"/>
        <v>QR-301</v>
      </c>
      <c r="F1558" s="91" t="s">
        <v>2321</v>
      </c>
      <c r="G1558" s="170" t="str">
        <f t="shared" si="2"/>
        <v>QR-301&gt;Tommi Brasserie</v>
      </c>
    </row>
    <row r="1559">
      <c r="A1559" s="91">
        <v>1.0</v>
      </c>
      <c r="B1559" s="91" t="s">
        <v>3848</v>
      </c>
      <c r="C1559" s="91" t="s">
        <v>2757</v>
      </c>
      <c r="D1559" s="171" t="str">
        <f t="shared" si="1"/>
        <v>QR-301</v>
      </c>
      <c r="F1559" s="91" t="s">
        <v>1020</v>
      </c>
      <c r="G1559" s="170" t="str">
        <f t="shared" si="2"/>
        <v>QR-301&gt;Vakko</v>
      </c>
    </row>
    <row r="1560">
      <c r="A1560" s="91">
        <v>1.0</v>
      </c>
      <c r="B1560" s="91" t="s">
        <v>3848</v>
      </c>
      <c r="C1560" s="91" t="s">
        <v>2757</v>
      </c>
      <c r="D1560" s="171" t="str">
        <f t="shared" si="1"/>
        <v>QR-301</v>
      </c>
      <c r="F1560" s="91" t="s">
        <v>3080</v>
      </c>
      <c r="G1560" s="170" t="str">
        <f t="shared" si="2"/>
        <v>QR-301&gt;Zorlu PSM Square Floor</v>
      </c>
    </row>
    <row r="1561">
      <c r="A1561" s="91">
        <v>1.0</v>
      </c>
      <c r="B1561" s="91" t="s">
        <v>3848</v>
      </c>
      <c r="C1561" s="91" t="s">
        <v>2757</v>
      </c>
      <c r="D1561" s="171" t="str">
        <f t="shared" si="1"/>
        <v>QR-301</v>
      </c>
      <c r="F1561" s="91" t="s">
        <v>1668</v>
      </c>
      <c r="G1561" s="170" t="str">
        <f t="shared" si="2"/>
        <v>QR-301&gt;Zula</v>
      </c>
    </row>
    <row r="1562">
      <c r="A1562" s="91">
        <v>1.0</v>
      </c>
      <c r="B1562" s="91" t="s">
        <v>3848</v>
      </c>
      <c r="C1562" s="91" t="s">
        <v>2760</v>
      </c>
      <c r="D1562" s="171" t="str">
        <f t="shared" si="1"/>
        <v>QR-302</v>
      </c>
      <c r="F1562" s="91" t="s">
        <v>399</v>
      </c>
      <c r="G1562" s="170" t="str">
        <f t="shared" si="2"/>
        <v>QR-302&gt;Apple</v>
      </c>
    </row>
    <row r="1563">
      <c r="A1563" s="91">
        <v>1.0</v>
      </c>
      <c r="B1563" s="91" t="s">
        <v>3848</v>
      </c>
      <c r="C1563" s="91" t="s">
        <v>2760</v>
      </c>
      <c r="D1563" s="171" t="str">
        <f t="shared" si="1"/>
        <v>QR-302</v>
      </c>
      <c r="F1563" s="91" t="s">
        <v>1059</v>
      </c>
      <c r="G1563" s="170" t="str">
        <f t="shared" si="2"/>
        <v>QR-302&gt;BigChefs</v>
      </c>
    </row>
    <row r="1564">
      <c r="A1564" s="91">
        <v>1.0</v>
      </c>
      <c r="B1564" s="91" t="s">
        <v>3848</v>
      </c>
      <c r="C1564" s="91" t="s">
        <v>2760</v>
      </c>
      <c r="D1564" s="171" t="str">
        <f t="shared" si="1"/>
        <v>QR-302</v>
      </c>
      <c r="F1564" s="91" t="s">
        <v>1579</v>
      </c>
      <c r="G1564" s="170" t="str">
        <f t="shared" si="2"/>
        <v>QR-302&gt;D&amp;R</v>
      </c>
    </row>
    <row r="1565">
      <c r="A1565" s="91">
        <v>1.0</v>
      </c>
      <c r="B1565" s="91" t="s">
        <v>3848</v>
      </c>
      <c r="C1565" s="91" t="s">
        <v>2760</v>
      </c>
      <c r="D1565" s="171" t="str">
        <f t="shared" si="1"/>
        <v>QR-302</v>
      </c>
      <c r="F1565" s="91" t="s">
        <v>1573</v>
      </c>
      <c r="G1565" s="170" t="str">
        <f t="shared" si="2"/>
        <v>QR-302&gt;English Home</v>
      </c>
    </row>
    <row r="1566">
      <c r="A1566" s="91">
        <v>1.0</v>
      </c>
      <c r="B1566" s="91" t="s">
        <v>3848</v>
      </c>
      <c r="C1566" s="91" t="s">
        <v>2760</v>
      </c>
      <c r="D1566" s="171" t="str">
        <f t="shared" si="1"/>
        <v>QR-302</v>
      </c>
      <c r="F1566" s="91" t="s">
        <v>1031</v>
      </c>
      <c r="G1566" s="170" t="str">
        <f t="shared" si="2"/>
        <v>QR-302&gt;Happy Moon's</v>
      </c>
    </row>
    <row r="1567">
      <c r="A1567" s="91">
        <v>1.0</v>
      </c>
      <c r="B1567" s="91" t="s">
        <v>3848</v>
      </c>
      <c r="C1567" s="91" t="s">
        <v>2760</v>
      </c>
      <c r="D1567" s="171" t="str">
        <f t="shared" si="1"/>
        <v>QR-302</v>
      </c>
      <c r="F1567" s="91" t="s">
        <v>3851</v>
      </c>
      <c r="G1567" s="170" t="str">
        <f t="shared" si="2"/>
        <v>QR-302&gt;Park Area</v>
      </c>
    </row>
    <row r="1568">
      <c r="A1568" s="91">
        <v>1.0</v>
      </c>
      <c r="B1568" s="91" t="s">
        <v>3848</v>
      </c>
      <c r="C1568" s="91" t="s">
        <v>2760</v>
      </c>
      <c r="D1568" s="171" t="str">
        <f t="shared" si="1"/>
        <v>QR-302</v>
      </c>
      <c r="F1568" s="91" t="s">
        <v>1020</v>
      </c>
      <c r="G1568" s="170" t="str">
        <f t="shared" si="2"/>
        <v>QR-302&gt;Vakko</v>
      </c>
    </row>
    <row r="1569">
      <c r="A1569" s="91">
        <v>1.0</v>
      </c>
      <c r="B1569" s="91" t="s">
        <v>3848</v>
      </c>
      <c r="C1569" s="91" t="s">
        <v>2760</v>
      </c>
      <c r="D1569" s="171" t="str">
        <f t="shared" si="1"/>
        <v>QR-302</v>
      </c>
      <c r="F1569" s="91" t="s">
        <v>2132</v>
      </c>
      <c r="G1569" s="170" t="str">
        <f t="shared" si="2"/>
        <v>QR-302&gt;Vakkorama Cafe</v>
      </c>
    </row>
    <row r="1570">
      <c r="A1570" s="91">
        <v>1.0</v>
      </c>
      <c r="B1570" s="91" t="s">
        <v>3848</v>
      </c>
      <c r="C1570" s="91" t="s">
        <v>2760</v>
      </c>
      <c r="D1570" s="171" t="str">
        <f t="shared" si="1"/>
        <v>QR-302</v>
      </c>
      <c r="F1570" s="91" t="s">
        <v>485</v>
      </c>
      <c r="G1570" s="170" t="str">
        <f t="shared" si="2"/>
        <v>QR-302&gt;Watsons</v>
      </c>
    </row>
    <row r="1571">
      <c r="A1571" s="91">
        <v>1.0</v>
      </c>
      <c r="B1571" s="91" t="s">
        <v>3848</v>
      </c>
      <c r="C1571" s="91" t="s">
        <v>2677</v>
      </c>
      <c r="D1571" s="171" t="str">
        <f t="shared" si="1"/>
        <v>QR003</v>
      </c>
      <c r="F1571" s="91" t="s">
        <v>1603</v>
      </c>
      <c r="G1571" s="170" t="str">
        <f t="shared" si="2"/>
        <v>QR003&gt;Eataly</v>
      </c>
    </row>
    <row r="1572">
      <c r="A1572" s="91">
        <v>1.0</v>
      </c>
      <c r="B1572" s="91" t="s">
        <v>3848</v>
      </c>
      <c r="C1572" s="91" t="s">
        <v>2677</v>
      </c>
      <c r="D1572" s="171" t="str">
        <f t="shared" si="1"/>
        <v>QR003</v>
      </c>
      <c r="F1572" s="91" t="s">
        <v>1696</v>
      </c>
      <c r="G1572" s="170" t="str">
        <f t="shared" si="2"/>
        <v>QR003&gt;MOC</v>
      </c>
    </row>
    <row r="1573">
      <c r="A1573" s="91">
        <v>1.0</v>
      </c>
      <c r="B1573" s="91" t="s">
        <v>3848</v>
      </c>
      <c r="C1573" s="91" t="s">
        <v>2677</v>
      </c>
      <c r="D1573" s="171" t="str">
        <f t="shared" si="1"/>
        <v>QR003</v>
      </c>
      <c r="F1573" s="91" t="s">
        <v>3851</v>
      </c>
      <c r="G1573" s="170" t="str">
        <f t="shared" si="2"/>
        <v>QR003&gt;Park Area</v>
      </c>
    </row>
    <row r="1574">
      <c r="A1574" s="91">
        <v>1.0</v>
      </c>
      <c r="B1574" s="91" t="s">
        <v>3848</v>
      </c>
      <c r="C1574" s="91" t="s">
        <v>2679</v>
      </c>
      <c r="D1574" s="171" t="str">
        <f t="shared" si="1"/>
        <v>QR004</v>
      </c>
      <c r="F1574" s="91" t="s">
        <v>399</v>
      </c>
      <c r="G1574" s="170" t="str">
        <f t="shared" si="2"/>
        <v>QR004&gt;Apple</v>
      </c>
    </row>
    <row r="1575">
      <c r="A1575" s="91">
        <v>1.0</v>
      </c>
      <c r="B1575" s="91" t="s">
        <v>3848</v>
      </c>
      <c r="C1575" s="91" t="s">
        <v>2679</v>
      </c>
      <c r="D1575" s="171" t="str">
        <f t="shared" si="1"/>
        <v>QR004</v>
      </c>
      <c r="F1575" s="91" t="s">
        <v>326</v>
      </c>
      <c r="G1575" s="170" t="str">
        <f t="shared" si="2"/>
        <v>QR004&gt;Massimo Dutti</v>
      </c>
    </row>
    <row r="1576">
      <c r="A1576" s="91">
        <v>1.0</v>
      </c>
      <c r="B1576" s="91" t="s">
        <v>3848</v>
      </c>
      <c r="C1576" s="91" t="s">
        <v>2679</v>
      </c>
      <c r="D1576" s="171" t="str">
        <f t="shared" si="1"/>
        <v>QR004</v>
      </c>
      <c r="F1576" s="91" t="s">
        <v>3065</v>
      </c>
      <c r="G1576" s="170" t="str">
        <f t="shared" si="2"/>
        <v>QR004&gt;Subway Metrobus</v>
      </c>
    </row>
    <row r="1577">
      <c r="A1577" s="91">
        <v>1.0</v>
      </c>
      <c r="B1577" s="91" t="s">
        <v>3848</v>
      </c>
      <c r="C1577" s="91" t="s">
        <v>2682</v>
      </c>
      <c r="D1577" s="171" t="str">
        <f t="shared" si="1"/>
        <v>QR005</v>
      </c>
      <c r="F1577" s="91" t="s">
        <v>399</v>
      </c>
      <c r="G1577" s="170" t="str">
        <f t="shared" si="2"/>
        <v>QR005&gt;Apple</v>
      </c>
    </row>
    <row r="1578">
      <c r="A1578" s="91">
        <v>1.0</v>
      </c>
      <c r="B1578" s="91" t="s">
        <v>3848</v>
      </c>
      <c r="C1578" s="91" t="s">
        <v>2682</v>
      </c>
      <c r="D1578" s="171" t="str">
        <f t="shared" si="1"/>
        <v>QR005</v>
      </c>
      <c r="F1578" s="91" t="s">
        <v>579</v>
      </c>
      <c r="G1578" s="170" t="str">
        <f t="shared" si="2"/>
        <v>QR005&gt;Arby's</v>
      </c>
    </row>
    <row r="1579">
      <c r="A1579" s="91">
        <v>1.0</v>
      </c>
      <c r="B1579" s="91" t="s">
        <v>3848</v>
      </c>
      <c r="C1579" s="91" t="s">
        <v>2682</v>
      </c>
      <c r="D1579" s="171" t="str">
        <f t="shared" si="1"/>
        <v>QR005</v>
      </c>
      <c r="F1579" s="91" t="s">
        <v>1106</v>
      </c>
      <c r="G1579" s="170" t="str">
        <f t="shared" si="2"/>
        <v>QR005&gt;Cantinery</v>
      </c>
    </row>
    <row r="1580">
      <c r="A1580" s="91">
        <v>1.0</v>
      </c>
      <c r="B1580" s="91" t="s">
        <v>3848</v>
      </c>
      <c r="C1580" s="91" t="s">
        <v>2682</v>
      </c>
      <c r="D1580" s="171" t="str">
        <f t="shared" si="1"/>
        <v>QR005</v>
      </c>
      <c r="F1580" s="91" t="s">
        <v>356</v>
      </c>
      <c r="G1580" s="170" t="str">
        <f t="shared" si="2"/>
        <v>QR005&gt;Columbia</v>
      </c>
    </row>
    <row r="1581">
      <c r="A1581" s="91">
        <v>1.0</v>
      </c>
      <c r="B1581" s="91" t="s">
        <v>3848</v>
      </c>
      <c r="C1581" s="91" t="s">
        <v>2682</v>
      </c>
      <c r="D1581" s="171" t="str">
        <f t="shared" si="1"/>
        <v>QR005</v>
      </c>
      <c r="F1581" s="91" t="s">
        <v>658</v>
      </c>
      <c r="G1581" s="170" t="str">
        <f t="shared" si="2"/>
        <v>QR005&gt;Pandora</v>
      </c>
    </row>
    <row r="1582">
      <c r="A1582" s="91">
        <v>1.0</v>
      </c>
      <c r="B1582" s="91" t="s">
        <v>3848</v>
      </c>
      <c r="C1582" s="91" t="s">
        <v>2682</v>
      </c>
      <c r="D1582" s="171" t="str">
        <f t="shared" si="1"/>
        <v>QR005</v>
      </c>
      <c r="F1582" s="91" t="s">
        <v>3854</v>
      </c>
      <c r="G1582" s="170" t="str">
        <f t="shared" si="2"/>
        <v>QR005&gt;Pharmacy</v>
      </c>
    </row>
    <row r="1583">
      <c r="A1583" s="91">
        <v>1.0</v>
      </c>
      <c r="B1583" s="91" t="s">
        <v>3848</v>
      </c>
      <c r="C1583" s="91" t="s">
        <v>2685</v>
      </c>
      <c r="D1583" s="171" t="str">
        <f t="shared" si="1"/>
        <v>QR006</v>
      </c>
      <c r="F1583" s="91" t="s">
        <v>2816</v>
      </c>
      <c r="G1583" s="170" t="str">
        <f t="shared" si="2"/>
        <v>QR006&gt;_x0010_0 Pub</v>
      </c>
    </row>
    <row r="1584">
      <c r="A1584" s="91">
        <v>1.0</v>
      </c>
      <c r="B1584" s="91" t="s">
        <v>3848</v>
      </c>
      <c r="C1584" s="91" t="s">
        <v>2685</v>
      </c>
      <c r="D1584" s="171" t="str">
        <f t="shared" si="1"/>
        <v>QR006</v>
      </c>
      <c r="F1584" s="91" t="s">
        <v>211</v>
      </c>
      <c r="G1584" s="170" t="str">
        <f t="shared" si="2"/>
        <v>QR006&gt;Asics</v>
      </c>
    </row>
    <row r="1585">
      <c r="A1585" s="91">
        <v>1.0</v>
      </c>
      <c r="B1585" s="91" t="s">
        <v>3848</v>
      </c>
      <c r="C1585" s="91" t="s">
        <v>2685</v>
      </c>
      <c r="D1585" s="171" t="str">
        <f t="shared" si="1"/>
        <v>QR006</v>
      </c>
      <c r="F1585" s="91" t="s">
        <v>362</v>
      </c>
      <c r="G1585" s="170" t="str">
        <f t="shared" si="2"/>
        <v>QR006&gt;B&amp;G Store</v>
      </c>
    </row>
    <row r="1586">
      <c r="A1586" s="91">
        <v>1.0</v>
      </c>
      <c r="B1586" s="91" t="s">
        <v>3848</v>
      </c>
      <c r="C1586" s="91" t="s">
        <v>2685</v>
      </c>
      <c r="D1586" s="171" t="str">
        <f t="shared" si="1"/>
        <v>QR006</v>
      </c>
      <c r="F1586" s="91" t="s">
        <v>783</v>
      </c>
      <c r="G1586" s="170" t="str">
        <f t="shared" si="2"/>
        <v>QR006&gt;Baqa</v>
      </c>
    </row>
    <row r="1587">
      <c r="A1587" s="91">
        <v>1.0</v>
      </c>
      <c r="B1587" s="91" t="s">
        <v>3848</v>
      </c>
      <c r="C1587" s="91" t="s">
        <v>2685</v>
      </c>
      <c r="D1587" s="171" t="str">
        <f t="shared" si="1"/>
        <v>QR006</v>
      </c>
      <c r="F1587" s="91" t="s">
        <v>682</v>
      </c>
      <c r="G1587" s="170" t="str">
        <f t="shared" si="2"/>
        <v>QR006&gt;Beymen</v>
      </c>
    </row>
    <row r="1588">
      <c r="A1588" s="91">
        <v>1.0</v>
      </c>
      <c r="B1588" s="91" t="s">
        <v>3848</v>
      </c>
      <c r="C1588" s="91" t="s">
        <v>2685</v>
      </c>
      <c r="D1588" s="171" t="str">
        <f t="shared" si="1"/>
        <v>QR006</v>
      </c>
      <c r="F1588" s="91" t="s">
        <v>2160</v>
      </c>
      <c r="G1588" s="170" t="str">
        <f t="shared" si="2"/>
        <v>QR006&gt;Casa</v>
      </c>
    </row>
    <row r="1589">
      <c r="A1589" s="91">
        <v>1.0</v>
      </c>
      <c r="B1589" s="91" t="s">
        <v>3848</v>
      </c>
      <c r="C1589" s="91" t="s">
        <v>2685</v>
      </c>
      <c r="D1589" s="171" t="str">
        <f t="shared" si="1"/>
        <v>QR006</v>
      </c>
      <c r="F1589" s="91" t="s">
        <v>1573</v>
      </c>
      <c r="G1589" s="170" t="str">
        <f t="shared" si="2"/>
        <v>QR006&gt;English Home</v>
      </c>
    </row>
    <row r="1590">
      <c r="A1590" s="91">
        <v>1.0</v>
      </c>
      <c r="B1590" s="91" t="s">
        <v>3848</v>
      </c>
      <c r="C1590" s="91" t="s">
        <v>2685</v>
      </c>
      <c r="D1590" s="171" t="str">
        <f t="shared" si="1"/>
        <v>QR006</v>
      </c>
      <c r="F1590" s="91" t="s">
        <v>765</v>
      </c>
      <c r="G1590" s="170" t="str">
        <f t="shared" si="2"/>
        <v>QR006&gt;Gant</v>
      </c>
    </row>
    <row r="1591">
      <c r="A1591" s="91">
        <v>1.0</v>
      </c>
      <c r="B1591" s="91" t="s">
        <v>3848</v>
      </c>
      <c r="C1591" s="91" t="s">
        <v>2685</v>
      </c>
      <c r="D1591" s="171" t="str">
        <f t="shared" si="1"/>
        <v>QR006</v>
      </c>
      <c r="F1591" s="91" t="s">
        <v>1337</v>
      </c>
      <c r="G1591" s="170" t="str">
        <f t="shared" si="2"/>
        <v>QR006&gt;Godiva</v>
      </c>
    </row>
    <row r="1592">
      <c r="A1592" s="91">
        <v>1.0</v>
      </c>
      <c r="B1592" s="91" t="s">
        <v>3848</v>
      </c>
      <c r="C1592" s="91" t="s">
        <v>2685</v>
      </c>
      <c r="D1592" s="171" t="str">
        <f t="shared" si="1"/>
        <v>QR006</v>
      </c>
      <c r="F1592" s="91" t="s">
        <v>1003</v>
      </c>
      <c r="G1592" s="170" t="str">
        <f t="shared" si="2"/>
        <v>QR006&gt;Golden Goose</v>
      </c>
    </row>
    <row r="1593">
      <c r="A1593" s="91">
        <v>1.0</v>
      </c>
      <c r="B1593" s="91" t="s">
        <v>3848</v>
      </c>
      <c r="C1593" s="91" t="s">
        <v>2685</v>
      </c>
      <c r="D1593" s="171" t="str">
        <f t="shared" si="1"/>
        <v>QR006</v>
      </c>
      <c r="F1593" s="91" t="s">
        <v>1207</v>
      </c>
      <c r="G1593" s="170" t="str">
        <f t="shared" si="2"/>
        <v>QR006&gt;Greenwich</v>
      </c>
    </row>
    <row r="1594">
      <c r="A1594" s="91">
        <v>1.0</v>
      </c>
      <c r="B1594" s="91" t="s">
        <v>3848</v>
      </c>
      <c r="C1594" s="91" t="s">
        <v>2685</v>
      </c>
      <c r="D1594" s="171" t="str">
        <f t="shared" si="1"/>
        <v>QR006</v>
      </c>
      <c r="F1594" s="91" t="s">
        <v>1501</v>
      </c>
      <c r="G1594" s="170" t="str">
        <f t="shared" si="2"/>
        <v>QR006&gt;IRB Sigorta</v>
      </c>
    </row>
    <row r="1595">
      <c r="A1595" s="91">
        <v>1.0</v>
      </c>
      <c r="B1595" s="91" t="s">
        <v>3848</v>
      </c>
      <c r="C1595" s="91" t="s">
        <v>2685</v>
      </c>
      <c r="D1595" s="171" t="str">
        <f t="shared" si="1"/>
        <v>QR006</v>
      </c>
      <c r="F1595" s="91" t="s">
        <v>2249</v>
      </c>
      <c r="G1595" s="170" t="str">
        <f t="shared" si="2"/>
        <v>QR006&gt;KFC</v>
      </c>
    </row>
    <row r="1596">
      <c r="A1596" s="91">
        <v>1.0</v>
      </c>
      <c r="B1596" s="91" t="s">
        <v>3848</v>
      </c>
      <c r="C1596" s="91" t="s">
        <v>2685</v>
      </c>
      <c r="D1596" s="171" t="str">
        <f t="shared" si="1"/>
        <v>QR006</v>
      </c>
      <c r="F1596" s="91" t="s">
        <v>94</v>
      </c>
      <c r="G1596" s="170" t="str">
        <f t="shared" si="2"/>
        <v>QR006&gt;MediaMarkt</v>
      </c>
    </row>
    <row r="1597">
      <c r="A1597" s="91">
        <v>1.0</v>
      </c>
      <c r="B1597" s="91" t="s">
        <v>3848</v>
      </c>
      <c r="C1597" s="91" t="s">
        <v>2685</v>
      </c>
      <c r="D1597" s="171" t="str">
        <f t="shared" si="1"/>
        <v>QR006</v>
      </c>
      <c r="F1597" s="91" t="s">
        <v>1250</v>
      </c>
      <c r="G1597" s="170" t="str">
        <f t="shared" si="2"/>
        <v>QR006&gt;MontBlanc</v>
      </c>
    </row>
    <row r="1598">
      <c r="A1598" s="91">
        <v>1.0</v>
      </c>
      <c r="B1598" s="91" t="s">
        <v>3848</v>
      </c>
      <c r="C1598" s="91" t="s">
        <v>2685</v>
      </c>
      <c r="D1598" s="171" t="str">
        <f t="shared" si="1"/>
        <v>QR006</v>
      </c>
      <c r="F1598" s="91" t="s">
        <v>240</v>
      </c>
      <c r="G1598" s="170" t="str">
        <f t="shared" si="2"/>
        <v>QR006&gt;Nike by Levazım</v>
      </c>
    </row>
    <row r="1599">
      <c r="A1599" s="91">
        <v>1.0</v>
      </c>
      <c r="B1599" s="91" t="s">
        <v>3848</v>
      </c>
      <c r="C1599" s="91" t="s">
        <v>2685</v>
      </c>
      <c r="D1599" s="171" t="str">
        <f t="shared" si="1"/>
        <v>QR006</v>
      </c>
      <c r="F1599" s="91" t="s">
        <v>658</v>
      </c>
      <c r="G1599" s="170" t="str">
        <f t="shared" si="2"/>
        <v>QR006&gt;Pandora</v>
      </c>
    </row>
    <row r="1600">
      <c r="A1600" s="91">
        <v>1.0</v>
      </c>
      <c r="B1600" s="91" t="s">
        <v>3848</v>
      </c>
      <c r="C1600" s="91" t="s">
        <v>2685</v>
      </c>
      <c r="D1600" s="171" t="str">
        <f t="shared" si="1"/>
        <v>QR006</v>
      </c>
      <c r="F1600" s="91" t="s">
        <v>2065</v>
      </c>
      <c r="G1600" s="170" t="str">
        <f t="shared" si="2"/>
        <v>QR006&gt;Saint Laurent</v>
      </c>
    </row>
    <row r="1601">
      <c r="A1601" s="91">
        <v>1.0</v>
      </c>
      <c r="B1601" s="91" t="s">
        <v>3848</v>
      </c>
      <c r="C1601" s="91" t="s">
        <v>2685</v>
      </c>
      <c r="D1601" s="171" t="str">
        <f t="shared" si="1"/>
        <v>QR006</v>
      </c>
      <c r="F1601" s="91" t="s">
        <v>533</v>
      </c>
      <c r="G1601" s="170" t="str">
        <f t="shared" si="2"/>
        <v>QR006&gt;Sevil Parfümeri</v>
      </c>
    </row>
    <row r="1602">
      <c r="A1602" s="91">
        <v>1.0</v>
      </c>
      <c r="B1602" s="91" t="s">
        <v>3848</v>
      </c>
      <c r="C1602" s="91" t="s">
        <v>2685</v>
      </c>
      <c r="D1602" s="171" t="str">
        <f t="shared" si="1"/>
        <v>QR006</v>
      </c>
      <c r="F1602" s="91" t="s">
        <v>181</v>
      </c>
      <c r="G1602" s="170" t="str">
        <f t="shared" si="2"/>
        <v>QR006&gt;Starbucks</v>
      </c>
    </row>
    <row r="1603">
      <c r="A1603" s="91">
        <v>1.0</v>
      </c>
      <c r="B1603" s="91" t="s">
        <v>3848</v>
      </c>
      <c r="C1603" s="91" t="s">
        <v>2685</v>
      </c>
      <c r="D1603" s="171" t="str">
        <f t="shared" si="1"/>
        <v>QR006</v>
      </c>
      <c r="F1603" s="91" t="s">
        <v>812</v>
      </c>
      <c r="G1603" s="170" t="str">
        <f t="shared" si="2"/>
        <v>QR006&gt;Swarovski</v>
      </c>
    </row>
    <row r="1604">
      <c r="A1604" s="91">
        <v>1.0</v>
      </c>
      <c r="B1604" s="91" t="s">
        <v>3848</v>
      </c>
      <c r="C1604" s="91" t="s">
        <v>2685</v>
      </c>
      <c r="D1604" s="171" t="str">
        <f t="shared" si="1"/>
        <v>QR006</v>
      </c>
      <c r="F1604" s="91" t="s">
        <v>2799</v>
      </c>
      <c r="G1604" s="170" t="str">
        <f t="shared" si="2"/>
        <v>QR006&gt;Tax Free Zone (Info Desk)</v>
      </c>
    </row>
    <row r="1605">
      <c r="A1605" s="91">
        <v>1.0</v>
      </c>
      <c r="B1605" s="91" t="s">
        <v>3848</v>
      </c>
      <c r="C1605" s="91" t="s">
        <v>2685</v>
      </c>
      <c r="D1605" s="171" t="str">
        <f t="shared" si="1"/>
        <v>QR006</v>
      </c>
      <c r="F1605" s="91" t="s">
        <v>1548</v>
      </c>
      <c r="G1605" s="170" t="str">
        <f t="shared" si="2"/>
        <v>QR006&gt;Toyzz Shop</v>
      </c>
    </row>
    <row r="1606">
      <c r="A1606" s="91">
        <v>1.0</v>
      </c>
      <c r="B1606" s="91" t="s">
        <v>3848</v>
      </c>
      <c r="C1606" s="91" t="s">
        <v>2685</v>
      </c>
      <c r="D1606" s="171" t="str">
        <f t="shared" si="1"/>
        <v>QR006</v>
      </c>
      <c r="F1606" s="91" t="s">
        <v>1687</v>
      </c>
      <c r="G1606" s="170" t="str">
        <f t="shared" si="2"/>
        <v>QR006&gt;Vakko Wedding</v>
      </c>
    </row>
    <row r="1607">
      <c r="A1607" s="91">
        <v>1.0</v>
      </c>
      <c r="B1607" s="91" t="s">
        <v>3848</v>
      </c>
      <c r="C1607" s="91" t="s">
        <v>2685</v>
      </c>
      <c r="D1607" s="171" t="str">
        <f t="shared" si="1"/>
        <v>QR006</v>
      </c>
      <c r="F1607" s="91" t="s">
        <v>3852</v>
      </c>
      <c r="G1607" s="170" t="str">
        <f t="shared" si="2"/>
        <v>QR006&gt;WC</v>
      </c>
    </row>
    <row r="1608">
      <c r="A1608" s="91">
        <v>1.0</v>
      </c>
      <c r="B1608" s="91" t="s">
        <v>3848</v>
      </c>
      <c r="C1608" s="91" t="s">
        <v>2685</v>
      </c>
      <c r="D1608" s="171" t="str">
        <f t="shared" si="1"/>
        <v>QR006</v>
      </c>
      <c r="F1608" s="91" t="s">
        <v>3080</v>
      </c>
      <c r="G1608" s="170" t="str">
        <f t="shared" si="2"/>
        <v>QR006&gt;Zorlu PSM Square Floor</v>
      </c>
    </row>
    <row r="1609">
      <c r="A1609" s="91">
        <v>1.0</v>
      </c>
      <c r="B1609" s="91" t="s">
        <v>3848</v>
      </c>
      <c r="C1609" s="91" t="s">
        <v>2685</v>
      </c>
      <c r="D1609" s="171" t="str">
        <f t="shared" si="1"/>
        <v>QR006</v>
      </c>
      <c r="F1609" s="91" t="s">
        <v>228</v>
      </c>
      <c r="G1609" s="170" t="str">
        <f t="shared" si="2"/>
        <v>QR006&gt;İpekyol</v>
      </c>
    </row>
    <row r="1610">
      <c r="A1610" s="91">
        <v>1.0</v>
      </c>
      <c r="B1610" s="91" t="s">
        <v>3848</v>
      </c>
      <c r="C1610" s="91" t="s">
        <v>897</v>
      </c>
      <c r="D1610" s="171" t="str">
        <f t="shared" si="1"/>
        <v>lobyy-101</v>
      </c>
      <c r="F1610" s="91" t="s">
        <v>927</v>
      </c>
      <c r="G1610" s="170" t="str">
        <f t="shared" si="2"/>
        <v>lobyy-101&gt;Odaş Elektrik</v>
      </c>
    </row>
    <row r="1611">
      <c r="A1611" s="91">
        <v>1.0</v>
      </c>
      <c r="B1611" s="91" t="s">
        <v>303</v>
      </c>
      <c r="C1611" s="91"/>
      <c r="D1611" s="171" t="str">
        <f t="shared" si="1"/>
        <v>Yves Rocher</v>
      </c>
      <c r="F1611" s="91" t="s">
        <v>1308</v>
      </c>
      <c r="G1611" s="170" t="str">
        <f t="shared" si="2"/>
        <v>Yves Rocher&gt;Five O'Clock</v>
      </c>
    </row>
    <row r="1612">
      <c r="A1612" s="91">
        <v>1.0</v>
      </c>
      <c r="B1612" s="91" t="s">
        <v>303</v>
      </c>
      <c r="C1612" s="91"/>
      <c r="D1612" s="171" t="str">
        <f t="shared" si="1"/>
        <v>Yves Rocher</v>
      </c>
      <c r="F1612" s="91" t="s">
        <v>1536</v>
      </c>
      <c r="G1612" s="170" t="str">
        <f t="shared" si="2"/>
        <v>Yves Rocher&gt;Macrocenter</v>
      </c>
    </row>
    <row r="1613">
      <c r="A1613" s="91">
        <v>1.0</v>
      </c>
      <c r="B1613" s="91" t="s">
        <v>303</v>
      </c>
      <c r="C1613" s="91"/>
      <c r="D1613" s="171" t="str">
        <f t="shared" si="1"/>
        <v>Yves Rocher</v>
      </c>
      <c r="F1613" s="91" t="s">
        <v>1548</v>
      </c>
      <c r="G1613" s="170" t="str">
        <f t="shared" si="2"/>
        <v>Yves Rocher&gt;Toyzz Shop</v>
      </c>
    </row>
    <row r="1614">
      <c r="A1614" s="91">
        <v>1.0</v>
      </c>
      <c r="B1614" s="91" t="s">
        <v>303</v>
      </c>
      <c r="C1614" s="91"/>
      <c r="D1614" s="171" t="str">
        <f t="shared" si="1"/>
        <v>Yves Rocher</v>
      </c>
      <c r="F1614" s="91" t="s">
        <v>1668</v>
      </c>
      <c r="G1614" s="170" t="str">
        <f t="shared" si="2"/>
        <v>Yves Rocher&gt;Zula</v>
      </c>
    </row>
    <row r="1615">
      <c r="A1615" s="91">
        <v>1.0</v>
      </c>
      <c r="B1615" s="91" t="s">
        <v>2343</v>
      </c>
      <c r="C1615" s="91"/>
      <c r="D1615" s="171" t="str">
        <f t="shared" si="1"/>
        <v>Zanzibar</v>
      </c>
      <c r="F1615" s="91" t="s">
        <v>2266</v>
      </c>
      <c r="G1615" s="170" t="str">
        <f t="shared" si="2"/>
        <v>Zanzibar&gt;Kafe Vesto</v>
      </c>
    </row>
    <row r="1616">
      <c r="A1616" s="91">
        <v>1.0</v>
      </c>
      <c r="B1616" s="91" t="s">
        <v>2343</v>
      </c>
      <c r="C1616" s="91"/>
      <c r="D1616" s="171" t="str">
        <f t="shared" si="1"/>
        <v>Zanzibar</v>
      </c>
      <c r="F1616" s="91" t="s">
        <v>759</v>
      </c>
      <c r="G1616" s="170" t="str">
        <f t="shared" si="2"/>
        <v>Zanzibar&gt;Nautica</v>
      </c>
    </row>
    <row r="1617">
      <c r="A1617" s="91">
        <v>1.0</v>
      </c>
      <c r="B1617" s="91" t="s">
        <v>2343</v>
      </c>
      <c r="C1617" s="91"/>
      <c r="D1617" s="171" t="str">
        <f t="shared" si="1"/>
        <v>Zanzibar</v>
      </c>
      <c r="F1617" s="91" t="s">
        <v>1668</v>
      </c>
      <c r="G1617" s="170" t="str">
        <f t="shared" si="2"/>
        <v>Zanzibar&gt;Zula</v>
      </c>
    </row>
    <row r="1618">
      <c r="A1618" s="91">
        <v>1.0</v>
      </c>
      <c r="B1618" s="91" t="s">
        <v>871</v>
      </c>
      <c r="C1618" s="91"/>
      <c r="D1618" s="171" t="str">
        <f t="shared" si="1"/>
        <v>Zara Home</v>
      </c>
      <c r="F1618" s="91" t="s">
        <v>1579</v>
      </c>
      <c r="G1618" s="170" t="str">
        <f t="shared" si="2"/>
        <v>Zara Home&gt;D&amp;R</v>
      </c>
    </row>
    <row r="1619">
      <c r="A1619" s="91">
        <v>1.0</v>
      </c>
      <c r="B1619" s="91" t="s">
        <v>474</v>
      </c>
      <c r="C1619" s="91"/>
      <c r="D1619" s="171" t="str">
        <f t="shared" si="1"/>
        <v>Zara</v>
      </c>
      <c r="F1619" s="91" t="s">
        <v>2816</v>
      </c>
      <c r="G1619" s="170" t="str">
        <f t="shared" si="2"/>
        <v>Zara&gt;_x0010_0 Pub</v>
      </c>
    </row>
    <row r="1620">
      <c r="A1620" s="91">
        <v>1.0</v>
      </c>
      <c r="B1620" s="91" t="s">
        <v>474</v>
      </c>
      <c r="C1620" s="91"/>
      <c r="D1620" s="171" t="str">
        <f t="shared" si="1"/>
        <v>Zara</v>
      </c>
      <c r="F1620" s="91" t="s">
        <v>2843</v>
      </c>
      <c r="G1620" s="170" t="str">
        <f t="shared" si="2"/>
        <v>Zara&gt;ATM</v>
      </c>
    </row>
    <row r="1621">
      <c r="A1621" s="91">
        <v>1.0</v>
      </c>
      <c r="B1621" s="91" t="s">
        <v>474</v>
      </c>
      <c r="C1621" s="91"/>
      <c r="D1621" s="171" t="str">
        <f t="shared" si="1"/>
        <v>Zara</v>
      </c>
      <c r="F1621" s="91" t="s">
        <v>285</v>
      </c>
      <c r="G1621" s="170" t="str">
        <f t="shared" si="2"/>
        <v>Zara&gt;Aldo</v>
      </c>
    </row>
    <row r="1622">
      <c r="A1622" s="91">
        <v>1.0</v>
      </c>
      <c r="B1622" s="91" t="s">
        <v>474</v>
      </c>
      <c r="C1622" s="91"/>
      <c r="D1622" s="171" t="str">
        <f t="shared" si="1"/>
        <v>Zara</v>
      </c>
      <c r="F1622" s="91" t="s">
        <v>211</v>
      </c>
      <c r="G1622" s="170" t="str">
        <f t="shared" si="2"/>
        <v>Zara&gt;Asics</v>
      </c>
    </row>
    <row r="1623">
      <c r="A1623" s="91">
        <v>1.0</v>
      </c>
      <c r="B1623" s="91" t="s">
        <v>474</v>
      </c>
      <c r="C1623" s="91"/>
      <c r="D1623" s="171" t="str">
        <f t="shared" si="1"/>
        <v>Zara</v>
      </c>
      <c r="F1623" s="91" t="s">
        <v>705</v>
      </c>
      <c r="G1623" s="170" t="str">
        <f t="shared" si="2"/>
        <v>Zara&gt;Atasay</v>
      </c>
    </row>
    <row r="1624">
      <c r="A1624" s="91">
        <v>1.0</v>
      </c>
      <c r="B1624" s="91" t="s">
        <v>474</v>
      </c>
      <c r="C1624" s="91"/>
      <c r="D1624" s="171" t="str">
        <f t="shared" si="1"/>
        <v>Zara</v>
      </c>
      <c r="F1624" s="91" t="s">
        <v>682</v>
      </c>
      <c r="G1624" s="170" t="str">
        <f t="shared" si="2"/>
        <v>Zara&gt;Beymen</v>
      </c>
    </row>
    <row r="1625">
      <c r="A1625" s="91">
        <v>1.0</v>
      </c>
      <c r="B1625" s="91" t="s">
        <v>474</v>
      </c>
      <c r="C1625" s="91"/>
      <c r="D1625" s="171" t="str">
        <f t="shared" si="1"/>
        <v>Zara</v>
      </c>
      <c r="F1625" s="91" t="s">
        <v>2955</v>
      </c>
      <c r="G1625" s="170" t="str">
        <f t="shared" si="2"/>
        <v>Zara&gt;Car Park</v>
      </c>
    </row>
    <row r="1626">
      <c r="A1626" s="91">
        <v>1.0</v>
      </c>
      <c r="B1626" s="91" t="s">
        <v>474</v>
      </c>
      <c r="C1626" s="91"/>
      <c r="D1626" s="171" t="str">
        <f t="shared" si="1"/>
        <v>Zara</v>
      </c>
      <c r="F1626" s="91" t="s">
        <v>699</v>
      </c>
      <c r="G1626" s="170" t="str">
        <f t="shared" si="2"/>
        <v>Zara&gt;Cup of Joy</v>
      </c>
    </row>
    <row r="1627">
      <c r="A1627" s="91">
        <v>1.0</v>
      </c>
      <c r="B1627" s="91" t="s">
        <v>474</v>
      </c>
      <c r="C1627" s="91"/>
      <c r="D1627" s="171" t="str">
        <f t="shared" si="1"/>
        <v>Zara</v>
      </c>
      <c r="F1627" s="91" t="s">
        <v>1579</v>
      </c>
      <c r="G1627" s="170" t="str">
        <f t="shared" si="2"/>
        <v>Zara&gt;D&amp;R</v>
      </c>
    </row>
    <row r="1628">
      <c r="A1628" s="91">
        <v>1.0</v>
      </c>
      <c r="B1628" s="91" t="s">
        <v>474</v>
      </c>
      <c r="C1628" s="91"/>
      <c r="D1628" s="171" t="str">
        <f t="shared" si="1"/>
        <v>Zara</v>
      </c>
      <c r="F1628" s="91" t="s">
        <v>740</v>
      </c>
      <c r="G1628" s="170" t="str">
        <f t="shared" si="2"/>
        <v>Zara&gt;Diesel</v>
      </c>
    </row>
    <row r="1629">
      <c r="A1629" s="91">
        <v>1.0</v>
      </c>
      <c r="B1629" s="91" t="s">
        <v>474</v>
      </c>
      <c r="C1629" s="91"/>
      <c r="D1629" s="171" t="str">
        <f t="shared" si="1"/>
        <v>Zara</v>
      </c>
      <c r="F1629" s="91" t="s">
        <v>418</v>
      </c>
      <c r="G1629" s="170" t="str">
        <f t="shared" si="2"/>
        <v>Zara&gt;Dyson</v>
      </c>
    </row>
    <row r="1630">
      <c r="A1630" s="91">
        <v>1.0</v>
      </c>
      <c r="B1630" s="91" t="s">
        <v>474</v>
      </c>
      <c r="C1630" s="91"/>
      <c r="D1630" s="171" t="str">
        <f t="shared" si="1"/>
        <v>Zara</v>
      </c>
      <c r="F1630" s="91" t="s">
        <v>1573</v>
      </c>
      <c r="G1630" s="170" t="str">
        <f t="shared" si="2"/>
        <v>Zara&gt;English Home</v>
      </c>
    </row>
    <row r="1631">
      <c r="A1631" s="91">
        <v>1.0</v>
      </c>
      <c r="B1631" s="91" t="s">
        <v>474</v>
      </c>
      <c r="C1631" s="91"/>
      <c r="D1631" s="171" t="str">
        <f t="shared" si="1"/>
        <v>Zara</v>
      </c>
      <c r="F1631" s="91" t="s">
        <v>1003</v>
      </c>
      <c r="G1631" s="170" t="str">
        <f t="shared" si="2"/>
        <v>Zara&gt;Golden Goose</v>
      </c>
    </row>
    <row r="1632">
      <c r="A1632" s="91">
        <v>1.0</v>
      </c>
      <c r="B1632" s="91" t="s">
        <v>474</v>
      </c>
      <c r="C1632" s="91"/>
      <c r="D1632" s="171" t="str">
        <f t="shared" si="1"/>
        <v>Zara</v>
      </c>
      <c r="F1632" s="91" t="s">
        <v>2439</v>
      </c>
      <c r="G1632" s="170" t="str">
        <f t="shared" si="2"/>
        <v>Zara&gt;Gran Cafe Eataly</v>
      </c>
    </row>
    <row r="1633">
      <c r="A1633" s="91">
        <v>1.0</v>
      </c>
      <c r="B1633" s="91" t="s">
        <v>474</v>
      </c>
      <c r="C1633" s="91"/>
      <c r="D1633" s="171" t="str">
        <f t="shared" si="1"/>
        <v>Zara</v>
      </c>
      <c r="F1633" s="91" t="s">
        <v>1634</v>
      </c>
      <c r="G1633" s="170" t="str">
        <f t="shared" si="2"/>
        <v>Zara&gt;HandeHaluk Kuaför</v>
      </c>
    </row>
    <row r="1634">
      <c r="A1634" s="91">
        <v>1.0</v>
      </c>
      <c r="B1634" s="91" t="s">
        <v>474</v>
      </c>
      <c r="C1634" s="91"/>
      <c r="D1634" s="171" t="str">
        <f t="shared" si="1"/>
        <v>Zara</v>
      </c>
      <c r="F1634" s="91" t="s">
        <v>1031</v>
      </c>
      <c r="G1634" s="170" t="str">
        <f t="shared" si="2"/>
        <v>Zara&gt;Happy Moon's</v>
      </c>
    </row>
    <row r="1635">
      <c r="A1635" s="91">
        <v>1.0</v>
      </c>
      <c r="B1635" s="91" t="s">
        <v>474</v>
      </c>
      <c r="C1635" s="91"/>
      <c r="D1635" s="171" t="str">
        <f t="shared" si="1"/>
        <v>Zara</v>
      </c>
      <c r="F1635" s="91" t="s">
        <v>368</v>
      </c>
      <c r="G1635" s="170" t="str">
        <f t="shared" si="2"/>
        <v>Zara&gt;Levi's</v>
      </c>
    </row>
    <row r="1636">
      <c r="A1636" s="91">
        <v>1.0</v>
      </c>
      <c r="B1636" s="91" t="s">
        <v>474</v>
      </c>
      <c r="C1636" s="91"/>
      <c r="D1636" s="171" t="str">
        <f t="shared" si="1"/>
        <v>Zara</v>
      </c>
      <c r="F1636" s="91" t="s">
        <v>1278</v>
      </c>
      <c r="G1636" s="170" t="str">
        <f t="shared" si="2"/>
        <v>Zara&gt;Louis Vuitton</v>
      </c>
    </row>
    <row r="1637">
      <c r="A1637" s="91">
        <v>1.0</v>
      </c>
      <c r="B1637" s="91" t="s">
        <v>474</v>
      </c>
      <c r="C1637" s="91"/>
      <c r="D1637" s="171" t="str">
        <f t="shared" si="1"/>
        <v>Zara</v>
      </c>
      <c r="F1637" s="91" t="s">
        <v>326</v>
      </c>
      <c r="G1637" s="170" t="str">
        <f t="shared" si="2"/>
        <v>Zara&gt;Massimo Dutti</v>
      </c>
    </row>
    <row r="1638">
      <c r="A1638" s="91">
        <v>1.0</v>
      </c>
      <c r="B1638" s="91" t="s">
        <v>474</v>
      </c>
      <c r="C1638" s="91"/>
      <c r="D1638" s="171" t="str">
        <f t="shared" si="1"/>
        <v>Zara</v>
      </c>
      <c r="F1638" s="91" t="s">
        <v>2870</v>
      </c>
      <c r="G1638" s="170" t="str">
        <f t="shared" si="2"/>
        <v>Zara&gt;Mescit</v>
      </c>
    </row>
    <row r="1639">
      <c r="A1639" s="91">
        <v>1.0</v>
      </c>
      <c r="B1639" s="91" t="s">
        <v>474</v>
      </c>
      <c r="C1639" s="91"/>
      <c r="D1639" s="171" t="str">
        <f t="shared" si="1"/>
        <v>Zara</v>
      </c>
      <c r="F1639" s="91" t="s">
        <v>3854</v>
      </c>
      <c r="G1639" s="170" t="str">
        <f t="shared" si="2"/>
        <v>Zara&gt;Pharmacy</v>
      </c>
    </row>
    <row r="1640">
      <c r="A1640" s="91">
        <v>1.0</v>
      </c>
      <c r="B1640" s="91" t="s">
        <v>474</v>
      </c>
      <c r="C1640" s="91"/>
      <c r="D1640" s="171" t="str">
        <f t="shared" si="1"/>
        <v>Zara</v>
      </c>
      <c r="F1640" s="91" t="s">
        <v>2834</v>
      </c>
      <c r="G1640" s="170" t="str">
        <f t="shared" si="2"/>
        <v>Zara&gt;Pharmacy Zorlu Center</v>
      </c>
    </row>
    <row r="1641">
      <c r="A1641" s="91">
        <v>1.0</v>
      </c>
      <c r="B1641" s="91" t="s">
        <v>474</v>
      </c>
      <c r="C1641" s="91"/>
      <c r="D1641" s="171" t="str">
        <f t="shared" si="1"/>
        <v>Zara</v>
      </c>
      <c r="F1641" s="91" t="s">
        <v>3849</v>
      </c>
      <c r="G1641" s="170" t="str">
        <f t="shared" si="2"/>
        <v>Zara&gt;Prayer Room</v>
      </c>
    </row>
    <row r="1642">
      <c r="A1642" s="91">
        <v>1.0</v>
      </c>
      <c r="B1642" s="91" t="s">
        <v>474</v>
      </c>
      <c r="C1642" s="91"/>
      <c r="D1642" s="171" t="str">
        <f t="shared" si="1"/>
        <v>Zara</v>
      </c>
      <c r="F1642" s="91" t="s">
        <v>3545</v>
      </c>
      <c r="G1642" s="170" t="str">
        <f t="shared" si="2"/>
        <v>Zara&gt;Saat</v>
      </c>
    </row>
    <row r="1643">
      <c r="A1643" s="91">
        <v>1.0</v>
      </c>
      <c r="B1643" s="91" t="s">
        <v>474</v>
      </c>
      <c r="C1643" s="91"/>
      <c r="D1643" s="171" t="str">
        <f t="shared" si="1"/>
        <v>Zara</v>
      </c>
      <c r="F1643" s="91" t="s">
        <v>193</v>
      </c>
      <c r="G1643" s="170" t="str">
        <f t="shared" si="2"/>
        <v>Zara&gt;Sephora</v>
      </c>
    </row>
    <row r="1644">
      <c r="A1644" s="91">
        <v>1.0</v>
      </c>
      <c r="B1644" s="91" t="s">
        <v>474</v>
      </c>
      <c r="C1644" s="91"/>
      <c r="D1644" s="171" t="str">
        <f t="shared" si="1"/>
        <v>Zara</v>
      </c>
      <c r="F1644" s="91" t="s">
        <v>181</v>
      </c>
      <c r="G1644" s="170" t="str">
        <f t="shared" si="2"/>
        <v>Zara&gt;Starbucks</v>
      </c>
    </row>
    <row r="1645">
      <c r="A1645" s="91">
        <v>1.0</v>
      </c>
      <c r="B1645" s="91" t="s">
        <v>474</v>
      </c>
      <c r="C1645" s="91"/>
      <c r="D1645" s="171" t="str">
        <f t="shared" si="1"/>
        <v>Zara</v>
      </c>
      <c r="F1645" s="91" t="s">
        <v>3065</v>
      </c>
      <c r="G1645" s="170" t="str">
        <f t="shared" si="2"/>
        <v>Zara&gt;Subway Metrobus</v>
      </c>
    </row>
    <row r="1646">
      <c r="A1646" s="91">
        <v>1.0</v>
      </c>
      <c r="B1646" s="91" t="s">
        <v>474</v>
      </c>
      <c r="C1646" s="91"/>
      <c r="D1646" s="171" t="str">
        <f t="shared" si="1"/>
        <v>Zara</v>
      </c>
      <c r="F1646" s="91" t="s">
        <v>2325</v>
      </c>
      <c r="G1646" s="170" t="str">
        <f t="shared" si="2"/>
        <v>Zara&gt;Superstep</v>
      </c>
    </row>
    <row r="1647">
      <c r="A1647" s="91">
        <v>1.0</v>
      </c>
      <c r="B1647" s="91" t="s">
        <v>474</v>
      </c>
      <c r="C1647" s="91"/>
      <c r="D1647" s="171" t="str">
        <f t="shared" si="1"/>
        <v>Zara</v>
      </c>
      <c r="F1647" s="91" t="s">
        <v>2799</v>
      </c>
      <c r="G1647" s="170" t="str">
        <f t="shared" si="2"/>
        <v>Zara&gt;Tax Free Zone (Info Desk)</v>
      </c>
    </row>
    <row r="1648">
      <c r="A1648" s="91">
        <v>1.0</v>
      </c>
      <c r="B1648" s="91" t="s">
        <v>474</v>
      </c>
      <c r="C1648" s="91"/>
      <c r="D1648" s="171" t="str">
        <f t="shared" si="1"/>
        <v>Zara</v>
      </c>
      <c r="F1648" s="91" t="s">
        <v>1692</v>
      </c>
      <c r="G1648" s="170" t="str">
        <f t="shared" si="2"/>
        <v>Zara&gt;Voi Coffee Company</v>
      </c>
    </row>
    <row r="1649">
      <c r="A1649" s="91">
        <v>1.0</v>
      </c>
      <c r="B1649" s="91" t="s">
        <v>474</v>
      </c>
      <c r="C1649" s="91"/>
      <c r="D1649" s="171" t="str">
        <f t="shared" si="1"/>
        <v>Zara</v>
      </c>
      <c r="F1649" s="91" t="s">
        <v>485</v>
      </c>
      <c r="G1649" s="170" t="str">
        <f t="shared" si="2"/>
        <v>Zara&gt;Watsons</v>
      </c>
    </row>
    <row r="1650">
      <c r="A1650" s="91">
        <v>1.0</v>
      </c>
      <c r="B1650" s="91" t="s">
        <v>474</v>
      </c>
      <c r="C1650" s="91"/>
      <c r="D1650" s="171" t="str">
        <f t="shared" si="1"/>
        <v>Zara</v>
      </c>
      <c r="F1650" s="91" t="s">
        <v>1009</v>
      </c>
      <c r="G1650" s="170" t="str">
        <f t="shared" si="2"/>
        <v>Zara&gt;Welldone</v>
      </c>
    </row>
    <row r="1651">
      <c r="A1651" s="91">
        <v>1.0</v>
      </c>
      <c r="B1651" s="91" t="s">
        <v>474</v>
      </c>
      <c r="C1651" s="91"/>
      <c r="D1651" s="171" t="str">
        <f t="shared" si="1"/>
        <v>Zara</v>
      </c>
      <c r="F1651" s="91" t="s">
        <v>2343</v>
      </c>
      <c r="G1651" s="170" t="str">
        <f t="shared" si="2"/>
        <v>Zara&gt;Zanzibar</v>
      </c>
    </row>
    <row r="1652">
      <c r="A1652" s="91">
        <v>1.0</v>
      </c>
      <c r="B1652" s="91" t="s">
        <v>474</v>
      </c>
      <c r="C1652" s="91"/>
      <c r="D1652" s="171" t="str">
        <f t="shared" si="1"/>
        <v>Zara</v>
      </c>
      <c r="F1652" s="91" t="s">
        <v>2914</v>
      </c>
      <c r="G1652" s="170" t="str">
        <f t="shared" si="2"/>
        <v>Zara&gt;Zor Exchange</v>
      </c>
    </row>
    <row r="1653">
      <c r="A1653" s="91">
        <v>1.0</v>
      </c>
      <c r="B1653" s="91" t="s">
        <v>474</v>
      </c>
      <c r="C1653" s="91"/>
      <c r="D1653" s="171" t="str">
        <f t="shared" si="1"/>
        <v>Zara</v>
      </c>
      <c r="F1653" s="91" t="s">
        <v>1668</v>
      </c>
      <c r="G1653" s="170" t="str">
        <f t="shared" si="2"/>
        <v>Zara&gt;Zula</v>
      </c>
    </row>
    <row r="1654">
      <c r="A1654" s="91">
        <v>1.0</v>
      </c>
      <c r="B1654" s="91" t="s">
        <v>585</v>
      </c>
      <c r="C1654" s="91"/>
      <c r="D1654" s="171" t="str">
        <f t="shared" si="1"/>
        <v>Ziyafe Kayseri Mutfağı</v>
      </c>
      <c r="F1654" s="91" t="s">
        <v>2955</v>
      </c>
      <c r="G1654" s="170" t="str">
        <f t="shared" si="2"/>
        <v>Ziyafe Kayseri Mutfağı&gt;Car Park</v>
      </c>
    </row>
    <row r="1655">
      <c r="A1655" s="91">
        <v>1.0</v>
      </c>
      <c r="B1655" s="91" t="s">
        <v>2914</v>
      </c>
      <c r="C1655" s="91"/>
      <c r="D1655" s="171" t="str">
        <f t="shared" si="1"/>
        <v>Zor Exchange</v>
      </c>
      <c r="F1655" s="91" t="s">
        <v>2991</v>
      </c>
      <c r="G1655" s="170" t="str">
        <f t="shared" si="2"/>
        <v>Zor Exchange&gt;Restroom</v>
      </c>
    </row>
    <row r="1656">
      <c r="A1656" s="91">
        <v>1.0</v>
      </c>
      <c r="B1656" s="91" t="s">
        <v>3876</v>
      </c>
      <c r="C1656" s="91"/>
      <c r="D1656" s="171" t="str">
        <f t="shared" si="1"/>
        <v>Zorlu PSM Bosphorus FloorBosphorus Floor</v>
      </c>
      <c r="F1656" s="91" t="s">
        <v>2834</v>
      </c>
      <c r="G1656" s="170" t="str">
        <f t="shared" si="2"/>
        <v>Zorlu PSM Bosphorus FloorBosphorus Floor&gt;Pharmacy Zorlu Center</v>
      </c>
    </row>
    <row r="1657">
      <c r="A1657" s="91">
        <v>1.0</v>
      </c>
      <c r="B1657" s="91" t="s">
        <v>3877</v>
      </c>
      <c r="C1657" s="91"/>
      <c r="D1657" s="171" t="str">
        <f t="shared" si="1"/>
        <v>Zorlu PSM Boğaz KatıBoğaz Katı</v>
      </c>
      <c r="F1657" s="91" t="s">
        <v>1536</v>
      </c>
      <c r="G1657" s="170" t="str">
        <f t="shared" si="2"/>
        <v>Zorlu PSM Boğaz KatıBoğaz Katı&gt;Macrocenter</v>
      </c>
    </row>
    <row r="1658">
      <c r="A1658" s="91">
        <v>1.0</v>
      </c>
      <c r="B1658" s="91" t="s">
        <v>3877</v>
      </c>
      <c r="C1658" s="91"/>
      <c r="D1658" s="171" t="str">
        <f t="shared" si="1"/>
        <v>Zorlu PSM Boğaz KatıBoğaz Katı</v>
      </c>
      <c r="F1658" s="91" t="s">
        <v>3071</v>
      </c>
      <c r="G1658" s="170" t="str">
        <f t="shared" si="2"/>
        <v>Zorlu PSM Boğaz KatıBoğaz Katı&gt;Otopark Giriş Levazım</v>
      </c>
    </row>
    <row r="1659">
      <c r="A1659" s="91">
        <v>1.0</v>
      </c>
      <c r="B1659" s="91" t="s">
        <v>3877</v>
      </c>
      <c r="C1659" s="91"/>
      <c r="D1659" s="171" t="str">
        <f t="shared" si="1"/>
        <v>Zorlu PSM Boğaz KatıBoğaz Katı</v>
      </c>
      <c r="F1659" s="91" t="s">
        <v>1400</v>
      </c>
      <c r="G1659" s="170" t="str">
        <f t="shared" si="2"/>
        <v>Zorlu PSM Boğaz KatıBoğaz Katı&gt;Park Alanı</v>
      </c>
    </row>
    <row r="1660">
      <c r="A1660" s="91">
        <v>1.0</v>
      </c>
      <c r="B1660" s="91" t="s">
        <v>3877</v>
      </c>
      <c r="C1660" s="91"/>
      <c r="D1660" s="171" t="str">
        <f t="shared" si="1"/>
        <v>Zorlu PSM Boğaz KatıBoğaz Katı</v>
      </c>
      <c r="F1660" s="91" t="s">
        <v>2989</v>
      </c>
      <c r="G1660" s="170" t="str">
        <f t="shared" si="2"/>
        <v>Zorlu PSM Boğaz KatıBoğaz Katı&gt;Zorlu PSM Boğaz Katı</v>
      </c>
    </row>
    <row r="1661">
      <c r="A1661" s="91">
        <v>1.0</v>
      </c>
      <c r="B1661" s="91" t="s">
        <v>3878</v>
      </c>
      <c r="C1661" s="91" t="s">
        <v>404</v>
      </c>
      <c r="D1661" s="171" t="str">
        <f t="shared" si="1"/>
        <v>ID-245</v>
      </c>
      <c r="F1661" s="91" t="s">
        <v>3783</v>
      </c>
      <c r="G1661" s="170" t="str">
        <f t="shared" si="2"/>
        <v>ID-245&gt;PSM</v>
      </c>
    </row>
    <row r="1662">
      <c r="A1662" s="91">
        <v>1.0</v>
      </c>
      <c r="B1662" s="91" t="s">
        <v>1668</v>
      </c>
      <c r="C1662" s="91"/>
      <c r="D1662" s="171" t="str">
        <f t="shared" si="1"/>
        <v>Zula</v>
      </c>
      <c r="F1662" s="91" t="s">
        <v>216</v>
      </c>
      <c r="G1662" s="170" t="str">
        <f t="shared" si="2"/>
        <v>Zula&gt;Mavi</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2.0"/>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sheetData>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5"/>
    <col customWidth="1" min="2" max="2" width="12.63"/>
    <col customWidth="1" min="3" max="3" width="33.25"/>
    <col customWidth="1" min="4" max="6" width="12.63"/>
  </cols>
  <sheetData>
    <row r="1" ht="15.75" customHeight="1">
      <c r="A1" s="89" t="s">
        <v>5424</v>
      </c>
      <c r="B1" s="89" t="s">
        <v>5425</v>
      </c>
      <c r="C1" s="58" t="s">
        <v>1511</v>
      </c>
      <c r="D1" s="58" t="s">
        <v>1512</v>
      </c>
      <c r="E1" s="170" t="b">
        <f t="shared" ref="E1:E21" si="1"> PROPER(A1)= PROPER(C1)</f>
        <v>1</v>
      </c>
    </row>
    <row r="2" ht="15.75" customHeight="1">
      <c r="A2" s="89" t="s">
        <v>5426</v>
      </c>
      <c r="B2" s="89" t="s">
        <v>5425</v>
      </c>
      <c r="C2" s="58" t="s">
        <v>5427</v>
      </c>
      <c r="D2" s="58" t="s">
        <v>1512</v>
      </c>
      <c r="E2" s="170" t="b">
        <f t="shared" si="1"/>
        <v>1</v>
      </c>
    </row>
    <row r="3" ht="15.75" customHeight="1">
      <c r="A3" s="89" t="s">
        <v>5428</v>
      </c>
      <c r="B3" s="89" t="s">
        <v>5425</v>
      </c>
      <c r="C3" s="170" t="str">
        <f>PROPER(A3)</f>
        <v>Karanfil-Babil Grup</v>
      </c>
      <c r="D3" s="58" t="s">
        <v>1512</v>
      </c>
      <c r="E3" s="170" t="b">
        <f t="shared" si="1"/>
        <v>1</v>
      </c>
    </row>
    <row r="4" ht="15.75" customHeight="1">
      <c r="A4" s="89" t="s">
        <v>5429</v>
      </c>
      <c r="B4" s="89" t="s">
        <v>5425</v>
      </c>
      <c r="C4" s="58" t="s">
        <v>1515</v>
      </c>
      <c r="D4" s="58" t="s">
        <v>1512</v>
      </c>
      <c r="E4" s="170" t="b">
        <f t="shared" si="1"/>
        <v>1</v>
      </c>
    </row>
    <row r="5" ht="15.75" customHeight="1">
      <c r="A5" s="89" t="s">
        <v>5430</v>
      </c>
      <c r="B5" s="89" t="s">
        <v>5425</v>
      </c>
      <c r="C5" s="58" t="s">
        <v>1516</v>
      </c>
      <c r="D5" s="58" t="s">
        <v>1512</v>
      </c>
      <c r="E5" s="170" t="b">
        <f t="shared" si="1"/>
        <v>1</v>
      </c>
    </row>
    <row r="6" ht="15.75" customHeight="1">
      <c r="A6" s="89" t="s">
        <v>5431</v>
      </c>
      <c r="B6" s="89" t="s">
        <v>5425</v>
      </c>
      <c r="C6" s="58" t="s">
        <v>1517</v>
      </c>
      <c r="D6" s="58" t="s">
        <v>1512</v>
      </c>
      <c r="E6" s="170" t="b">
        <f t="shared" si="1"/>
        <v>1</v>
      </c>
    </row>
    <row r="7" ht="15.75" customHeight="1">
      <c r="A7" s="89" t="s">
        <v>5432</v>
      </c>
      <c r="B7" s="89" t="s">
        <v>5425</v>
      </c>
      <c r="C7" s="58" t="s">
        <v>1518</v>
      </c>
      <c r="D7" s="58" t="s">
        <v>1512</v>
      </c>
      <c r="E7" s="170" t="b">
        <f t="shared" si="1"/>
        <v>1</v>
      </c>
    </row>
    <row r="8" ht="15.75" customHeight="1">
      <c r="A8" s="89" t="s">
        <v>5433</v>
      </c>
      <c r="B8" s="89" t="s">
        <v>5425</v>
      </c>
      <c r="C8" s="58" t="s">
        <v>1519</v>
      </c>
      <c r="D8" s="58" t="s">
        <v>1512</v>
      </c>
      <c r="E8" s="170" t="b">
        <f t="shared" si="1"/>
        <v>1</v>
      </c>
    </row>
    <row r="9" ht="15.75" customHeight="1">
      <c r="A9" s="89" t="s">
        <v>5434</v>
      </c>
      <c r="B9" s="89" t="s">
        <v>5425</v>
      </c>
      <c r="C9" s="58" t="s">
        <v>1520</v>
      </c>
      <c r="D9" s="58" t="s">
        <v>1512</v>
      </c>
      <c r="E9" s="170" t="b">
        <f t="shared" si="1"/>
        <v>1</v>
      </c>
    </row>
    <row r="10" ht="15.75" customHeight="1">
      <c r="A10" s="89" t="s">
        <v>5435</v>
      </c>
      <c r="B10" s="89" t="s">
        <v>5425</v>
      </c>
      <c r="C10" s="58" t="s">
        <v>1521</v>
      </c>
      <c r="D10" s="58" t="s">
        <v>1512</v>
      </c>
      <c r="E10" s="170" t="b">
        <f t="shared" si="1"/>
        <v>1</v>
      </c>
    </row>
    <row r="11" ht="15.75" customHeight="1">
      <c r="A11" s="89" t="s">
        <v>5436</v>
      </c>
      <c r="B11" s="89" t="s">
        <v>5437</v>
      </c>
      <c r="C11" s="58" t="s">
        <v>5438</v>
      </c>
      <c r="D11" s="58" t="s">
        <v>1452</v>
      </c>
      <c r="E11" s="170" t="b">
        <f t="shared" si="1"/>
        <v>1</v>
      </c>
    </row>
    <row r="12" ht="15.75" customHeight="1">
      <c r="A12" s="89" t="s">
        <v>5439</v>
      </c>
      <c r="B12" s="89" t="s">
        <v>5437</v>
      </c>
      <c r="C12" s="58" t="str">
        <f t="shared" ref="C12:C14" si="2">PROPER(A12)</f>
        <v>Assessment Systems</v>
      </c>
      <c r="D12" s="58" t="s">
        <v>1452</v>
      </c>
      <c r="E12" s="170" t="b">
        <f t="shared" si="1"/>
        <v>1</v>
      </c>
    </row>
    <row r="13" ht="15.75" customHeight="1">
      <c r="A13" s="89" t="s">
        <v>5440</v>
      </c>
      <c r="B13" s="89" t="s">
        <v>5437</v>
      </c>
      <c r="C13" s="58" t="str">
        <f t="shared" si="2"/>
        <v>Avic International Corporation</v>
      </c>
      <c r="D13" s="58" t="s">
        <v>1452</v>
      </c>
      <c r="E13" s="170" t="b">
        <f t="shared" si="1"/>
        <v>1</v>
      </c>
    </row>
    <row r="14" ht="15.75" customHeight="1">
      <c r="A14" s="89" t="s">
        <v>5441</v>
      </c>
      <c r="B14" s="89" t="s">
        <v>5437</v>
      </c>
      <c r="C14" s="58" t="str">
        <f t="shared" si="2"/>
        <v>Başka Gayrimenkul</v>
      </c>
      <c r="D14" s="58" t="s">
        <v>1452</v>
      </c>
      <c r="E14" s="170" t="b">
        <f t="shared" si="1"/>
        <v>1</v>
      </c>
    </row>
    <row r="15" ht="15.75" customHeight="1">
      <c r="A15" s="89" t="s">
        <v>5442</v>
      </c>
      <c r="B15" s="89" t="s">
        <v>5437</v>
      </c>
      <c r="C15" s="58" t="s">
        <v>5443</v>
      </c>
      <c r="D15" s="58" t="s">
        <v>1452</v>
      </c>
      <c r="E15" s="170" t="b">
        <f t="shared" si="1"/>
        <v>0</v>
      </c>
    </row>
    <row r="16" ht="15.75" customHeight="1">
      <c r="A16" s="89" t="s">
        <v>5444</v>
      </c>
      <c r="B16" s="89" t="s">
        <v>5437</v>
      </c>
      <c r="C16" s="58" t="s">
        <v>1456</v>
      </c>
      <c r="D16" s="58" t="s">
        <v>1452</v>
      </c>
      <c r="E16" s="170" t="b">
        <f t="shared" si="1"/>
        <v>0</v>
      </c>
    </row>
    <row r="17" ht="15.75" customHeight="1">
      <c r="A17" s="89" t="s">
        <v>5445</v>
      </c>
      <c r="B17" s="89" t="s">
        <v>5437</v>
      </c>
      <c r="C17" s="58" t="s">
        <v>1457</v>
      </c>
      <c r="D17" s="58" t="s">
        <v>1452</v>
      </c>
      <c r="E17" s="170" t="b">
        <f t="shared" si="1"/>
        <v>0</v>
      </c>
    </row>
    <row r="18" ht="15.75" customHeight="1">
      <c r="A18" s="89" t="s">
        <v>5446</v>
      </c>
      <c r="B18" s="89" t="s">
        <v>5437</v>
      </c>
      <c r="C18" s="58" t="s">
        <v>1458</v>
      </c>
      <c r="D18" s="58" t="s">
        <v>1452</v>
      </c>
      <c r="E18" s="170" t="b">
        <f t="shared" si="1"/>
        <v>1</v>
      </c>
    </row>
    <row r="19" ht="15.75" customHeight="1">
      <c r="A19" s="89" t="s">
        <v>5447</v>
      </c>
      <c r="B19" s="89" t="s">
        <v>5437</v>
      </c>
      <c r="C19" s="58" t="s">
        <v>1459</v>
      </c>
      <c r="D19" s="58" t="s">
        <v>1452</v>
      </c>
      <c r="E19" s="170" t="b">
        <f t="shared" si="1"/>
        <v>1</v>
      </c>
    </row>
    <row r="20" ht="15.75" customHeight="1">
      <c r="A20" s="89" t="s">
        <v>5448</v>
      </c>
      <c r="B20" s="89" t="s">
        <v>5437</v>
      </c>
      <c r="C20" s="58" t="s">
        <v>5449</v>
      </c>
      <c r="D20" s="58" t="s">
        <v>1452</v>
      </c>
      <c r="E20" s="170" t="b">
        <f t="shared" si="1"/>
        <v>1</v>
      </c>
    </row>
    <row r="21" ht="15.75" customHeight="1">
      <c r="A21" s="89" t="s">
        <v>5450</v>
      </c>
      <c r="B21" s="89" t="s">
        <v>5437</v>
      </c>
      <c r="C21" s="58" t="s">
        <v>1460</v>
      </c>
      <c r="D21" s="58" t="s">
        <v>1452</v>
      </c>
      <c r="E21" s="170" t="b">
        <f t="shared" si="1"/>
        <v>1</v>
      </c>
    </row>
    <row r="22" ht="15.75" customHeight="1">
      <c r="A22" s="89" t="s">
        <v>5451</v>
      </c>
      <c r="B22" s="89" t="s">
        <v>5437</v>
      </c>
      <c r="C22" s="58" t="s">
        <v>1461</v>
      </c>
      <c r="D22" s="58" t="s">
        <v>1452</v>
      </c>
      <c r="E22" s="170" t="b">
        <f> PROPER(A22)= PROPER(C15)</f>
        <v>0</v>
      </c>
    </row>
    <row r="23" ht="15.75" customHeight="1">
      <c r="A23" s="89" t="s">
        <v>5452</v>
      </c>
      <c r="B23" s="89" t="s">
        <v>5437</v>
      </c>
      <c r="C23" s="58" t="s">
        <v>1463</v>
      </c>
      <c r="D23" s="58" t="s">
        <v>1452</v>
      </c>
      <c r="E23" s="170" t="b">
        <f t="shared" ref="E23:E102" si="3"> PROPER(A23)= PROPER(C23)</f>
        <v>1</v>
      </c>
    </row>
    <row r="24" ht="15.75" customHeight="1">
      <c r="A24" s="89" t="s">
        <v>5453</v>
      </c>
      <c r="B24" s="89" t="s">
        <v>5437</v>
      </c>
      <c r="C24" s="58" t="s">
        <v>5454</v>
      </c>
      <c r="D24" s="58" t="s">
        <v>1452</v>
      </c>
      <c r="E24" s="170" t="b">
        <f t="shared" si="3"/>
        <v>1</v>
      </c>
    </row>
    <row r="25" ht="15.75" customHeight="1">
      <c r="A25" s="89" t="s">
        <v>5455</v>
      </c>
      <c r="B25" s="89" t="s">
        <v>5437</v>
      </c>
      <c r="C25" s="58" t="s">
        <v>1466</v>
      </c>
      <c r="D25" s="58" t="s">
        <v>1452</v>
      </c>
      <c r="E25" s="170" t="b">
        <f t="shared" si="3"/>
        <v>0</v>
      </c>
    </row>
    <row r="26" ht="15.75" customHeight="1">
      <c r="A26" s="89" t="s">
        <v>5456</v>
      </c>
      <c r="B26" s="89" t="s">
        <v>5437</v>
      </c>
      <c r="C26" s="58" t="s">
        <v>1468</v>
      </c>
      <c r="D26" s="58" t="s">
        <v>1452</v>
      </c>
      <c r="E26" s="170" t="b">
        <f t="shared" si="3"/>
        <v>1</v>
      </c>
    </row>
    <row r="27" ht="15.75" customHeight="1">
      <c r="A27" s="89" t="s">
        <v>5457</v>
      </c>
      <c r="B27" s="89" t="s">
        <v>5437</v>
      </c>
      <c r="C27" s="58" t="s">
        <v>2877</v>
      </c>
      <c r="D27" s="58" t="s">
        <v>1452</v>
      </c>
      <c r="E27" s="170" t="b">
        <f t="shared" si="3"/>
        <v>1</v>
      </c>
    </row>
    <row r="28" ht="15.75" customHeight="1">
      <c r="A28" s="89" t="s">
        <v>5458</v>
      </c>
      <c r="B28" s="89" t="s">
        <v>5437</v>
      </c>
      <c r="C28" s="174" t="s">
        <v>5459</v>
      </c>
      <c r="D28" s="58" t="s">
        <v>1452</v>
      </c>
      <c r="E28" s="170" t="b">
        <f t="shared" si="3"/>
        <v>1</v>
      </c>
    </row>
    <row r="29" ht="15.75" customHeight="1">
      <c r="A29" s="89" t="s">
        <v>5460</v>
      </c>
      <c r="B29" s="89" t="s">
        <v>5437</v>
      </c>
      <c r="C29" s="174" t="s">
        <v>5461</v>
      </c>
      <c r="D29" s="58" t="s">
        <v>1452</v>
      </c>
      <c r="E29" s="170" t="b">
        <f t="shared" si="3"/>
        <v>0</v>
      </c>
    </row>
    <row r="30" ht="15.75" customHeight="1">
      <c r="A30" s="89" t="s">
        <v>5462</v>
      </c>
      <c r="B30" s="89" t="s">
        <v>5437</v>
      </c>
      <c r="C30" s="58" t="s">
        <v>5463</v>
      </c>
      <c r="D30" s="58" t="s">
        <v>1452</v>
      </c>
      <c r="E30" s="170" t="b">
        <f t="shared" si="3"/>
        <v>0</v>
      </c>
    </row>
    <row r="31" ht="15.75" customHeight="1">
      <c r="A31" s="89" t="s">
        <v>5464</v>
      </c>
      <c r="B31" s="89" t="s">
        <v>5437</v>
      </c>
      <c r="C31" s="58" t="s">
        <v>1476</v>
      </c>
      <c r="D31" s="58" t="s">
        <v>1452</v>
      </c>
      <c r="E31" s="170" t="b">
        <f t="shared" si="3"/>
        <v>0</v>
      </c>
    </row>
    <row r="32" ht="15.75" customHeight="1">
      <c r="A32" s="89" t="s">
        <v>5465</v>
      </c>
      <c r="B32" s="89" t="s">
        <v>5437</v>
      </c>
      <c r="C32" s="58" t="s">
        <v>1477</v>
      </c>
      <c r="D32" s="58" t="s">
        <v>1452</v>
      </c>
      <c r="E32" s="170" t="b">
        <f t="shared" si="3"/>
        <v>0</v>
      </c>
    </row>
    <row r="33" ht="15.75" customHeight="1">
      <c r="A33" s="89" t="s">
        <v>5466</v>
      </c>
      <c r="B33" s="89" t="s">
        <v>5437</v>
      </c>
      <c r="C33" s="174" t="s">
        <v>1478</v>
      </c>
      <c r="D33" s="58" t="s">
        <v>1452</v>
      </c>
      <c r="E33" s="170" t="b">
        <f t="shared" si="3"/>
        <v>0</v>
      </c>
    </row>
    <row r="34" ht="15.75" customHeight="1">
      <c r="A34" s="89" t="s">
        <v>5467</v>
      </c>
      <c r="B34" s="89" t="s">
        <v>5437</v>
      </c>
      <c r="C34" s="58" t="s">
        <v>1480</v>
      </c>
      <c r="D34" s="58" t="s">
        <v>1452</v>
      </c>
      <c r="E34" s="170" t="b">
        <f t="shared" si="3"/>
        <v>1</v>
      </c>
    </row>
    <row r="35" ht="15.75" customHeight="1">
      <c r="A35" s="89" t="s">
        <v>5468</v>
      </c>
      <c r="B35" s="89" t="s">
        <v>5437</v>
      </c>
      <c r="C35" s="58" t="s">
        <v>1484</v>
      </c>
      <c r="D35" s="58" t="s">
        <v>1452</v>
      </c>
      <c r="E35" s="170" t="b">
        <f t="shared" si="3"/>
        <v>1</v>
      </c>
    </row>
    <row r="36" ht="15.75" customHeight="1">
      <c r="A36" s="89" t="s">
        <v>5469</v>
      </c>
      <c r="B36" s="89" t="s">
        <v>5437</v>
      </c>
      <c r="C36" s="58" t="s">
        <v>1485</v>
      </c>
      <c r="D36" s="58" t="s">
        <v>1452</v>
      </c>
      <c r="E36" s="170" t="b">
        <f t="shared" si="3"/>
        <v>1</v>
      </c>
    </row>
    <row r="37" ht="15.75" customHeight="1">
      <c r="A37" s="89" t="s">
        <v>1486</v>
      </c>
      <c r="B37" s="89" t="s">
        <v>5437</v>
      </c>
      <c r="C37" s="58" t="s">
        <v>1486</v>
      </c>
      <c r="D37" s="58" t="s">
        <v>1452</v>
      </c>
      <c r="E37" s="170" t="b">
        <f t="shared" si="3"/>
        <v>1</v>
      </c>
    </row>
    <row r="38" ht="15.75" customHeight="1">
      <c r="A38" s="89" t="s">
        <v>5470</v>
      </c>
      <c r="B38" s="89" t="s">
        <v>5437</v>
      </c>
      <c r="C38" s="58" t="s">
        <v>1487</v>
      </c>
      <c r="D38" s="58" t="s">
        <v>1452</v>
      </c>
      <c r="E38" s="170" t="b">
        <f t="shared" si="3"/>
        <v>1</v>
      </c>
    </row>
    <row r="39" ht="15.75" customHeight="1">
      <c r="A39" s="89" t="s">
        <v>5471</v>
      </c>
      <c r="B39" s="89" t="s">
        <v>5437</v>
      </c>
      <c r="C39" s="58" t="s">
        <v>1489</v>
      </c>
      <c r="D39" s="58" t="s">
        <v>1452</v>
      </c>
      <c r="E39" s="170" t="b">
        <f t="shared" si="3"/>
        <v>1</v>
      </c>
    </row>
    <row r="40" ht="15.75" customHeight="1">
      <c r="A40" s="89" t="s">
        <v>5472</v>
      </c>
      <c r="B40" s="89" t="s">
        <v>5473</v>
      </c>
      <c r="C40" s="58" t="s">
        <v>1491</v>
      </c>
      <c r="D40" s="58" t="s">
        <v>1492</v>
      </c>
      <c r="E40" s="170" t="b">
        <f t="shared" si="3"/>
        <v>0</v>
      </c>
    </row>
    <row r="41" ht="15.75" customHeight="1">
      <c r="A41" s="89" t="s">
        <v>5474</v>
      </c>
      <c r="B41" s="89" t="s">
        <v>5473</v>
      </c>
      <c r="C41" s="58" t="s">
        <v>905</v>
      </c>
      <c r="D41" s="58" t="s">
        <v>1492</v>
      </c>
      <c r="E41" s="170" t="b">
        <f t="shared" si="3"/>
        <v>0</v>
      </c>
    </row>
    <row r="42" ht="15.75" customHeight="1">
      <c r="A42" s="89" t="s">
        <v>5475</v>
      </c>
      <c r="B42" s="89" t="s">
        <v>5473</v>
      </c>
      <c r="C42" s="58" t="s">
        <v>1494</v>
      </c>
      <c r="D42" s="174" t="s">
        <v>1492</v>
      </c>
      <c r="E42" s="170" t="b">
        <f t="shared" si="3"/>
        <v>0</v>
      </c>
    </row>
    <row r="43" ht="15.75" customHeight="1">
      <c r="A43" s="89" t="s">
        <v>5476</v>
      </c>
      <c r="B43" s="89" t="s">
        <v>5477</v>
      </c>
      <c r="C43" s="58" t="s">
        <v>1495</v>
      </c>
      <c r="D43" s="58" t="s">
        <v>1492</v>
      </c>
      <c r="E43" s="170" t="b">
        <f t="shared" si="3"/>
        <v>0</v>
      </c>
    </row>
    <row r="44" ht="15.75" customHeight="1">
      <c r="A44" s="89" t="s">
        <v>5478</v>
      </c>
      <c r="B44" s="89" t="s">
        <v>5477</v>
      </c>
      <c r="C44" s="58" t="s">
        <v>1496</v>
      </c>
      <c r="D44" s="58" t="s">
        <v>1492</v>
      </c>
      <c r="E44" s="170" t="b">
        <f t="shared" si="3"/>
        <v>0</v>
      </c>
    </row>
    <row r="45" ht="15.75" customHeight="1">
      <c r="A45" s="89" t="s">
        <v>5479</v>
      </c>
      <c r="B45" s="89" t="s">
        <v>5477</v>
      </c>
      <c r="C45" s="58" t="s">
        <v>1497</v>
      </c>
      <c r="D45" s="58" t="s">
        <v>1492</v>
      </c>
      <c r="E45" s="170" t="b">
        <f t="shared" si="3"/>
        <v>0</v>
      </c>
    </row>
    <row r="46" ht="15.75" customHeight="1">
      <c r="A46" s="89" t="s">
        <v>5480</v>
      </c>
      <c r="B46" s="89" t="s">
        <v>5477</v>
      </c>
      <c r="C46" s="58" t="s">
        <v>1498</v>
      </c>
      <c r="D46" s="174" t="s">
        <v>1492</v>
      </c>
      <c r="E46" s="170" t="b">
        <f t="shared" si="3"/>
        <v>0</v>
      </c>
    </row>
    <row r="47" ht="15.75" customHeight="1">
      <c r="A47" s="89" t="s">
        <v>5481</v>
      </c>
      <c r="B47" s="89" t="s">
        <v>5477</v>
      </c>
      <c r="C47" s="58" t="s">
        <v>1500</v>
      </c>
      <c r="D47" s="174" t="s">
        <v>1492</v>
      </c>
      <c r="E47" s="170" t="b">
        <f t="shared" si="3"/>
        <v>0</v>
      </c>
    </row>
    <row r="48" ht="15.75" customHeight="1">
      <c r="A48" s="89" t="s">
        <v>5482</v>
      </c>
      <c r="B48" s="89" t="s">
        <v>5477</v>
      </c>
      <c r="C48" s="58" t="s">
        <v>1501</v>
      </c>
      <c r="D48" s="58" t="s">
        <v>1492</v>
      </c>
      <c r="E48" s="170" t="b">
        <f t="shared" si="3"/>
        <v>1</v>
      </c>
    </row>
    <row r="49" ht="15.75" customHeight="1">
      <c r="A49" s="89" t="s">
        <v>5483</v>
      </c>
      <c r="B49" s="89" t="s">
        <v>5477</v>
      </c>
      <c r="C49" s="58" t="s">
        <v>5484</v>
      </c>
      <c r="D49" s="58" t="s">
        <v>1492</v>
      </c>
      <c r="E49" s="170" t="b">
        <f t="shared" si="3"/>
        <v>1</v>
      </c>
    </row>
    <row r="50" ht="15.75" customHeight="1">
      <c r="A50" s="89" t="s">
        <v>5485</v>
      </c>
      <c r="B50" s="89" t="s">
        <v>5477</v>
      </c>
      <c r="C50" s="58" t="s">
        <v>5486</v>
      </c>
      <c r="D50" s="58" t="s">
        <v>1492</v>
      </c>
      <c r="E50" s="170" t="b">
        <f t="shared" si="3"/>
        <v>1</v>
      </c>
    </row>
    <row r="51" ht="15.75" customHeight="1">
      <c r="A51" s="89" t="s">
        <v>5487</v>
      </c>
      <c r="B51" s="89" t="s">
        <v>5477</v>
      </c>
      <c r="C51" s="58" t="s">
        <v>1502</v>
      </c>
      <c r="D51" s="58" t="s">
        <v>1492</v>
      </c>
      <c r="E51" s="170" t="b">
        <f t="shared" si="3"/>
        <v>0</v>
      </c>
    </row>
    <row r="52" ht="15.75" customHeight="1">
      <c r="A52" s="89" t="s">
        <v>5488</v>
      </c>
      <c r="B52" s="89" t="s">
        <v>5477</v>
      </c>
      <c r="C52" s="58" t="s">
        <v>1503</v>
      </c>
      <c r="D52" s="58" t="s">
        <v>1492</v>
      </c>
      <c r="E52" s="170" t="b">
        <f t="shared" si="3"/>
        <v>1</v>
      </c>
    </row>
    <row r="53" ht="15.75" customHeight="1">
      <c r="A53" s="89" t="s">
        <v>5489</v>
      </c>
      <c r="B53" s="89" t="s">
        <v>5477</v>
      </c>
      <c r="C53" s="58" t="s">
        <v>1504</v>
      </c>
      <c r="D53" s="58" t="s">
        <v>1492</v>
      </c>
      <c r="E53" s="170" t="b">
        <f t="shared" si="3"/>
        <v>0</v>
      </c>
    </row>
    <row r="54" ht="15.75" customHeight="1">
      <c r="A54" s="89" t="s">
        <v>5490</v>
      </c>
      <c r="B54" s="89" t="s">
        <v>5477</v>
      </c>
      <c r="C54" s="58" t="s">
        <v>2196</v>
      </c>
      <c r="D54" s="58" t="s">
        <v>1492</v>
      </c>
      <c r="E54" s="170" t="b">
        <f t="shared" si="3"/>
        <v>1</v>
      </c>
    </row>
    <row r="55" ht="15.75" customHeight="1">
      <c r="A55" s="89" t="s">
        <v>5491</v>
      </c>
      <c r="B55" s="89" t="s">
        <v>5477</v>
      </c>
      <c r="C55" s="58" t="s">
        <v>1505</v>
      </c>
      <c r="D55" s="58" t="s">
        <v>1492</v>
      </c>
      <c r="E55" s="170" t="b">
        <f t="shared" si="3"/>
        <v>0</v>
      </c>
    </row>
    <row r="56" ht="15.75" customHeight="1">
      <c r="A56" s="89" t="s">
        <v>5492</v>
      </c>
      <c r="B56" s="89" t="s">
        <v>5477</v>
      </c>
      <c r="C56" s="58" t="s">
        <v>1507</v>
      </c>
      <c r="D56" s="58" t="s">
        <v>1492</v>
      </c>
      <c r="E56" s="170" t="b">
        <f t="shared" si="3"/>
        <v>1</v>
      </c>
    </row>
    <row r="57" ht="15.75" customHeight="1">
      <c r="A57" s="89" t="s">
        <v>5493</v>
      </c>
      <c r="B57" s="89" t="s">
        <v>5477</v>
      </c>
      <c r="C57" s="58" t="s">
        <v>1508</v>
      </c>
      <c r="D57" s="58" t="s">
        <v>1492</v>
      </c>
      <c r="E57" s="170" t="b">
        <f t="shared" si="3"/>
        <v>0</v>
      </c>
    </row>
    <row r="58" ht="15.75" customHeight="1">
      <c r="A58" s="89" t="s">
        <v>5494</v>
      </c>
      <c r="B58" s="89" t="s">
        <v>5477</v>
      </c>
      <c r="C58" s="58" t="s">
        <v>1509</v>
      </c>
      <c r="D58" s="58" t="s">
        <v>1492</v>
      </c>
      <c r="E58" s="170" t="b">
        <f t="shared" si="3"/>
        <v>0</v>
      </c>
    </row>
    <row r="59" ht="15.75" customHeight="1">
      <c r="A59" s="89" t="s">
        <v>5495</v>
      </c>
      <c r="B59" s="89" t="s">
        <v>5496</v>
      </c>
      <c r="C59" s="58" t="s">
        <v>898</v>
      </c>
      <c r="D59" s="58" t="s">
        <v>899</v>
      </c>
      <c r="E59" s="170" t="b">
        <f t="shared" si="3"/>
        <v>1</v>
      </c>
    </row>
    <row r="60" ht="15.75" customHeight="1">
      <c r="A60" s="89" t="s">
        <v>5497</v>
      </c>
      <c r="B60" s="89" t="s">
        <v>5496</v>
      </c>
      <c r="C60" s="58" t="s">
        <v>903</v>
      </c>
      <c r="D60" s="58" t="s">
        <v>899</v>
      </c>
      <c r="E60" s="170" t="b">
        <f t="shared" si="3"/>
        <v>1</v>
      </c>
    </row>
    <row r="61" ht="15.75" customHeight="1">
      <c r="A61" s="89" t="s">
        <v>5498</v>
      </c>
      <c r="B61" s="89" t="s">
        <v>5496</v>
      </c>
      <c r="C61" s="58" t="s">
        <v>906</v>
      </c>
      <c r="D61" s="58" t="s">
        <v>899</v>
      </c>
      <c r="E61" s="170" t="b">
        <f t="shared" si="3"/>
        <v>0</v>
      </c>
    </row>
    <row r="62" ht="15.75" customHeight="1">
      <c r="A62" s="89" t="s">
        <v>5499</v>
      </c>
      <c r="B62" s="89" t="s">
        <v>5496</v>
      </c>
      <c r="C62" s="58" t="s">
        <v>5500</v>
      </c>
      <c r="D62" s="58" t="s">
        <v>899</v>
      </c>
      <c r="E62" s="170" t="b">
        <f t="shared" si="3"/>
        <v>1</v>
      </c>
    </row>
    <row r="63" ht="15.75" customHeight="1">
      <c r="A63" s="89" t="s">
        <v>5501</v>
      </c>
      <c r="B63" s="89" t="s">
        <v>5496</v>
      </c>
      <c r="C63" s="58" t="s">
        <v>5502</v>
      </c>
      <c r="D63" s="58" t="s">
        <v>899</v>
      </c>
      <c r="E63" s="170" t="b">
        <f t="shared" si="3"/>
        <v>0</v>
      </c>
    </row>
    <row r="64" ht="15.75" customHeight="1">
      <c r="A64" s="89" t="s">
        <v>5503</v>
      </c>
      <c r="B64" s="89" t="s">
        <v>5496</v>
      </c>
      <c r="C64" s="58" t="s">
        <v>907</v>
      </c>
      <c r="D64" s="58" t="s">
        <v>899</v>
      </c>
      <c r="E64" s="170" t="b">
        <f t="shared" si="3"/>
        <v>1</v>
      </c>
    </row>
    <row r="65" ht="15.75" customHeight="1">
      <c r="A65" s="89" t="s">
        <v>5504</v>
      </c>
      <c r="B65" s="89" t="s">
        <v>5496</v>
      </c>
      <c r="C65" s="58" t="s">
        <v>908</v>
      </c>
      <c r="D65" s="58" t="s">
        <v>899</v>
      </c>
      <c r="E65" s="170" t="b">
        <f t="shared" si="3"/>
        <v>0</v>
      </c>
    </row>
    <row r="66" ht="15.75" customHeight="1">
      <c r="A66" s="89" t="s">
        <v>5505</v>
      </c>
      <c r="B66" s="89" t="s">
        <v>5496</v>
      </c>
      <c r="C66" s="58" t="s">
        <v>909</v>
      </c>
      <c r="D66" s="58" t="s">
        <v>899</v>
      </c>
      <c r="E66" s="170" t="b">
        <f t="shared" si="3"/>
        <v>0</v>
      </c>
    </row>
    <row r="67" ht="15.75" customHeight="1">
      <c r="A67" s="89" t="s">
        <v>5506</v>
      </c>
      <c r="B67" s="89" t="s">
        <v>5496</v>
      </c>
      <c r="C67" s="58" t="s">
        <v>5507</v>
      </c>
      <c r="D67" s="58" t="s">
        <v>899</v>
      </c>
      <c r="E67" s="170" t="b">
        <f t="shared" si="3"/>
        <v>0</v>
      </c>
    </row>
    <row r="68" ht="15.75" customHeight="1">
      <c r="A68" s="89" t="s">
        <v>5508</v>
      </c>
      <c r="B68" s="89" t="s">
        <v>5496</v>
      </c>
      <c r="C68" s="58" t="s">
        <v>911</v>
      </c>
      <c r="D68" s="58" t="s">
        <v>899</v>
      </c>
      <c r="E68" s="170" t="b">
        <f t="shared" si="3"/>
        <v>1</v>
      </c>
    </row>
    <row r="69" ht="15.75" customHeight="1">
      <c r="A69" s="89" t="s">
        <v>5509</v>
      </c>
      <c r="B69" s="89" t="s">
        <v>5496</v>
      </c>
      <c r="C69" s="58" t="s">
        <v>5510</v>
      </c>
      <c r="D69" s="58" t="s">
        <v>899</v>
      </c>
      <c r="E69" s="170" t="b">
        <f t="shared" si="3"/>
        <v>1</v>
      </c>
    </row>
    <row r="70" ht="15.75" customHeight="1">
      <c r="A70" s="89" t="s">
        <v>5511</v>
      </c>
      <c r="B70" s="89" t="s">
        <v>5496</v>
      </c>
      <c r="C70" s="58" t="s">
        <v>5512</v>
      </c>
      <c r="D70" s="58" t="s">
        <v>899</v>
      </c>
      <c r="E70" s="170" t="b">
        <f t="shared" si="3"/>
        <v>1</v>
      </c>
    </row>
    <row r="71" ht="15.75" customHeight="1">
      <c r="A71" s="89" t="s">
        <v>5513</v>
      </c>
      <c r="B71" s="89" t="s">
        <v>5496</v>
      </c>
      <c r="C71" s="58" t="s">
        <v>912</v>
      </c>
      <c r="D71" s="58" t="s">
        <v>899</v>
      </c>
      <c r="E71" s="170" t="b">
        <f t="shared" si="3"/>
        <v>1</v>
      </c>
    </row>
    <row r="72" ht="15.75" customHeight="1">
      <c r="A72" s="89" t="s">
        <v>5514</v>
      </c>
      <c r="B72" s="89" t="s">
        <v>5496</v>
      </c>
      <c r="C72" s="174" t="s">
        <v>913</v>
      </c>
      <c r="D72" s="58" t="s">
        <v>899</v>
      </c>
      <c r="E72" s="170" t="b">
        <f t="shared" si="3"/>
        <v>0</v>
      </c>
    </row>
    <row r="73" ht="15.75" customHeight="1">
      <c r="A73" s="89" t="s">
        <v>5515</v>
      </c>
      <c r="B73" s="89" t="s">
        <v>5496</v>
      </c>
      <c r="C73" s="174" t="s">
        <v>5516</v>
      </c>
      <c r="D73" s="58" t="s">
        <v>899</v>
      </c>
      <c r="E73" s="170" t="b">
        <f t="shared" si="3"/>
        <v>0</v>
      </c>
    </row>
    <row r="74" ht="15.75" customHeight="1">
      <c r="A74" s="89" t="s">
        <v>5517</v>
      </c>
      <c r="B74" s="89" t="s">
        <v>5496</v>
      </c>
      <c r="C74" s="174" t="s">
        <v>915</v>
      </c>
      <c r="D74" s="58" t="s">
        <v>899</v>
      </c>
      <c r="E74" s="170" t="b">
        <f t="shared" si="3"/>
        <v>0</v>
      </c>
    </row>
    <row r="75" ht="15.75" customHeight="1">
      <c r="A75" s="89" t="s">
        <v>5518</v>
      </c>
      <c r="B75" s="89" t="s">
        <v>5496</v>
      </c>
      <c r="C75" s="89" t="s">
        <v>3163</v>
      </c>
      <c r="D75" s="58" t="s">
        <v>899</v>
      </c>
      <c r="E75" s="170" t="b">
        <f t="shared" si="3"/>
        <v>1</v>
      </c>
    </row>
    <row r="76" ht="15.75" customHeight="1">
      <c r="A76" s="89" t="s">
        <v>2365</v>
      </c>
      <c r="B76" s="89" t="s">
        <v>5496</v>
      </c>
      <c r="C76" s="89" t="s">
        <v>5519</v>
      </c>
      <c r="D76" s="58" t="s">
        <v>899</v>
      </c>
      <c r="E76" s="170" t="b">
        <f t="shared" si="3"/>
        <v>0</v>
      </c>
    </row>
    <row r="77" ht="15.75" customHeight="1">
      <c r="A77" s="89" t="s">
        <v>5520</v>
      </c>
      <c r="B77" s="89" t="s">
        <v>5496</v>
      </c>
      <c r="C77" s="58" t="s">
        <v>917</v>
      </c>
      <c r="D77" s="58" t="s">
        <v>899</v>
      </c>
      <c r="E77" s="170" t="b">
        <f t="shared" si="3"/>
        <v>1</v>
      </c>
    </row>
    <row r="78" ht="15.75" customHeight="1">
      <c r="A78" s="89" t="s">
        <v>5521</v>
      </c>
      <c r="B78" s="89" t="s">
        <v>5496</v>
      </c>
      <c r="C78" s="58" t="s">
        <v>919</v>
      </c>
      <c r="D78" s="58" t="s">
        <v>899</v>
      </c>
      <c r="E78" s="170" t="b">
        <f t="shared" si="3"/>
        <v>1</v>
      </c>
    </row>
    <row r="79" ht="15.75" customHeight="1">
      <c r="A79" s="89" t="s">
        <v>5522</v>
      </c>
      <c r="B79" s="89" t="s">
        <v>5496</v>
      </c>
      <c r="C79" s="58" t="s">
        <v>920</v>
      </c>
      <c r="D79" s="58" t="s">
        <v>899</v>
      </c>
      <c r="E79" s="170" t="b">
        <f t="shared" si="3"/>
        <v>1</v>
      </c>
    </row>
    <row r="80" ht="15.75" customHeight="1">
      <c r="A80" s="89" t="s">
        <v>5523</v>
      </c>
      <c r="B80" s="89" t="s">
        <v>5496</v>
      </c>
      <c r="C80" s="89" t="s">
        <v>5524</v>
      </c>
      <c r="D80" s="58" t="s">
        <v>899</v>
      </c>
      <c r="E80" s="170" t="b">
        <f t="shared" si="3"/>
        <v>0</v>
      </c>
    </row>
    <row r="81" ht="15.75" customHeight="1">
      <c r="A81" s="89" t="s">
        <v>5525</v>
      </c>
      <c r="B81" s="89" t="s">
        <v>5496</v>
      </c>
      <c r="C81" s="58" t="s">
        <v>921</v>
      </c>
      <c r="D81" s="58" t="s">
        <v>899</v>
      </c>
      <c r="E81" s="170" t="b">
        <f t="shared" si="3"/>
        <v>1</v>
      </c>
    </row>
    <row r="82" ht="15.75" customHeight="1">
      <c r="A82" s="89" t="s">
        <v>5526</v>
      </c>
      <c r="B82" s="89" t="s">
        <v>5496</v>
      </c>
      <c r="C82" s="58" t="s">
        <v>922</v>
      </c>
      <c r="D82" s="58" t="s">
        <v>899</v>
      </c>
      <c r="E82" s="170" t="b">
        <f t="shared" si="3"/>
        <v>1</v>
      </c>
    </row>
    <row r="83" ht="15.75" customHeight="1">
      <c r="A83" s="89" t="s">
        <v>5527</v>
      </c>
      <c r="B83" s="89" t="s">
        <v>5496</v>
      </c>
      <c r="C83" s="58" t="s">
        <v>5528</v>
      </c>
      <c r="D83" s="58" t="s">
        <v>899</v>
      </c>
      <c r="E83" s="170" t="b">
        <f t="shared" si="3"/>
        <v>1</v>
      </c>
    </row>
    <row r="84" ht="15.75" customHeight="1">
      <c r="A84" s="89" t="s">
        <v>5529</v>
      </c>
      <c r="B84" s="89" t="s">
        <v>5496</v>
      </c>
      <c r="C84" s="58" t="s">
        <v>924</v>
      </c>
      <c r="D84" s="58" t="s">
        <v>899</v>
      </c>
      <c r="E84" s="170" t="b">
        <f t="shared" si="3"/>
        <v>0</v>
      </c>
    </row>
    <row r="85" ht="15.75" customHeight="1">
      <c r="A85" s="89" t="s">
        <v>5530</v>
      </c>
      <c r="B85" s="89" t="s">
        <v>5496</v>
      </c>
      <c r="C85" s="58" t="s">
        <v>5531</v>
      </c>
      <c r="D85" s="58" t="s">
        <v>899</v>
      </c>
      <c r="E85" s="170" t="b">
        <f t="shared" si="3"/>
        <v>1</v>
      </c>
    </row>
    <row r="86" ht="15.75" customHeight="1">
      <c r="A86" s="89" t="s">
        <v>5532</v>
      </c>
      <c r="B86" s="89" t="s">
        <v>5496</v>
      </c>
      <c r="C86" s="58" t="s">
        <v>930</v>
      </c>
      <c r="D86" s="58" t="s">
        <v>899</v>
      </c>
      <c r="E86" s="170" t="b">
        <f t="shared" si="3"/>
        <v>0</v>
      </c>
    </row>
    <row r="87" ht="15.75" customHeight="1">
      <c r="A87" s="89" t="s">
        <v>5533</v>
      </c>
      <c r="B87" s="89" t="s">
        <v>5496</v>
      </c>
      <c r="C87" s="58" t="s">
        <v>931</v>
      </c>
      <c r="D87" s="58" t="s">
        <v>899</v>
      </c>
      <c r="E87" s="170" t="b">
        <f t="shared" si="3"/>
        <v>0</v>
      </c>
    </row>
    <row r="88" ht="15.75" customHeight="1">
      <c r="A88" s="89" t="s">
        <v>5534</v>
      </c>
      <c r="B88" s="89" t="s">
        <v>5496</v>
      </c>
      <c r="C88" s="58" t="s">
        <v>932</v>
      </c>
      <c r="D88" s="58" t="s">
        <v>899</v>
      </c>
      <c r="E88" s="170" t="b">
        <f t="shared" si="3"/>
        <v>1</v>
      </c>
    </row>
    <row r="89" ht="15.75" customHeight="1">
      <c r="A89" s="89" t="s">
        <v>5535</v>
      </c>
      <c r="B89" s="89" t="s">
        <v>5496</v>
      </c>
      <c r="C89" s="58" t="s">
        <v>933</v>
      </c>
      <c r="D89" s="58" t="s">
        <v>899</v>
      </c>
      <c r="E89" s="170" t="b">
        <f t="shared" si="3"/>
        <v>1</v>
      </c>
    </row>
    <row r="90" ht="15.75" customHeight="1">
      <c r="A90" s="89" t="s">
        <v>5536</v>
      </c>
      <c r="B90" s="89" t="s">
        <v>5496</v>
      </c>
      <c r="C90" s="58" t="s">
        <v>934</v>
      </c>
      <c r="D90" s="58" t="s">
        <v>899</v>
      </c>
      <c r="E90" s="170" t="b">
        <f t="shared" si="3"/>
        <v>0</v>
      </c>
    </row>
    <row r="91" ht="15.75" customHeight="1">
      <c r="A91" s="89" t="s">
        <v>5537</v>
      </c>
      <c r="B91" s="89" t="s">
        <v>5496</v>
      </c>
      <c r="C91" s="58" t="s">
        <v>5538</v>
      </c>
      <c r="D91" s="58" t="s">
        <v>899</v>
      </c>
      <c r="E91" s="170" t="b">
        <f t="shared" si="3"/>
        <v>0</v>
      </c>
    </row>
    <row r="92" ht="15.75" customHeight="1">
      <c r="A92" s="89" t="s">
        <v>5539</v>
      </c>
      <c r="B92" s="89" t="s">
        <v>5496</v>
      </c>
      <c r="C92" s="58" t="s">
        <v>5540</v>
      </c>
      <c r="D92" s="58" t="s">
        <v>899</v>
      </c>
      <c r="E92" s="170" t="b">
        <f t="shared" si="3"/>
        <v>1</v>
      </c>
    </row>
    <row r="93" ht="15.75" customHeight="1">
      <c r="A93" s="89" t="s">
        <v>5541</v>
      </c>
      <c r="B93" s="89" t="s">
        <v>5496</v>
      </c>
      <c r="C93" s="58" t="s">
        <v>936</v>
      </c>
      <c r="D93" s="58" t="s">
        <v>899</v>
      </c>
      <c r="E93" s="170" t="b">
        <f t="shared" si="3"/>
        <v>1</v>
      </c>
    </row>
    <row r="94" ht="15.75" customHeight="1">
      <c r="A94" s="89" t="s">
        <v>5542</v>
      </c>
      <c r="B94" s="89" t="s">
        <v>5496</v>
      </c>
      <c r="C94" s="58" t="s">
        <v>5543</v>
      </c>
      <c r="D94" s="58" t="s">
        <v>899</v>
      </c>
      <c r="E94" s="170" t="b">
        <f t="shared" si="3"/>
        <v>1</v>
      </c>
    </row>
    <row r="95" ht="15.75" customHeight="1">
      <c r="A95" s="89" t="s">
        <v>5544</v>
      </c>
      <c r="B95" s="89" t="s">
        <v>5496</v>
      </c>
      <c r="C95" s="58" t="s">
        <v>937</v>
      </c>
      <c r="D95" s="58" t="s">
        <v>899</v>
      </c>
      <c r="E95" s="170" t="b">
        <f t="shared" si="3"/>
        <v>1</v>
      </c>
    </row>
    <row r="96" ht="15.75" customHeight="1">
      <c r="A96" s="89" t="s">
        <v>5545</v>
      </c>
      <c r="B96" s="89" t="s">
        <v>5496</v>
      </c>
      <c r="C96" s="58" t="s">
        <v>938</v>
      </c>
      <c r="D96" s="58" t="s">
        <v>899</v>
      </c>
      <c r="E96" s="170" t="b">
        <f t="shared" si="3"/>
        <v>1</v>
      </c>
    </row>
    <row r="97" ht="15.75" customHeight="1">
      <c r="A97" s="89" t="s">
        <v>5546</v>
      </c>
      <c r="B97" s="89" t="s">
        <v>5496</v>
      </c>
      <c r="C97" s="58" t="s">
        <v>939</v>
      </c>
      <c r="D97" s="58" t="s">
        <v>899</v>
      </c>
      <c r="E97" s="170" t="b">
        <f t="shared" si="3"/>
        <v>1</v>
      </c>
    </row>
    <row r="98" ht="15.75" customHeight="1">
      <c r="A98" s="89" t="s">
        <v>5547</v>
      </c>
      <c r="B98" s="89" t="s">
        <v>5496</v>
      </c>
      <c r="C98" s="58" t="s">
        <v>941</v>
      </c>
      <c r="D98" s="58" t="s">
        <v>899</v>
      </c>
      <c r="E98" s="170" t="b">
        <f t="shared" si="3"/>
        <v>1</v>
      </c>
    </row>
    <row r="99" ht="15.75" customHeight="1">
      <c r="A99" s="89" t="s">
        <v>5548</v>
      </c>
      <c r="B99" s="89" t="s">
        <v>5496</v>
      </c>
      <c r="C99" s="58" t="s">
        <v>942</v>
      </c>
      <c r="D99" s="58" t="s">
        <v>899</v>
      </c>
      <c r="E99" s="170" t="b">
        <f t="shared" si="3"/>
        <v>0</v>
      </c>
    </row>
    <row r="100" ht="15.75" customHeight="1">
      <c r="A100" s="89" t="s">
        <v>2370</v>
      </c>
      <c r="B100" s="89" t="s">
        <v>5496</v>
      </c>
      <c r="C100" s="58" t="s">
        <v>5549</v>
      </c>
      <c r="D100" s="58" t="s">
        <v>899</v>
      </c>
      <c r="E100" s="170" t="b">
        <f t="shared" si="3"/>
        <v>1</v>
      </c>
    </row>
    <row r="101" ht="15.75" customHeight="1">
      <c r="A101" s="89" t="s">
        <v>5550</v>
      </c>
      <c r="B101" s="89" t="s">
        <v>5496</v>
      </c>
      <c r="C101" s="58" t="s">
        <v>943</v>
      </c>
      <c r="D101" s="58" t="s">
        <v>899</v>
      </c>
      <c r="E101" s="170" t="b">
        <f t="shared" si="3"/>
        <v>0</v>
      </c>
    </row>
    <row r="102" ht="15.75" customHeight="1">
      <c r="A102" s="89" t="s">
        <v>5551</v>
      </c>
      <c r="B102" s="89" t="s">
        <v>5496</v>
      </c>
      <c r="C102" s="58" t="s">
        <v>5552</v>
      </c>
      <c r="D102" s="58" t="s">
        <v>899</v>
      </c>
      <c r="E102" s="170" t="b">
        <f t="shared" si="3"/>
        <v>0</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3.5"/>
  </cols>
  <sheetData>
    <row r="1">
      <c r="A1" s="38" t="s">
        <v>1451</v>
      </c>
      <c r="B1" s="38" t="s">
        <v>1452</v>
      </c>
      <c r="C1" s="170" t="s">
        <v>5553</v>
      </c>
      <c r="D1" s="170" t="s">
        <v>2359</v>
      </c>
    </row>
    <row r="2">
      <c r="A2" s="38" t="s">
        <v>898</v>
      </c>
      <c r="B2" s="38" t="s">
        <v>899</v>
      </c>
      <c r="C2" s="170" t="s">
        <v>5495</v>
      </c>
      <c r="D2" s="170" t="s">
        <v>2366</v>
      </c>
    </row>
    <row r="3">
      <c r="A3" s="38" t="s">
        <v>5438</v>
      </c>
      <c r="B3" s="38" t="s">
        <v>1452</v>
      </c>
      <c r="C3" s="170" t="s">
        <v>5554</v>
      </c>
      <c r="D3" s="170" t="s">
        <v>2359</v>
      </c>
    </row>
    <row r="4">
      <c r="A4" s="38" t="s">
        <v>2194</v>
      </c>
      <c r="B4" s="38" t="s">
        <v>899</v>
      </c>
      <c r="C4" s="170" t="s">
        <v>5555</v>
      </c>
      <c r="D4" s="170" t="s">
        <v>2366</v>
      </c>
    </row>
    <row r="5">
      <c r="A5" s="38" t="s">
        <v>2194</v>
      </c>
      <c r="B5" s="38" t="s">
        <v>1492</v>
      </c>
      <c r="C5" s="170" t="s">
        <v>5556</v>
      </c>
      <c r="D5" s="170" t="s">
        <v>2361</v>
      </c>
    </row>
    <row r="6">
      <c r="A6" s="38" t="s">
        <v>5557</v>
      </c>
      <c r="B6" s="38" t="s">
        <v>899</v>
      </c>
      <c r="C6" s="170" t="s">
        <v>5558</v>
      </c>
      <c r="D6" s="170" t="s">
        <v>2366</v>
      </c>
    </row>
    <row r="7">
      <c r="A7" s="38" t="s">
        <v>903</v>
      </c>
      <c r="B7" s="38" t="s">
        <v>899</v>
      </c>
      <c r="C7" s="170" t="s">
        <v>5559</v>
      </c>
      <c r="D7" s="170" t="s">
        <v>2366</v>
      </c>
    </row>
    <row r="8">
      <c r="A8" s="38" t="s">
        <v>904</v>
      </c>
      <c r="B8" s="38" t="s">
        <v>899</v>
      </c>
      <c r="C8" s="170" t="s">
        <v>5560</v>
      </c>
      <c r="D8" s="170" t="s">
        <v>2366</v>
      </c>
    </row>
    <row r="9">
      <c r="A9" s="38" t="s">
        <v>1491</v>
      </c>
      <c r="B9" s="38" t="s">
        <v>1492</v>
      </c>
      <c r="C9" s="170" t="s">
        <v>5561</v>
      </c>
      <c r="D9" s="170" t="s">
        <v>2361</v>
      </c>
    </row>
    <row r="10">
      <c r="A10" s="38" t="s">
        <v>1493</v>
      </c>
      <c r="B10" s="38" t="s">
        <v>1492</v>
      </c>
      <c r="C10" s="170" t="s">
        <v>5562</v>
      </c>
      <c r="D10" s="170" t="s">
        <v>2361</v>
      </c>
    </row>
    <row r="11">
      <c r="A11" s="38" t="s">
        <v>905</v>
      </c>
      <c r="B11" s="38" t="s">
        <v>1492</v>
      </c>
      <c r="C11" s="170" t="s">
        <v>5478</v>
      </c>
      <c r="D11" s="170" t="s">
        <v>2361</v>
      </c>
    </row>
    <row r="12">
      <c r="A12" s="38" t="s">
        <v>3335</v>
      </c>
      <c r="B12" s="38" t="s">
        <v>899</v>
      </c>
      <c r="C12" s="170" t="s">
        <v>5563</v>
      </c>
      <c r="D12" s="170" t="s">
        <v>2366</v>
      </c>
    </row>
    <row r="13">
      <c r="A13" s="38" t="s">
        <v>906</v>
      </c>
      <c r="B13" s="38" t="s">
        <v>899</v>
      </c>
      <c r="C13" s="170" t="s">
        <v>5498</v>
      </c>
      <c r="D13" s="170" t="s">
        <v>2366</v>
      </c>
    </row>
    <row r="14">
      <c r="A14" s="38" t="s">
        <v>5500</v>
      </c>
      <c r="B14" s="38" t="s">
        <v>899</v>
      </c>
      <c r="C14" s="170" t="s">
        <v>5564</v>
      </c>
      <c r="D14" s="170" t="s">
        <v>2366</v>
      </c>
    </row>
    <row r="15">
      <c r="A15" s="38" t="s">
        <v>1454</v>
      </c>
      <c r="B15" s="38" t="s">
        <v>1452</v>
      </c>
      <c r="C15" s="170" t="s">
        <v>5439</v>
      </c>
      <c r="D15" s="170" t="s">
        <v>2359</v>
      </c>
    </row>
    <row r="16">
      <c r="A16" s="38" t="s">
        <v>1511</v>
      </c>
      <c r="B16" s="38" t="s">
        <v>1512</v>
      </c>
      <c r="C16" s="170" t="s">
        <v>5424</v>
      </c>
      <c r="D16" s="170" t="s">
        <v>2363</v>
      </c>
    </row>
    <row r="17">
      <c r="A17" s="38" t="s">
        <v>1455</v>
      </c>
      <c r="B17" s="38" t="s">
        <v>1452</v>
      </c>
      <c r="C17" s="170" t="s">
        <v>5440</v>
      </c>
      <c r="D17" s="170" t="s">
        <v>2359</v>
      </c>
    </row>
    <row r="18">
      <c r="A18" s="38" t="s">
        <v>1494</v>
      </c>
      <c r="B18" s="38" t="s">
        <v>1492</v>
      </c>
      <c r="C18" s="170" t="s">
        <v>5472</v>
      </c>
      <c r="D18" s="170" t="s">
        <v>5565</v>
      </c>
    </row>
    <row r="19">
      <c r="A19" s="38" t="s">
        <v>5502</v>
      </c>
      <c r="B19" s="38" t="s">
        <v>899</v>
      </c>
      <c r="C19" s="170" t="s">
        <v>5501</v>
      </c>
      <c r="D19" s="170" t="s">
        <v>2366</v>
      </c>
    </row>
    <row r="20">
      <c r="A20" s="170" t="s">
        <v>5566</v>
      </c>
      <c r="B20" s="170" t="s">
        <v>5565</v>
      </c>
      <c r="C20" s="170" t="s">
        <v>5566</v>
      </c>
      <c r="D20" s="170" t="s">
        <v>5565</v>
      </c>
    </row>
    <row r="21">
      <c r="A21" s="170" t="s">
        <v>5567</v>
      </c>
      <c r="B21" s="170" t="s">
        <v>2366</v>
      </c>
      <c r="C21" s="170" t="s">
        <v>5567</v>
      </c>
      <c r="D21" s="170" t="s">
        <v>2366</v>
      </c>
    </row>
    <row r="22">
      <c r="A22" s="38" t="s">
        <v>907</v>
      </c>
      <c r="B22" s="38" t="s">
        <v>899</v>
      </c>
      <c r="C22" s="170" t="s">
        <v>5568</v>
      </c>
      <c r="D22" s="170" t="s">
        <v>2366</v>
      </c>
    </row>
    <row r="23">
      <c r="A23" s="38" t="s">
        <v>2198</v>
      </c>
      <c r="B23" s="38" t="s">
        <v>1512</v>
      </c>
      <c r="C23" s="170" t="s">
        <v>5569</v>
      </c>
      <c r="D23" s="170" t="s">
        <v>2363</v>
      </c>
    </row>
    <row r="24">
      <c r="A24" s="38" t="s">
        <v>908</v>
      </c>
      <c r="B24" s="38" t="s">
        <v>899</v>
      </c>
      <c r="C24" s="170" t="s">
        <v>5504</v>
      </c>
      <c r="D24" s="170" t="s">
        <v>2366</v>
      </c>
    </row>
    <row r="25">
      <c r="A25" s="38" t="s">
        <v>5443</v>
      </c>
      <c r="B25" s="38" t="s">
        <v>5570</v>
      </c>
      <c r="C25" s="170" t="s">
        <v>5571</v>
      </c>
      <c r="D25" s="170" t="s">
        <v>2359</v>
      </c>
    </row>
    <row r="26">
      <c r="A26" s="38" t="s">
        <v>1456</v>
      </c>
      <c r="B26" s="38" t="s">
        <v>1452</v>
      </c>
      <c r="C26" s="170" t="s">
        <v>5572</v>
      </c>
      <c r="D26" s="170" t="s">
        <v>2359</v>
      </c>
    </row>
    <row r="27">
      <c r="A27" s="38" t="s">
        <v>909</v>
      </c>
      <c r="B27" s="38" t="s">
        <v>899</v>
      </c>
      <c r="C27" s="170" t="s">
        <v>5446</v>
      </c>
      <c r="D27" s="170" t="s">
        <v>2359</v>
      </c>
    </row>
    <row r="28">
      <c r="A28" s="38" t="s">
        <v>1457</v>
      </c>
      <c r="B28" s="38" t="s">
        <v>1452</v>
      </c>
      <c r="C28" s="170" t="s">
        <v>5573</v>
      </c>
      <c r="D28" s="170" t="s">
        <v>2366</v>
      </c>
    </row>
    <row r="29">
      <c r="A29" s="38" t="s">
        <v>1458</v>
      </c>
      <c r="B29" s="38" t="s">
        <v>1452</v>
      </c>
      <c r="C29" s="170" t="s">
        <v>5505</v>
      </c>
      <c r="D29" s="170" t="s">
        <v>2366</v>
      </c>
    </row>
    <row r="30">
      <c r="A30" s="38" t="s">
        <v>5507</v>
      </c>
      <c r="B30" s="38" t="s">
        <v>899</v>
      </c>
      <c r="C30" s="170" t="s">
        <v>5574</v>
      </c>
      <c r="D30" s="170" t="s">
        <v>2359</v>
      </c>
    </row>
    <row r="31">
      <c r="A31" s="38" t="s">
        <v>1495</v>
      </c>
      <c r="B31" s="38" t="s">
        <v>1492</v>
      </c>
      <c r="C31" s="170" t="s">
        <v>5479</v>
      </c>
      <c r="D31" s="170" t="s">
        <v>2361</v>
      </c>
    </row>
    <row r="32">
      <c r="A32" s="38" t="s">
        <v>1496</v>
      </c>
      <c r="B32" s="38" t="s">
        <v>1492</v>
      </c>
      <c r="C32" s="170" t="s">
        <v>5575</v>
      </c>
      <c r="D32" s="170" t="s">
        <v>2361</v>
      </c>
    </row>
    <row r="33">
      <c r="A33" s="38" t="s">
        <v>911</v>
      </c>
      <c r="B33" s="38" t="s">
        <v>899</v>
      </c>
      <c r="C33" s="170" t="s">
        <v>5508</v>
      </c>
      <c r="D33" s="170" t="s">
        <v>2366</v>
      </c>
    </row>
    <row r="34">
      <c r="A34" s="38" t="s">
        <v>1459</v>
      </c>
      <c r="B34" s="38" t="s">
        <v>1452</v>
      </c>
      <c r="C34" s="170" t="s">
        <v>5447</v>
      </c>
      <c r="D34" s="170" t="s">
        <v>2359</v>
      </c>
    </row>
    <row r="35">
      <c r="A35" s="38" t="s">
        <v>1497</v>
      </c>
      <c r="B35" s="38" t="s">
        <v>1492</v>
      </c>
      <c r="C35" s="170" t="s">
        <v>5481</v>
      </c>
      <c r="D35" s="170" t="s">
        <v>2361</v>
      </c>
    </row>
    <row r="36">
      <c r="A36" s="38" t="s">
        <v>1498</v>
      </c>
      <c r="B36" s="38" t="s">
        <v>1492</v>
      </c>
      <c r="C36" s="170" t="s">
        <v>5576</v>
      </c>
      <c r="D36" s="170" t="s">
        <v>5565</v>
      </c>
    </row>
    <row r="37">
      <c r="A37" s="38" t="s">
        <v>912</v>
      </c>
      <c r="B37" s="38" t="s">
        <v>899</v>
      </c>
      <c r="C37" s="170" t="s">
        <v>5577</v>
      </c>
      <c r="D37" s="170" t="s">
        <v>2366</v>
      </c>
    </row>
    <row r="38">
      <c r="A38" s="38" t="s">
        <v>913</v>
      </c>
      <c r="B38" s="38" t="s">
        <v>899</v>
      </c>
      <c r="C38" s="170" t="s">
        <v>5578</v>
      </c>
      <c r="D38" s="170" t="s">
        <v>2366</v>
      </c>
    </row>
    <row r="39">
      <c r="A39" s="33" t="s">
        <v>914</v>
      </c>
      <c r="B39" s="38" t="s">
        <v>899</v>
      </c>
      <c r="C39" s="170" t="s">
        <v>5579</v>
      </c>
      <c r="D39" s="170" t="s">
        <v>2366</v>
      </c>
    </row>
    <row r="40">
      <c r="A40" s="38" t="s">
        <v>5449</v>
      </c>
      <c r="B40" s="38" t="s">
        <v>1452</v>
      </c>
      <c r="C40" s="170" t="s">
        <v>5580</v>
      </c>
      <c r="D40" s="170" t="s">
        <v>2359</v>
      </c>
    </row>
    <row r="41">
      <c r="A41" s="38" t="s">
        <v>3868</v>
      </c>
      <c r="B41" s="38" t="s">
        <v>1492</v>
      </c>
      <c r="C41" s="170" t="s">
        <v>2367</v>
      </c>
      <c r="D41" s="170" t="s">
        <v>2359</v>
      </c>
    </row>
    <row r="42">
      <c r="A42" s="38" t="s">
        <v>1460</v>
      </c>
      <c r="B42" s="38" t="s">
        <v>1452</v>
      </c>
      <c r="C42" s="170" t="s">
        <v>5450</v>
      </c>
      <c r="D42" s="170" t="s">
        <v>2359</v>
      </c>
    </row>
    <row r="43">
      <c r="A43" s="38" t="s">
        <v>915</v>
      </c>
      <c r="B43" s="38" t="s">
        <v>899</v>
      </c>
      <c r="C43" s="170" t="s">
        <v>5581</v>
      </c>
      <c r="D43" s="170" t="s">
        <v>2366</v>
      </c>
    </row>
    <row r="44">
      <c r="A44" s="38" t="s">
        <v>3163</v>
      </c>
      <c r="B44" s="38" t="s">
        <v>899</v>
      </c>
      <c r="C44" s="170" t="s">
        <v>5518</v>
      </c>
      <c r="D44" s="170" t="s">
        <v>2366</v>
      </c>
    </row>
    <row r="45">
      <c r="A45" s="38" t="s">
        <v>1500</v>
      </c>
      <c r="B45" s="38" t="s">
        <v>1492</v>
      </c>
      <c r="C45" s="170" t="s">
        <v>5582</v>
      </c>
      <c r="D45" s="170" t="s">
        <v>5565</v>
      </c>
    </row>
    <row r="46">
      <c r="A46" s="38" t="s">
        <v>917</v>
      </c>
      <c r="B46" s="38" t="s">
        <v>899</v>
      </c>
      <c r="C46" s="170" t="s">
        <v>5451</v>
      </c>
      <c r="D46" s="170" t="s">
        <v>2359</v>
      </c>
    </row>
    <row r="47">
      <c r="A47" s="38" t="s">
        <v>1461</v>
      </c>
      <c r="B47" s="38" t="s">
        <v>1452</v>
      </c>
      <c r="C47" s="170" t="s">
        <v>5520</v>
      </c>
      <c r="D47" s="170" t="s">
        <v>2366</v>
      </c>
    </row>
    <row r="48">
      <c r="A48" s="38" t="s">
        <v>919</v>
      </c>
      <c r="B48" s="38" t="s">
        <v>899</v>
      </c>
      <c r="C48" s="170" t="s">
        <v>5583</v>
      </c>
      <c r="D48" s="170" t="s">
        <v>2366</v>
      </c>
    </row>
    <row r="49">
      <c r="A49" s="38" t="s">
        <v>1501</v>
      </c>
      <c r="B49" s="38" t="s">
        <v>1492</v>
      </c>
      <c r="C49" s="170" t="s">
        <v>5584</v>
      </c>
      <c r="D49" s="170" t="s">
        <v>2361</v>
      </c>
    </row>
    <row r="50">
      <c r="A50" s="38" t="s">
        <v>5484</v>
      </c>
      <c r="B50" s="38" t="s">
        <v>1492</v>
      </c>
      <c r="C50" s="170" t="s">
        <v>5585</v>
      </c>
      <c r="D50" s="170" t="s">
        <v>2361</v>
      </c>
    </row>
    <row r="51">
      <c r="A51" s="38" t="s">
        <v>920</v>
      </c>
      <c r="B51" s="38" t="s">
        <v>899</v>
      </c>
      <c r="C51" s="170" t="s">
        <v>5522</v>
      </c>
      <c r="D51" s="170" t="s">
        <v>2366</v>
      </c>
    </row>
    <row r="52">
      <c r="A52" s="38" t="s">
        <v>1463</v>
      </c>
      <c r="B52" s="38" t="s">
        <v>1452</v>
      </c>
      <c r="C52" s="170" t="s">
        <v>5586</v>
      </c>
      <c r="D52" s="170" t="s">
        <v>2363</v>
      </c>
    </row>
    <row r="53">
      <c r="A53" s="38" t="s">
        <v>1514</v>
      </c>
      <c r="B53" s="38" t="s">
        <v>1512</v>
      </c>
      <c r="C53" s="170" t="s">
        <v>5587</v>
      </c>
      <c r="D53" s="170" t="s">
        <v>2359</v>
      </c>
    </row>
    <row r="54">
      <c r="A54" s="38" t="s">
        <v>1515</v>
      </c>
      <c r="B54" s="38" t="s">
        <v>1512</v>
      </c>
      <c r="C54" s="170" t="s">
        <v>5588</v>
      </c>
      <c r="D54" s="170" t="s">
        <v>2363</v>
      </c>
    </row>
    <row r="55">
      <c r="A55" s="38" t="s">
        <v>5486</v>
      </c>
      <c r="B55" s="38" t="s">
        <v>1492</v>
      </c>
    </row>
    <row r="56">
      <c r="A56" s="38" t="s">
        <v>5454</v>
      </c>
      <c r="B56" s="38" t="s">
        <v>1452</v>
      </c>
      <c r="C56" s="170" t="s">
        <v>5589</v>
      </c>
      <c r="D56" s="170" t="s">
        <v>2359</v>
      </c>
    </row>
    <row r="57">
      <c r="A57" s="38" t="s">
        <v>1516</v>
      </c>
      <c r="B57" s="38" t="s">
        <v>1512</v>
      </c>
      <c r="C57" s="170" t="s">
        <v>5590</v>
      </c>
      <c r="D57" s="170" t="s">
        <v>2363</v>
      </c>
    </row>
    <row r="58">
      <c r="A58" s="38" t="s">
        <v>1466</v>
      </c>
      <c r="B58" s="38" t="s">
        <v>1452</v>
      </c>
      <c r="C58" s="170" t="s">
        <v>5591</v>
      </c>
      <c r="D58" s="170" t="s">
        <v>2359</v>
      </c>
    </row>
    <row r="59">
      <c r="A59" s="38" t="s">
        <v>5524</v>
      </c>
      <c r="B59" s="38" t="s">
        <v>899</v>
      </c>
    </row>
    <row r="60">
      <c r="A60" s="175" t="s">
        <v>1502</v>
      </c>
      <c r="B60" s="38" t="s">
        <v>1492</v>
      </c>
      <c r="C60" s="170" t="s">
        <v>5592</v>
      </c>
      <c r="D60" s="170" t="s">
        <v>2361</v>
      </c>
    </row>
    <row r="61">
      <c r="A61" s="38" t="s">
        <v>921</v>
      </c>
      <c r="B61" s="38" t="s">
        <v>899</v>
      </c>
      <c r="C61" s="170" t="s">
        <v>5525</v>
      </c>
      <c r="D61" s="170" t="s">
        <v>2366</v>
      </c>
    </row>
    <row r="62">
      <c r="A62" s="38" t="s">
        <v>922</v>
      </c>
      <c r="B62" s="38" t="s">
        <v>899</v>
      </c>
      <c r="C62" s="170" t="s">
        <v>5526</v>
      </c>
      <c r="D62" s="170" t="s">
        <v>2366</v>
      </c>
    </row>
    <row r="63">
      <c r="A63" s="38" t="s">
        <v>5528</v>
      </c>
      <c r="B63" s="38" t="s">
        <v>899</v>
      </c>
      <c r="C63" s="170" t="s">
        <v>5593</v>
      </c>
      <c r="D63" s="170" t="s">
        <v>2366</v>
      </c>
    </row>
    <row r="64">
      <c r="A64" s="38" t="s">
        <v>1468</v>
      </c>
      <c r="B64" s="38" t="s">
        <v>1452</v>
      </c>
      <c r="C64" s="170" t="s">
        <v>5456</v>
      </c>
      <c r="D64" s="170" t="s">
        <v>2359</v>
      </c>
    </row>
    <row r="65">
      <c r="A65" s="38" t="s">
        <v>1517</v>
      </c>
      <c r="B65" s="38" t="s">
        <v>1512</v>
      </c>
      <c r="C65" s="170" t="s">
        <v>5594</v>
      </c>
      <c r="D65" s="170" t="s">
        <v>2363</v>
      </c>
    </row>
    <row r="66">
      <c r="A66" s="38" t="s">
        <v>924</v>
      </c>
      <c r="B66" s="38" t="s">
        <v>899</v>
      </c>
      <c r="C66" s="170" t="s">
        <v>5595</v>
      </c>
      <c r="D66" s="170" t="s">
        <v>2366</v>
      </c>
    </row>
    <row r="67">
      <c r="A67" s="38" t="s">
        <v>1503</v>
      </c>
      <c r="B67" s="38" t="s">
        <v>1492</v>
      </c>
      <c r="C67" s="170" t="s">
        <v>5596</v>
      </c>
      <c r="D67" s="170" t="s">
        <v>2361</v>
      </c>
    </row>
    <row r="68">
      <c r="A68" s="170" t="s">
        <v>5597</v>
      </c>
      <c r="B68" s="170" t="s">
        <v>2366</v>
      </c>
      <c r="C68" s="170" t="s">
        <v>5597</v>
      </c>
      <c r="D68" s="170" t="s">
        <v>2366</v>
      </c>
    </row>
    <row r="69">
      <c r="A69" s="38" t="s">
        <v>1504</v>
      </c>
      <c r="B69" s="38" t="s">
        <v>1492</v>
      </c>
      <c r="C69" s="170" t="s">
        <v>5598</v>
      </c>
      <c r="D69" s="170" t="s">
        <v>2361</v>
      </c>
    </row>
    <row r="70">
      <c r="A70" s="38" t="s">
        <v>5599</v>
      </c>
      <c r="B70" s="38" t="s">
        <v>899</v>
      </c>
      <c r="C70" s="170" t="s">
        <v>2369</v>
      </c>
      <c r="D70" s="170" t="s">
        <v>2366</v>
      </c>
    </row>
    <row r="71">
      <c r="A71" s="38" t="s">
        <v>1518</v>
      </c>
      <c r="B71" s="38" t="s">
        <v>1512</v>
      </c>
      <c r="C71" s="170" t="s">
        <v>5600</v>
      </c>
      <c r="D71" s="170" t="s">
        <v>2363</v>
      </c>
    </row>
    <row r="72">
      <c r="A72" s="38" t="s">
        <v>2877</v>
      </c>
      <c r="B72" s="38" t="s">
        <v>1452</v>
      </c>
      <c r="C72" s="170" t="s">
        <v>5601</v>
      </c>
      <c r="D72" s="170" t="s">
        <v>2359</v>
      </c>
    </row>
    <row r="73">
      <c r="A73" s="175" t="s">
        <v>1472</v>
      </c>
      <c r="B73" s="38" t="s">
        <v>1452</v>
      </c>
      <c r="C73" s="170" t="s">
        <v>5602</v>
      </c>
      <c r="D73" s="170" t="s">
        <v>2359</v>
      </c>
    </row>
    <row r="74">
      <c r="A74" s="170" t="s">
        <v>5603</v>
      </c>
      <c r="B74" s="170" t="s">
        <v>2366</v>
      </c>
      <c r="C74" s="170" t="s">
        <v>5603</v>
      </c>
      <c r="D74" s="170" t="s">
        <v>2366</v>
      </c>
    </row>
    <row r="75">
      <c r="A75" s="38" t="s">
        <v>1473</v>
      </c>
      <c r="B75" s="38" t="s">
        <v>1452</v>
      </c>
      <c r="C75" s="170" t="s">
        <v>5604</v>
      </c>
      <c r="D75" s="170" t="s">
        <v>2359</v>
      </c>
    </row>
    <row r="76">
      <c r="A76" s="38" t="s">
        <v>2196</v>
      </c>
      <c r="B76" s="38" t="s">
        <v>1492</v>
      </c>
      <c r="C76" s="170" t="s">
        <v>5605</v>
      </c>
      <c r="D76" s="170" t="s">
        <v>2361</v>
      </c>
    </row>
    <row r="77">
      <c r="A77" s="38" t="s">
        <v>1475</v>
      </c>
      <c r="B77" s="38" t="s">
        <v>1452</v>
      </c>
      <c r="C77" s="170" t="s">
        <v>5606</v>
      </c>
      <c r="D77" s="170" t="s">
        <v>2359</v>
      </c>
    </row>
    <row r="78">
      <c r="A78" s="38" t="s">
        <v>1519</v>
      </c>
      <c r="B78" s="38" t="s">
        <v>1512</v>
      </c>
      <c r="C78" s="170" t="s">
        <v>5433</v>
      </c>
      <c r="D78" s="170" t="s">
        <v>2363</v>
      </c>
    </row>
    <row r="79">
      <c r="A79" s="38" t="s">
        <v>930</v>
      </c>
      <c r="B79" s="38" t="s">
        <v>899</v>
      </c>
      <c r="C79" s="170" t="s">
        <v>5532</v>
      </c>
      <c r="D79" s="170" t="s">
        <v>2366</v>
      </c>
    </row>
    <row r="80">
      <c r="A80" s="38" t="s">
        <v>1520</v>
      </c>
      <c r="B80" s="38" t="s">
        <v>1512</v>
      </c>
      <c r="C80" s="170" t="s">
        <v>5607</v>
      </c>
      <c r="D80" s="170" t="s">
        <v>2363</v>
      </c>
    </row>
    <row r="81">
      <c r="A81" s="38" t="s">
        <v>1476</v>
      </c>
      <c r="B81" s="38" t="s">
        <v>1452</v>
      </c>
      <c r="C81" s="170" t="s">
        <v>5608</v>
      </c>
      <c r="D81" s="170" t="s">
        <v>2359</v>
      </c>
    </row>
    <row r="82">
      <c r="A82" s="38" t="s">
        <v>1477</v>
      </c>
      <c r="B82" s="38" t="s">
        <v>1452</v>
      </c>
      <c r="C82" s="170" t="s">
        <v>5609</v>
      </c>
      <c r="D82" s="170" t="s">
        <v>2359</v>
      </c>
    </row>
    <row r="83">
      <c r="A83" s="38" t="s">
        <v>1478</v>
      </c>
      <c r="B83" s="38" t="s">
        <v>1452</v>
      </c>
      <c r="C83" s="170" t="s">
        <v>5466</v>
      </c>
      <c r="D83" s="170" t="s">
        <v>2359</v>
      </c>
    </row>
    <row r="84">
      <c r="A84" s="38" t="s">
        <v>931</v>
      </c>
      <c r="B84" s="38" t="s">
        <v>899</v>
      </c>
      <c r="C84" s="170" t="s">
        <v>5533</v>
      </c>
      <c r="D84" s="170" t="s">
        <v>2366</v>
      </c>
    </row>
    <row r="85">
      <c r="A85" s="38" t="s">
        <v>1505</v>
      </c>
      <c r="B85" s="38" t="s">
        <v>1492</v>
      </c>
      <c r="C85" s="170" t="s">
        <v>5491</v>
      </c>
      <c r="D85" s="170" t="s">
        <v>2361</v>
      </c>
    </row>
    <row r="86">
      <c r="A86" s="38" t="s">
        <v>1480</v>
      </c>
      <c r="B86" s="38" t="s">
        <v>1452</v>
      </c>
      <c r="C86" s="170" t="s">
        <v>5610</v>
      </c>
      <c r="D86" s="170" t="s">
        <v>2359</v>
      </c>
    </row>
    <row r="87">
      <c r="A87" s="38" t="s">
        <v>932</v>
      </c>
      <c r="B87" s="38" t="s">
        <v>899</v>
      </c>
      <c r="C87" s="170" t="s">
        <v>5534</v>
      </c>
      <c r="D87" s="170" t="s">
        <v>2366</v>
      </c>
    </row>
    <row r="88">
      <c r="A88" s="38" t="s">
        <v>933</v>
      </c>
      <c r="B88" s="38" t="s">
        <v>899</v>
      </c>
      <c r="C88" s="170" t="s">
        <v>5611</v>
      </c>
      <c r="D88" s="170" t="s">
        <v>2366</v>
      </c>
    </row>
    <row r="89">
      <c r="A89" s="38" t="s">
        <v>1484</v>
      </c>
      <c r="B89" s="38" t="s">
        <v>1452</v>
      </c>
      <c r="C89" s="170" t="s">
        <v>5612</v>
      </c>
      <c r="D89" s="170" t="s">
        <v>2366</v>
      </c>
    </row>
    <row r="90">
      <c r="A90" s="175" t="s">
        <v>934</v>
      </c>
      <c r="B90" s="38" t="s">
        <v>899</v>
      </c>
      <c r="C90" s="170" t="s">
        <v>5613</v>
      </c>
      <c r="D90" s="170" t="s">
        <v>2366</v>
      </c>
    </row>
    <row r="91">
      <c r="A91" s="38" t="s">
        <v>5540</v>
      </c>
      <c r="B91" s="38" t="s">
        <v>899</v>
      </c>
    </row>
    <row r="92">
      <c r="A92" s="175" t="s">
        <v>935</v>
      </c>
      <c r="B92" s="38" t="s">
        <v>899</v>
      </c>
      <c r="C92" s="170" t="s">
        <v>5541</v>
      </c>
      <c r="D92" s="170" t="s">
        <v>2366</v>
      </c>
    </row>
    <row r="93">
      <c r="A93" s="38" t="s">
        <v>936</v>
      </c>
      <c r="B93" s="38" t="s">
        <v>899</v>
      </c>
      <c r="C93" s="170" t="s">
        <v>5614</v>
      </c>
      <c r="D93" s="170" t="s">
        <v>2359</v>
      </c>
    </row>
    <row r="94">
      <c r="A94" s="38" t="s">
        <v>5543</v>
      </c>
      <c r="B94" s="38" t="s">
        <v>899</v>
      </c>
      <c r="C94" s="170" t="s">
        <v>5615</v>
      </c>
      <c r="D94" s="170" t="s">
        <v>2359</v>
      </c>
    </row>
    <row r="95">
      <c r="A95" s="38" t="s">
        <v>1485</v>
      </c>
      <c r="B95" s="38" t="s">
        <v>1452</v>
      </c>
      <c r="C95" s="170" t="s">
        <v>5616</v>
      </c>
      <c r="D95" s="170" t="s">
        <v>2366</v>
      </c>
    </row>
    <row r="96">
      <c r="A96" s="38" t="s">
        <v>1486</v>
      </c>
      <c r="B96" s="38" t="s">
        <v>1452</v>
      </c>
      <c r="C96" s="170" t="s">
        <v>5469</v>
      </c>
      <c r="D96" s="170" t="s">
        <v>2359</v>
      </c>
    </row>
    <row r="97">
      <c r="A97" s="170" t="s">
        <v>5617</v>
      </c>
      <c r="B97" s="170" t="s">
        <v>2366</v>
      </c>
      <c r="C97" s="170" t="s">
        <v>5617</v>
      </c>
      <c r="D97" s="170" t="s">
        <v>2366</v>
      </c>
    </row>
    <row r="98">
      <c r="A98" s="38" t="s">
        <v>1521</v>
      </c>
      <c r="B98" s="38" t="s">
        <v>1512</v>
      </c>
      <c r="C98" s="170" t="s">
        <v>5435</v>
      </c>
      <c r="D98" s="170" t="s">
        <v>2363</v>
      </c>
    </row>
    <row r="99">
      <c r="A99" s="38" t="s">
        <v>1507</v>
      </c>
      <c r="B99" s="38" t="s">
        <v>1492</v>
      </c>
      <c r="C99" s="170" t="s">
        <v>5618</v>
      </c>
      <c r="D99" s="170" t="s">
        <v>2361</v>
      </c>
    </row>
    <row r="100">
      <c r="A100" s="38" t="s">
        <v>1508</v>
      </c>
      <c r="B100" s="38" t="s">
        <v>1492</v>
      </c>
      <c r="C100" s="170" t="s">
        <v>5619</v>
      </c>
      <c r="D100" s="170" t="s">
        <v>2361</v>
      </c>
    </row>
    <row r="101">
      <c r="A101" s="38" t="s">
        <v>937</v>
      </c>
      <c r="B101" s="38" t="s">
        <v>899</v>
      </c>
      <c r="C101" s="170" t="s">
        <v>5544</v>
      </c>
      <c r="D101" s="170" t="s">
        <v>2366</v>
      </c>
    </row>
    <row r="102">
      <c r="A102" s="38" t="s">
        <v>938</v>
      </c>
      <c r="B102" s="38" t="s">
        <v>899</v>
      </c>
      <c r="C102" s="170" t="s">
        <v>5545</v>
      </c>
      <c r="D102" s="170" t="s">
        <v>2366</v>
      </c>
    </row>
    <row r="103">
      <c r="A103" s="38" t="s">
        <v>1487</v>
      </c>
      <c r="B103" s="38" t="s">
        <v>1452</v>
      </c>
      <c r="C103" s="170" t="s">
        <v>5620</v>
      </c>
      <c r="D103" s="170" t="s">
        <v>2359</v>
      </c>
    </row>
    <row r="104">
      <c r="A104" s="38" t="s">
        <v>939</v>
      </c>
      <c r="B104" s="38" t="s">
        <v>899</v>
      </c>
      <c r="C104" s="170" t="s">
        <v>5621</v>
      </c>
      <c r="D104" s="170" t="s">
        <v>2366</v>
      </c>
    </row>
    <row r="105">
      <c r="A105" s="38" t="s">
        <v>941</v>
      </c>
      <c r="B105" s="38" t="s">
        <v>899</v>
      </c>
      <c r="C105" s="170" t="s">
        <v>5622</v>
      </c>
      <c r="D105" s="170" t="s">
        <v>2366</v>
      </c>
    </row>
    <row r="106">
      <c r="A106" s="38" t="s">
        <v>1509</v>
      </c>
      <c r="B106" s="38" t="s">
        <v>1492</v>
      </c>
      <c r="C106" s="170" t="s">
        <v>5494</v>
      </c>
      <c r="D106" s="170" t="s">
        <v>2361</v>
      </c>
    </row>
    <row r="107">
      <c r="A107" s="38" t="s">
        <v>942</v>
      </c>
      <c r="B107" s="38" t="s">
        <v>899</v>
      </c>
      <c r="C107" s="170" t="s">
        <v>5548</v>
      </c>
      <c r="D107" s="170" t="s">
        <v>2366</v>
      </c>
    </row>
    <row r="108">
      <c r="A108" s="38" t="s">
        <v>943</v>
      </c>
      <c r="B108" s="38" t="s">
        <v>899</v>
      </c>
      <c r="C108" s="170" t="s">
        <v>5550</v>
      </c>
      <c r="D108" s="170" t="s">
        <v>2366</v>
      </c>
    </row>
    <row r="109">
      <c r="A109" s="38" t="s">
        <v>1488</v>
      </c>
      <c r="B109" s="38" t="s">
        <v>1452</v>
      </c>
      <c r="C109" s="170" t="s">
        <v>5623</v>
      </c>
      <c r="D109" s="170" t="s">
        <v>2359</v>
      </c>
    </row>
    <row r="110">
      <c r="A110" s="38" t="s">
        <v>5552</v>
      </c>
      <c r="B110" s="38" t="s">
        <v>899</v>
      </c>
      <c r="C110" s="170" t="s">
        <v>5551</v>
      </c>
      <c r="D110" s="170" t="s">
        <v>2366</v>
      </c>
    </row>
    <row r="111">
      <c r="A111" s="38" t="s">
        <v>1714</v>
      </c>
      <c r="B111" s="38" t="s">
        <v>1715</v>
      </c>
      <c r="C111" s="170" t="s">
        <v>5624</v>
      </c>
      <c r="D111" s="170" t="s">
        <v>2359</v>
      </c>
    </row>
    <row r="112">
      <c r="A112" s="38" t="s">
        <v>1489</v>
      </c>
      <c r="B112" s="38" t="s">
        <v>1452</v>
      </c>
    </row>
    <row r="113">
      <c r="A113" s="38"/>
      <c r="B113" s="38"/>
    </row>
    <row r="114">
      <c r="A114" s="38"/>
      <c r="B114" s="38"/>
    </row>
    <row r="115">
      <c r="A115" s="38"/>
      <c r="B115" s="38"/>
    </row>
    <row r="116">
      <c r="A116" s="38"/>
      <c r="B116" s="38"/>
    </row>
    <row r="117">
      <c r="A117" s="38"/>
      <c r="B117" s="38"/>
    </row>
    <row r="118">
      <c r="A118" s="38"/>
      <c r="B118" s="38"/>
    </row>
    <row r="119">
      <c r="A119" s="38"/>
      <c r="B119" s="38"/>
    </row>
    <row r="120">
      <c r="A120" s="38"/>
      <c r="B120" s="38"/>
    </row>
    <row r="121">
      <c r="A121" s="38"/>
      <c r="B121" s="38"/>
    </row>
    <row r="122">
      <c r="A122" s="38"/>
      <c r="B122" s="38"/>
    </row>
    <row r="123">
      <c r="A123" s="38"/>
      <c r="B123" s="38"/>
    </row>
    <row r="124">
      <c r="A124" s="38"/>
      <c r="B124" s="38"/>
    </row>
    <row r="125">
      <c r="A125" s="38"/>
      <c r="B125" s="38"/>
    </row>
    <row r="126">
      <c r="A126" s="38"/>
      <c r="B126" s="38"/>
    </row>
    <row r="127">
      <c r="A127" s="38"/>
      <c r="B127" s="38"/>
    </row>
    <row r="128">
      <c r="A128" s="38"/>
      <c r="B128" s="38"/>
    </row>
    <row r="129">
      <c r="A129" s="38"/>
      <c r="B129" s="38"/>
    </row>
    <row r="130">
      <c r="A130" s="38"/>
      <c r="B130" s="38"/>
    </row>
    <row r="131">
      <c r="A131" s="38"/>
      <c r="B131" s="38"/>
    </row>
    <row r="132">
      <c r="A132" s="38"/>
      <c r="B132" s="38"/>
    </row>
    <row r="133">
      <c r="A133" s="38"/>
      <c r="B133" s="38"/>
    </row>
    <row r="134">
      <c r="A134" s="38"/>
      <c r="B134" s="38"/>
    </row>
    <row r="135">
      <c r="A135" s="38"/>
      <c r="B135" s="38"/>
    </row>
    <row r="136">
      <c r="A136" s="38"/>
      <c r="B136" s="38"/>
    </row>
    <row r="137">
      <c r="A137" s="38"/>
      <c r="B137" s="38"/>
    </row>
    <row r="138">
      <c r="A138" s="38"/>
      <c r="B138" s="38"/>
    </row>
    <row r="139">
      <c r="A139" s="38"/>
      <c r="B139" s="38"/>
    </row>
    <row r="140">
      <c r="A140" s="38"/>
      <c r="B140" s="38"/>
    </row>
    <row r="141">
      <c r="A141" s="38"/>
      <c r="B141" s="38"/>
    </row>
    <row r="142">
      <c r="A142" s="38"/>
      <c r="B142" s="38"/>
    </row>
    <row r="143">
      <c r="A143" s="38"/>
      <c r="B143" s="38"/>
    </row>
    <row r="144">
      <c r="A144" s="38"/>
      <c r="B144" s="38"/>
    </row>
    <row r="145">
      <c r="A145" s="38"/>
      <c r="B145" s="38"/>
    </row>
    <row r="146">
      <c r="A146" s="38"/>
      <c r="B146" s="38"/>
    </row>
    <row r="147">
      <c r="A147" s="38"/>
      <c r="B147" s="38"/>
    </row>
    <row r="148">
      <c r="A148" s="38"/>
      <c r="B148" s="38"/>
    </row>
    <row r="149">
      <c r="A149" s="38"/>
      <c r="B149" s="38"/>
    </row>
    <row r="150">
      <c r="A150" s="38"/>
      <c r="B150" s="38"/>
    </row>
    <row r="151">
      <c r="A151" s="38"/>
      <c r="B151" s="38"/>
    </row>
    <row r="152">
      <c r="A152" s="38"/>
      <c r="B152" s="38"/>
    </row>
    <row r="153">
      <c r="A153" s="38"/>
      <c r="B153" s="38"/>
    </row>
    <row r="154">
      <c r="A154" s="38"/>
      <c r="B154" s="38"/>
    </row>
    <row r="155">
      <c r="A155" s="38"/>
      <c r="B155" s="38"/>
    </row>
    <row r="156">
      <c r="A156" s="38"/>
      <c r="B156" s="38"/>
    </row>
    <row r="157">
      <c r="A157" s="38"/>
      <c r="B157" s="38"/>
    </row>
    <row r="158">
      <c r="A158" s="38"/>
      <c r="B158" s="38"/>
    </row>
    <row r="159">
      <c r="A159" s="38"/>
      <c r="B159" s="38"/>
    </row>
    <row r="160">
      <c r="A160" s="38"/>
      <c r="B160" s="38"/>
    </row>
    <row r="161">
      <c r="A161" s="38"/>
      <c r="B161" s="38"/>
    </row>
    <row r="162">
      <c r="A162" s="38"/>
      <c r="B162" s="38"/>
    </row>
    <row r="163">
      <c r="A163" s="38"/>
      <c r="B163" s="38"/>
    </row>
    <row r="164">
      <c r="A164" s="38"/>
      <c r="B164" s="38"/>
    </row>
    <row r="165">
      <c r="A165" s="38"/>
      <c r="B165" s="38"/>
    </row>
    <row r="166">
      <c r="A166" s="38"/>
      <c r="B166" s="38"/>
    </row>
    <row r="167">
      <c r="A167" s="38"/>
      <c r="B167" s="38"/>
    </row>
    <row r="168">
      <c r="A168" s="38"/>
      <c r="B168" s="38"/>
    </row>
    <row r="169">
      <c r="A169" s="38"/>
      <c r="B169" s="38"/>
    </row>
    <row r="170">
      <c r="A170" s="38"/>
      <c r="B170" s="38"/>
    </row>
    <row r="171">
      <c r="A171" s="38"/>
      <c r="B171" s="38"/>
    </row>
    <row r="172">
      <c r="A172" s="38"/>
      <c r="B172" s="38"/>
    </row>
    <row r="173">
      <c r="A173" s="38"/>
      <c r="B173" s="38"/>
    </row>
    <row r="174">
      <c r="A174" s="38"/>
      <c r="B174" s="38"/>
    </row>
    <row r="175">
      <c r="A175" s="38"/>
      <c r="B175" s="38"/>
    </row>
    <row r="176">
      <c r="A176" s="38"/>
      <c r="B176" s="38"/>
    </row>
    <row r="177">
      <c r="A177" s="38"/>
      <c r="B177" s="38"/>
    </row>
    <row r="178">
      <c r="A178" s="38"/>
      <c r="B178" s="38"/>
    </row>
    <row r="179">
      <c r="A179" s="38"/>
      <c r="B179" s="38"/>
    </row>
    <row r="180">
      <c r="A180" s="38"/>
      <c r="B180" s="38"/>
    </row>
    <row r="181">
      <c r="A181" s="38"/>
      <c r="B181" s="38"/>
    </row>
    <row r="182">
      <c r="A182" s="38"/>
      <c r="B182" s="38"/>
    </row>
    <row r="183">
      <c r="A183" s="38"/>
      <c r="B183" s="38"/>
    </row>
    <row r="184">
      <c r="A184" s="38"/>
      <c r="B184" s="38"/>
    </row>
    <row r="185">
      <c r="A185" s="38"/>
      <c r="B185" s="38"/>
    </row>
    <row r="186">
      <c r="A186" s="38"/>
      <c r="B186" s="38"/>
    </row>
    <row r="187">
      <c r="A187" s="38"/>
      <c r="B187" s="38"/>
    </row>
    <row r="188">
      <c r="A188" s="38"/>
      <c r="B188" s="38"/>
    </row>
    <row r="189">
      <c r="A189" s="38"/>
      <c r="B189" s="38"/>
    </row>
    <row r="190">
      <c r="A190" s="38"/>
      <c r="B190" s="38"/>
    </row>
    <row r="191">
      <c r="A191" s="38"/>
      <c r="B191" s="38"/>
    </row>
    <row r="192">
      <c r="A192" s="38"/>
      <c r="B192" s="38"/>
    </row>
    <row r="193">
      <c r="A193" s="38"/>
      <c r="B193" s="38"/>
    </row>
    <row r="194">
      <c r="A194" s="38"/>
      <c r="B194" s="38"/>
    </row>
    <row r="195">
      <c r="A195" s="38"/>
      <c r="B195" s="38"/>
    </row>
    <row r="196">
      <c r="A196" s="38"/>
      <c r="B196" s="38"/>
    </row>
    <row r="197">
      <c r="A197" s="38"/>
      <c r="B197" s="38"/>
    </row>
    <row r="198">
      <c r="A198" s="38"/>
      <c r="B198" s="38"/>
    </row>
    <row r="199">
      <c r="A199" s="38"/>
      <c r="B199" s="38"/>
    </row>
    <row r="200">
      <c r="A200" s="38"/>
      <c r="B200" s="38"/>
    </row>
    <row r="201">
      <c r="A201" s="38"/>
      <c r="B201" s="38"/>
    </row>
    <row r="202">
      <c r="A202" s="38"/>
      <c r="B202" s="38"/>
    </row>
    <row r="203">
      <c r="A203" s="38"/>
      <c r="B203" s="38"/>
    </row>
    <row r="204">
      <c r="A204" s="38"/>
      <c r="B204" s="38"/>
    </row>
    <row r="205">
      <c r="A205" s="38"/>
      <c r="B205" s="38"/>
    </row>
    <row r="206">
      <c r="A206" s="38"/>
      <c r="B206" s="38"/>
    </row>
    <row r="207">
      <c r="A207" s="38"/>
      <c r="B207" s="38"/>
    </row>
    <row r="208">
      <c r="A208" s="38"/>
      <c r="B208" s="38"/>
    </row>
    <row r="209">
      <c r="A209" s="38"/>
      <c r="B209" s="38"/>
    </row>
    <row r="210">
      <c r="A210" s="38"/>
      <c r="B210" s="38"/>
    </row>
    <row r="211">
      <c r="A211" s="38"/>
      <c r="B211" s="38"/>
    </row>
    <row r="212">
      <c r="A212" s="38"/>
      <c r="B212" s="38"/>
    </row>
    <row r="213">
      <c r="A213" s="38"/>
      <c r="B213" s="38"/>
    </row>
    <row r="214">
      <c r="A214" s="38"/>
      <c r="B214" s="38"/>
    </row>
    <row r="215">
      <c r="A215" s="38"/>
      <c r="B215" s="38"/>
    </row>
    <row r="216">
      <c r="A216" s="38"/>
      <c r="B216" s="38"/>
    </row>
    <row r="217">
      <c r="A217" s="38"/>
      <c r="B217" s="38"/>
    </row>
    <row r="218">
      <c r="A218" s="38"/>
      <c r="B218" s="38"/>
    </row>
    <row r="219">
      <c r="A219" s="38"/>
      <c r="B219" s="38"/>
    </row>
    <row r="220">
      <c r="A220" s="38"/>
      <c r="B220" s="38"/>
    </row>
    <row r="221">
      <c r="A221" s="38"/>
      <c r="B221" s="38"/>
    </row>
    <row r="222">
      <c r="A222" s="38"/>
      <c r="B222" s="38"/>
    </row>
    <row r="223">
      <c r="A223" s="38"/>
      <c r="B223" s="38"/>
    </row>
    <row r="224">
      <c r="A224" s="38"/>
      <c r="B224" s="38"/>
    </row>
    <row r="225">
      <c r="A225" s="38"/>
      <c r="B225" s="38"/>
    </row>
    <row r="226">
      <c r="A226" s="38"/>
      <c r="B226" s="38"/>
    </row>
    <row r="227">
      <c r="A227" s="38"/>
      <c r="B227" s="38"/>
    </row>
    <row r="228">
      <c r="A228" s="38"/>
      <c r="B228" s="38"/>
    </row>
    <row r="229">
      <c r="A229" s="38"/>
      <c r="B229" s="38"/>
    </row>
    <row r="230">
      <c r="A230" s="38"/>
      <c r="B230" s="38"/>
    </row>
    <row r="231">
      <c r="A231" s="38"/>
      <c r="B231" s="38"/>
    </row>
    <row r="232">
      <c r="A232" s="38"/>
      <c r="B232" s="38"/>
    </row>
    <row r="233">
      <c r="A233" s="38"/>
      <c r="B233" s="38"/>
    </row>
    <row r="234">
      <c r="A234" s="38"/>
      <c r="B234" s="38"/>
    </row>
    <row r="235">
      <c r="A235" s="38"/>
      <c r="B235" s="38"/>
    </row>
    <row r="236">
      <c r="A236" s="38"/>
      <c r="B236" s="38"/>
    </row>
    <row r="237">
      <c r="A237" s="38"/>
      <c r="B237" s="38"/>
    </row>
    <row r="238">
      <c r="A238" s="38"/>
      <c r="B238" s="38"/>
    </row>
    <row r="239">
      <c r="A239" s="38"/>
      <c r="B239" s="38"/>
    </row>
    <row r="240">
      <c r="A240" s="38"/>
      <c r="B240" s="38"/>
    </row>
    <row r="241">
      <c r="A241" s="38"/>
      <c r="B241" s="38"/>
    </row>
    <row r="242">
      <c r="A242" s="38"/>
      <c r="B242" s="38"/>
    </row>
    <row r="243">
      <c r="A243" s="38"/>
      <c r="B243" s="38"/>
    </row>
    <row r="244">
      <c r="A244" s="38"/>
      <c r="B244" s="38"/>
    </row>
    <row r="245">
      <c r="A245" s="38"/>
      <c r="B245" s="38"/>
    </row>
    <row r="246">
      <c r="A246" s="38"/>
      <c r="B246" s="38"/>
    </row>
    <row r="247">
      <c r="A247" s="38"/>
      <c r="B247" s="38"/>
    </row>
    <row r="248">
      <c r="A248" s="38"/>
      <c r="B248" s="38"/>
    </row>
    <row r="249">
      <c r="A249" s="38"/>
      <c r="B249" s="38"/>
    </row>
    <row r="250">
      <c r="A250" s="38"/>
      <c r="B250" s="38"/>
    </row>
    <row r="251">
      <c r="A251" s="38"/>
      <c r="B251" s="38"/>
    </row>
    <row r="252">
      <c r="A252" s="38"/>
      <c r="B252" s="38"/>
    </row>
    <row r="253">
      <c r="A253" s="38"/>
      <c r="B253" s="38"/>
    </row>
    <row r="254">
      <c r="A254" s="38"/>
      <c r="B254" s="38"/>
    </row>
    <row r="255">
      <c r="A255" s="38"/>
      <c r="B255" s="38"/>
    </row>
    <row r="256">
      <c r="A256" s="38"/>
      <c r="B256" s="38"/>
    </row>
    <row r="257">
      <c r="A257" s="38"/>
      <c r="B257" s="38"/>
    </row>
    <row r="258">
      <c r="A258" s="38"/>
      <c r="B258" s="38"/>
    </row>
    <row r="259">
      <c r="A259" s="38"/>
      <c r="B259" s="38"/>
    </row>
    <row r="260">
      <c r="A260" s="38"/>
      <c r="B260" s="38"/>
    </row>
    <row r="261">
      <c r="A261" s="38"/>
      <c r="B261" s="38"/>
    </row>
    <row r="262">
      <c r="A262" s="38"/>
      <c r="B262" s="38"/>
    </row>
    <row r="263">
      <c r="A263" s="38"/>
      <c r="B263" s="38"/>
    </row>
    <row r="264">
      <c r="A264" s="38"/>
      <c r="B264" s="38"/>
    </row>
    <row r="265">
      <c r="A265" s="38"/>
      <c r="B265" s="38"/>
    </row>
    <row r="266">
      <c r="A266" s="38"/>
      <c r="B266" s="38"/>
    </row>
    <row r="267">
      <c r="A267" s="38"/>
      <c r="B267" s="38"/>
    </row>
    <row r="268">
      <c r="A268" s="38"/>
      <c r="B268" s="38"/>
    </row>
    <row r="269">
      <c r="A269" s="38"/>
      <c r="B269" s="38"/>
    </row>
    <row r="270">
      <c r="A270" s="38"/>
      <c r="B270" s="38"/>
    </row>
    <row r="271">
      <c r="A271" s="38"/>
      <c r="B271" s="38"/>
    </row>
    <row r="272">
      <c r="A272" s="38"/>
      <c r="B272" s="38"/>
    </row>
    <row r="273">
      <c r="A273" s="38"/>
      <c r="B273" s="38"/>
    </row>
    <row r="274">
      <c r="A274" s="38"/>
      <c r="B274" s="38"/>
    </row>
    <row r="275">
      <c r="A275" s="38"/>
      <c r="B275" s="38"/>
    </row>
    <row r="276">
      <c r="A276" s="38"/>
      <c r="B276" s="38"/>
    </row>
    <row r="277">
      <c r="A277" s="38"/>
      <c r="B277" s="38"/>
    </row>
    <row r="278">
      <c r="A278" s="38"/>
      <c r="B278" s="38"/>
    </row>
    <row r="279">
      <c r="A279" s="38"/>
      <c r="B279" s="38"/>
    </row>
    <row r="280">
      <c r="A280" s="38"/>
      <c r="B280" s="38"/>
    </row>
    <row r="281">
      <c r="A281" s="38"/>
      <c r="B281" s="38"/>
    </row>
    <row r="282">
      <c r="A282" s="38"/>
      <c r="B282" s="38"/>
    </row>
    <row r="283">
      <c r="A283" s="38"/>
      <c r="B283" s="38"/>
    </row>
    <row r="284">
      <c r="A284" s="38"/>
      <c r="B284" s="38"/>
    </row>
    <row r="285">
      <c r="A285" s="38"/>
      <c r="B285" s="38"/>
    </row>
    <row r="286">
      <c r="A286" s="38"/>
      <c r="B286" s="38"/>
    </row>
    <row r="287">
      <c r="A287" s="38"/>
      <c r="B287" s="38"/>
    </row>
    <row r="288">
      <c r="A288" s="38"/>
      <c r="B288" s="38"/>
    </row>
    <row r="289">
      <c r="A289" s="38"/>
      <c r="B289" s="38"/>
    </row>
    <row r="290">
      <c r="A290" s="38"/>
      <c r="B290" s="38"/>
    </row>
    <row r="291">
      <c r="A291" s="38"/>
      <c r="B291" s="38"/>
    </row>
    <row r="292">
      <c r="A292" s="38"/>
      <c r="B292" s="38"/>
    </row>
    <row r="293">
      <c r="A293" s="38"/>
      <c r="B293" s="38"/>
    </row>
    <row r="294">
      <c r="A294" s="38"/>
      <c r="B294" s="38"/>
    </row>
    <row r="295">
      <c r="A295" s="38"/>
      <c r="B295" s="38"/>
    </row>
    <row r="296">
      <c r="A296" s="38"/>
      <c r="B296" s="38"/>
    </row>
    <row r="297">
      <c r="A297" s="38"/>
      <c r="B297" s="38"/>
    </row>
    <row r="298">
      <c r="A298" s="38"/>
      <c r="B298" s="38"/>
    </row>
    <row r="299">
      <c r="A299" s="38"/>
      <c r="B299" s="38"/>
    </row>
    <row r="300">
      <c r="A300" s="38"/>
      <c r="B300" s="38"/>
    </row>
    <row r="301">
      <c r="A301" s="38"/>
      <c r="B301" s="38"/>
    </row>
    <row r="302">
      <c r="A302" s="38"/>
      <c r="B302" s="38"/>
    </row>
    <row r="303">
      <c r="A303" s="38"/>
      <c r="B303" s="38"/>
    </row>
    <row r="304">
      <c r="A304" s="38"/>
      <c r="B304" s="38"/>
    </row>
    <row r="305">
      <c r="A305" s="38"/>
      <c r="B305" s="38"/>
    </row>
    <row r="306">
      <c r="A306" s="38"/>
      <c r="B306" s="38"/>
    </row>
    <row r="307">
      <c r="A307" s="38"/>
      <c r="B307" s="38"/>
    </row>
    <row r="308">
      <c r="A308" s="38"/>
      <c r="B308" s="38"/>
    </row>
    <row r="309">
      <c r="A309" s="38"/>
      <c r="B309" s="38"/>
    </row>
    <row r="310">
      <c r="A310" s="38"/>
      <c r="B310" s="38"/>
    </row>
    <row r="311">
      <c r="A311" s="38"/>
      <c r="B311" s="38"/>
    </row>
    <row r="312">
      <c r="A312" s="38"/>
      <c r="B312" s="38"/>
    </row>
    <row r="313">
      <c r="A313" s="38"/>
      <c r="B313" s="38"/>
    </row>
    <row r="314">
      <c r="A314" s="38"/>
      <c r="B314" s="38"/>
    </row>
    <row r="315">
      <c r="A315" s="38"/>
      <c r="B315" s="38"/>
    </row>
    <row r="316">
      <c r="A316" s="38"/>
      <c r="B316" s="38"/>
    </row>
    <row r="317">
      <c r="A317" s="38"/>
      <c r="B317" s="38"/>
    </row>
    <row r="318">
      <c r="A318" s="38"/>
      <c r="B318" s="38"/>
    </row>
    <row r="319">
      <c r="A319" s="38"/>
      <c r="B319" s="38"/>
    </row>
    <row r="320">
      <c r="A320" s="38"/>
      <c r="B320" s="38"/>
    </row>
    <row r="321">
      <c r="A321" s="38"/>
      <c r="B321" s="38"/>
    </row>
    <row r="322">
      <c r="A322" s="38"/>
      <c r="B322" s="38"/>
    </row>
    <row r="323">
      <c r="A323" s="38"/>
      <c r="B323" s="38"/>
    </row>
    <row r="324">
      <c r="A324" s="38"/>
      <c r="B324" s="38"/>
    </row>
    <row r="325">
      <c r="A325" s="38"/>
      <c r="B325" s="38"/>
    </row>
    <row r="326">
      <c r="A326" s="38"/>
      <c r="B326" s="38"/>
    </row>
    <row r="327">
      <c r="A327" s="38"/>
      <c r="B327" s="38"/>
    </row>
    <row r="328">
      <c r="A328" s="38"/>
      <c r="B328" s="38"/>
    </row>
    <row r="329">
      <c r="A329" s="38"/>
      <c r="B329" s="38"/>
    </row>
    <row r="330">
      <c r="A330" s="38"/>
      <c r="B330" s="38"/>
    </row>
    <row r="331">
      <c r="A331" s="38"/>
      <c r="B331" s="38"/>
    </row>
    <row r="332">
      <c r="A332" s="38"/>
      <c r="B332" s="38"/>
    </row>
    <row r="333">
      <c r="A333" s="38"/>
      <c r="B333" s="38"/>
    </row>
    <row r="334">
      <c r="A334" s="38"/>
      <c r="B334" s="38"/>
    </row>
    <row r="335">
      <c r="A335" s="38"/>
      <c r="B335" s="38"/>
    </row>
    <row r="336">
      <c r="A336" s="38"/>
      <c r="B336" s="38"/>
    </row>
    <row r="337">
      <c r="A337" s="38"/>
      <c r="B337" s="38"/>
    </row>
    <row r="338">
      <c r="A338" s="38"/>
      <c r="B338" s="38"/>
    </row>
    <row r="339">
      <c r="A339" s="38"/>
      <c r="B339" s="38"/>
    </row>
    <row r="340">
      <c r="A340" s="38"/>
      <c r="B340" s="38"/>
    </row>
    <row r="341">
      <c r="A341" s="38"/>
      <c r="B341" s="38"/>
    </row>
    <row r="342">
      <c r="A342" s="38"/>
      <c r="B342" s="38"/>
    </row>
    <row r="343">
      <c r="A343" s="38"/>
      <c r="B343" s="38"/>
    </row>
    <row r="344">
      <c r="A344" s="38"/>
      <c r="B344" s="38"/>
    </row>
    <row r="345">
      <c r="A345" s="38"/>
      <c r="B345" s="38"/>
    </row>
    <row r="346">
      <c r="A346" s="38"/>
      <c r="B346" s="38"/>
    </row>
    <row r="347">
      <c r="A347" s="38"/>
      <c r="B347" s="38"/>
    </row>
    <row r="348">
      <c r="A348" s="38"/>
      <c r="B348" s="38"/>
    </row>
    <row r="349">
      <c r="A349" s="38"/>
      <c r="B349" s="38"/>
    </row>
    <row r="350">
      <c r="A350" s="38"/>
      <c r="B350" s="38"/>
    </row>
    <row r="351">
      <c r="A351" s="38"/>
      <c r="B351" s="38"/>
    </row>
    <row r="352">
      <c r="A352" s="38"/>
      <c r="B352" s="38"/>
    </row>
    <row r="353">
      <c r="A353" s="38"/>
      <c r="B353" s="38"/>
    </row>
    <row r="354">
      <c r="A354" s="38"/>
      <c r="B354" s="38"/>
    </row>
    <row r="355">
      <c r="A355" s="38"/>
      <c r="B355" s="38"/>
    </row>
    <row r="356">
      <c r="A356" s="38"/>
      <c r="B356" s="38"/>
    </row>
    <row r="357">
      <c r="A357" s="38"/>
      <c r="B357" s="38"/>
    </row>
    <row r="358">
      <c r="A358" s="38"/>
      <c r="B358" s="38"/>
    </row>
    <row r="359">
      <c r="A359" s="38"/>
      <c r="B359" s="38"/>
    </row>
    <row r="360">
      <c r="A360" s="38"/>
      <c r="B360" s="38"/>
    </row>
    <row r="361">
      <c r="A361" s="38"/>
      <c r="B361" s="38"/>
    </row>
    <row r="362">
      <c r="A362" s="38"/>
      <c r="B362" s="38"/>
    </row>
    <row r="363">
      <c r="A363" s="38"/>
      <c r="B363" s="38"/>
    </row>
    <row r="364">
      <c r="A364" s="38"/>
      <c r="B364" s="38"/>
    </row>
    <row r="365">
      <c r="A365" s="38"/>
      <c r="B365" s="38"/>
    </row>
    <row r="366">
      <c r="A366" s="38"/>
      <c r="B366" s="38"/>
    </row>
    <row r="367">
      <c r="A367" s="38"/>
      <c r="B367" s="38"/>
    </row>
    <row r="368">
      <c r="A368" s="38"/>
      <c r="B368" s="38"/>
    </row>
    <row r="369">
      <c r="A369" s="38"/>
      <c r="B369" s="38"/>
    </row>
    <row r="370">
      <c r="A370" s="38"/>
      <c r="B370" s="38"/>
    </row>
    <row r="371">
      <c r="A371" s="38"/>
      <c r="B371" s="38"/>
    </row>
    <row r="372">
      <c r="A372" s="38"/>
      <c r="B372" s="38"/>
    </row>
    <row r="373">
      <c r="A373" s="38"/>
      <c r="B373" s="38"/>
    </row>
    <row r="374">
      <c r="A374" s="38"/>
      <c r="B374" s="38"/>
    </row>
    <row r="375">
      <c r="A375" s="38"/>
      <c r="B375" s="38"/>
    </row>
    <row r="376">
      <c r="A376" s="38"/>
      <c r="B376" s="38"/>
    </row>
    <row r="377">
      <c r="A377" s="38"/>
      <c r="B377" s="38"/>
    </row>
    <row r="378">
      <c r="A378" s="38"/>
      <c r="B378" s="38"/>
    </row>
    <row r="379">
      <c r="A379" s="38"/>
      <c r="B379" s="38"/>
    </row>
    <row r="380">
      <c r="A380" s="38"/>
      <c r="B380" s="38"/>
    </row>
    <row r="381">
      <c r="A381" s="38"/>
      <c r="B381" s="38"/>
    </row>
    <row r="382">
      <c r="A382" s="38"/>
      <c r="B382" s="38"/>
    </row>
    <row r="383">
      <c r="A383" s="38"/>
      <c r="B383" s="38"/>
    </row>
    <row r="384">
      <c r="A384" s="38"/>
      <c r="B384" s="38"/>
    </row>
    <row r="385">
      <c r="A385" s="38"/>
      <c r="B385" s="38"/>
    </row>
    <row r="386">
      <c r="A386" s="38"/>
      <c r="B386" s="38"/>
    </row>
    <row r="387">
      <c r="A387" s="38"/>
      <c r="B387" s="38"/>
    </row>
    <row r="388">
      <c r="A388" s="38"/>
      <c r="B388" s="38"/>
    </row>
    <row r="389">
      <c r="A389" s="38"/>
      <c r="B389" s="38"/>
    </row>
    <row r="390">
      <c r="A390" s="38"/>
      <c r="B390" s="38"/>
    </row>
    <row r="391">
      <c r="A391" s="38"/>
      <c r="B391" s="38"/>
    </row>
    <row r="392">
      <c r="A392" s="38"/>
      <c r="B392" s="38"/>
    </row>
    <row r="393">
      <c r="A393" s="38"/>
      <c r="B393" s="38"/>
    </row>
    <row r="394">
      <c r="A394" s="38"/>
      <c r="B394" s="38"/>
    </row>
    <row r="395">
      <c r="A395" s="38"/>
      <c r="B395" s="38"/>
    </row>
    <row r="396">
      <c r="A396" s="38"/>
      <c r="B396" s="38"/>
    </row>
    <row r="397">
      <c r="A397" s="38"/>
      <c r="B397" s="38"/>
    </row>
    <row r="398">
      <c r="A398" s="38"/>
      <c r="B398" s="38"/>
    </row>
    <row r="399">
      <c r="A399" s="38"/>
      <c r="B399" s="38"/>
    </row>
    <row r="400">
      <c r="A400" s="38"/>
      <c r="B400" s="38"/>
    </row>
    <row r="401">
      <c r="A401" s="38"/>
      <c r="B401" s="38"/>
    </row>
    <row r="402">
      <c r="A402" s="38"/>
      <c r="B402" s="38"/>
    </row>
    <row r="403">
      <c r="A403" s="38"/>
      <c r="B403" s="38"/>
    </row>
    <row r="404">
      <c r="A404" s="38"/>
      <c r="B404" s="38"/>
    </row>
    <row r="405">
      <c r="A405" s="38"/>
      <c r="B405" s="38"/>
    </row>
    <row r="406">
      <c r="A406" s="38"/>
      <c r="B406" s="38"/>
    </row>
    <row r="407">
      <c r="A407" s="38"/>
      <c r="B407" s="38"/>
    </row>
    <row r="408">
      <c r="A408" s="38"/>
      <c r="B408" s="38"/>
    </row>
    <row r="409">
      <c r="A409" s="38"/>
      <c r="B409" s="38"/>
    </row>
    <row r="410">
      <c r="A410" s="38"/>
      <c r="B410" s="38"/>
    </row>
    <row r="411">
      <c r="A411" s="38"/>
      <c r="B411" s="38"/>
    </row>
    <row r="412">
      <c r="A412" s="38"/>
      <c r="B412" s="38"/>
    </row>
    <row r="413">
      <c r="A413" s="38"/>
      <c r="B413" s="38"/>
    </row>
    <row r="414">
      <c r="A414" s="38"/>
      <c r="B414" s="38"/>
    </row>
    <row r="415">
      <c r="A415" s="38"/>
      <c r="B415" s="38"/>
    </row>
    <row r="416">
      <c r="A416" s="38"/>
      <c r="B416" s="38"/>
    </row>
    <row r="417">
      <c r="A417" s="38"/>
      <c r="B417" s="38"/>
    </row>
    <row r="418">
      <c r="A418" s="38"/>
      <c r="B418" s="38"/>
    </row>
    <row r="419">
      <c r="A419" s="38"/>
      <c r="B419" s="38"/>
    </row>
    <row r="420">
      <c r="A420" s="38"/>
      <c r="B420" s="38"/>
    </row>
    <row r="421">
      <c r="A421" s="38"/>
      <c r="B421" s="38"/>
    </row>
    <row r="422">
      <c r="A422" s="38"/>
      <c r="B422" s="38"/>
    </row>
    <row r="423">
      <c r="A423" s="38"/>
      <c r="B423" s="38"/>
    </row>
    <row r="424">
      <c r="A424" s="38"/>
      <c r="B424" s="38"/>
    </row>
    <row r="425">
      <c r="A425" s="38"/>
      <c r="B425" s="38"/>
    </row>
    <row r="426">
      <c r="A426" s="38"/>
      <c r="B426" s="38"/>
    </row>
    <row r="427">
      <c r="A427" s="38"/>
      <c r="B427" s="38"/>
    </row>
    <row r="428">
      <c r="A428" s="38"/>
      <c r="B428" s="38"/>
    </row>
    <row r="429">
      <c r="A429" s="38"/>
      <c r="B429" s="38"/>
    </row>
    <row r="430">
      <c r="A430" s="38"/>
      <c r="B430" s="38"/>
    </row>
    <row r="431">
      <c r="A431" s="38"/>
      <c r="B431" s="38"/>
    </row>
    <row r="432">
      <c r="A432" s="38"/>
      <c r="B432" s="38"/>
    </row>
    <row r="433">
      <c r="A433" s="38"/>
      <c r="B433" s="38"/>
    </row>
    <row r="434">
      <c r="A434" s="38"/>
      <c r="B434" s="38"/>
    </row>
    <row r="435">
      <c r="A435" s="38"/>
      <c r="B435" s="38"/>
    </row>
    <row r="436">
      <c r="A436" s="38"/>
      <c r="B436" s="38"/>
    </row>
    <row r="437">
      <c r="A437" s="38"/>
      <c r="B437" s="38"/>
    </row>
    <row r="438">
      <c r="A438" s="38"/>
      <c r="B438" s="38"/>
    </row>
    <row r="439">
      <c r="A439" s="38"/>
      <c r="B439" s="38"/>
    </row>
    <row r="440">
      <c r="A440" s="38"/>
      <c r="B440" s="38"/>
    </row>
    <row r="441">
      <c r="A441" s="38"/>
      <c r="B441" s="38"/>
    </row>
    <row r="442">
      <c r="A442" s="38"/>
      <c r="B442" s="38"/>
    </row>
    <row r="443">
      <c r="A443" s="38"/>
      <c r="B443" s="38"/>
    </row>
    <row r="444">
      <c r="A444" s="38"/>
      <c r="B444" s="38"/>
    </row>
    <row r="445">
      <c r="A445" s="38"/>
      <c r="B445" s="38"/>
    </row>
    <row r="446">
      <c r="A446" s="38"/>
      <c r="B446" s="38"/>
    </row>
    <row r="447">
      <c r="A447" s="38"/>
      <c r="B447" s="38"/>
    </row>
    <row r="448">
      <c r="A448" s="38"/>
      <c r="B448" s="38"/>
    </row>
    <row r="449">
      <c r="A449" s="38"/>
      <c r="B449" s="38"/>
    </row>
    <row r="450">
      <c r="A450" s="38"/>
      <c r="B450" s="38"/>
    </row>
    <row r="451">
      <c r="A451" s="38"/>
      <c r="B451" s="38"/>
    </row>
    <row r="452">
      <c r="A452" s="38"/>
      <c r="B452" s="38"/>
    </row>
    <row r="453">
      <c r="A453" s="38"/>
      <c r="B453" s="38"/>
    </row>
    <row r="454">
      <c r="A454" s="38"/>
      <c r="B454" s="38"/>
    </row>
    <row r="455">
      <c r="A455" s="38"/>
      <c r="B455" s="38"/>
    </row>
    <row r="456">
      <c r="A456" s="38"/>
      <c r="B456" s="38"/>
    </row>
    <row r="457">
      <c r="A457" s="38"/>
      <c r="B457" s="38"/>
    </row>
    <row r="458">
      <c r="A458" s="38"/>
      <c r="B458" s="38"/>
    </row>
    <row r="459">
      <c r="A459" s="38"/>
      <c r="B459" s="38"/>
    </row>
    <row r="460">
      <c r="A460" s="38"/>
      <c r="B460" s="38"/>
    </row>
    <row r="461">
      <c r="A461" s="38"/>
      <c r="B461" s="38"/>
    </row>
    <row r="462">
      <c r="A462" s="38"/>
      <c r="B462" s="38"/>
    </row>
    <row r="463">
      <c r="A463" s="38"/>
      <c r="B463" s="38"/>
    </row>
    <row r="464">
      <c r="A464" s="38"/>
      <c r="B464" s="38"/>
    </row>
    <row r="465">
      <c r="A465" s="38"/>
      <c r="B465" s="38"/>
    </row>
    <row r="466">
      <c r="A466" s="38"/>
      <c r="B466" s="38"/>
    </row>
    <row r="467">
      <c r="A467" s="38"/>
      <c r="B467" s="38"/>
    </row>
    <row r="468">
      <c r="A468" s="38"/>
      <c r="B468" s="38"/>
    </row>
    <row r="469">
      <c r="A469" s="38"/>
      <c r="B469" s="38"/>
    </row>
    <row r="470">
      <c r="A470" s="38"/>
      <c r="B470" s="38"/>
    </row>
    <row r="471">
      <c r="A471" s="38"/>
      <c r="B471" s="38"/>
    </row>
    <row r="472">
      <c r="A472" s="38"/>
      <c r="B472" s="38"/>
    </row>
    <row r="473">
      <c r="A473" s="38"/>
      <c r="B473" s="38"/>
    </row>
    <row r="474">
      <c r="A474" s="38"/>
      <c r="B474" s="38"/>
    </row>
    <row r="475">
      <c r="A475" s="38"/>
      <c r="B475" s="38"/>
    </row>
    <row r="476">
      <c r="A476" s="38"/>
      <c r="B476" s="38"/>
    </row>
    <row r="477">
      <c r="A477" s="38"/>
      <c r="B477" s="38"/>
    </row>
    <row r="478">
      <c r="A478" s="38"/>
      <c r="B478" s="38"/>
    </row>
    <row r="479">
      <c r="A479" s="38"/>
      <c r="B479" s="38"/>
    </row>
    <row r="480">
      <c r="A480" s="38"/>
      <c r="B480" s="38"/>
    </row>
    <row r="481">
      <c r="A481" s="38"/>
      <c r="B481" s="38"/>
    </row>
    <row r="482">
      <c r="A482" s="38"/>
      <c r="B482" s="38"/>
    </row>
    <row r="483">
      <c r="A483" s="38"/>
      <c r="B483" s="38"/>
    </row>
    <row r="484">
      <c r="A484" s="38"/>
      <c r="B484" s="38"/>
    </row>
    <row r="485">
      <c r="A485" s="38"/>
      <c r="B485" s="38"/>
    </row>
    <row r="486">
      <c r="A486" s="38"/>
      <c r="B486" s="38"/>
    </row>
    <row r="487">
      <c r="A487" s="38"/>
      <c r="B487" s="38"/>
    </row>
    <row r="488">
      <c r="A488" s="38"/>
      <c r="B488" s="38"/>
    </row>
    <row r="489">
      <c r="A489" s="38"/>
      <c r="B489" s="38"/>
    </row>
    <row r="490">
      <c r="A490" s="38"/>
      <c r="B490" s="38"/>
    </row>
    <row r="491">
      <c r="A491" s="38"/>
      <c r="B491" s="38"/>
    </row>
    <row r="492">
      <c r="A492" s="38"/>
      <c r="B492" s="38"/>
    </row>
    <row r="493">
      <c r="A493" s="38"/>
      <c r="B493" s="38"/>
    </row>
    <row r="494">
      <c r="A494" s="38"/>
      <c r="B494" s="38"/>
    </row>
    <row r="495">
      <c r="A495" s="38"/>
      <c r="B495" s="38"/>
    </row>
    <row r="496">
      <c r="A496" s="38"/>
      <c r="B496" s="38"/>
    </row>
    <row r="497">
      <c r="A497" s="38"/>
      <c r="B497" s="38"/>
    </row>
    <row r="498">
      <c r="A498" s="38"/>
      <c r="B498" s="38"/>
    </row>
    <row r="499">
      <c r="A499" s="38"/>
      <c r="B499" s="38"/>
    </row>
    <row r="500">
      <c r="A500" s="38"/>
      <c r="B500" s="3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13"/>
    <col customWidth="1" min="2" max="4" width="15.13"/>
    <col customWidth="1" min="5" max="5" width="22.0"/>
    <col customWidth="1" min="6" max="6" width="17.25"/>
    <col customWidth="1" min="7" max="7" width="24.38"/>
    <col customWidth="1" min="8" max="8" width="14.38"/>
    <col customWidth="1" min="9" max="9" width="13.38"/>
    <col customWidth="1" min="10" max="10" width="16.88"/>
    <col customWidth="1" min="13" max="13" width="18.5"/>
    <col customWidth="1" min="15" max="15" width="16.88"/>
  </cols>
  <sheetData>
    <row r="1" ht="15.75" customHeight="1">
      <c r="A1" s="176" t="s">
        <v>5625</v>
      </c>
      <c r="B1" s="176" t="s">
        <v>5626</v>
      </c>
      <c r="C1" s="176" t="s">
        <v>5627</v>
      </c>
      <c r="D1" s="176" t="s">
        <v>5628</v>
      </c>
      <c r="E1" s="176" t="s">
        <v>5629</v>
      </c>
      <c r="F1" s="149" t="s">
        <v>5630</v>
      </c>
      <c r="G1" s="149" t="s">
        <v>5631</v>
      </c>
      <c r="H1" s="149" t="s">
        <v>5632</v>
      </c>
      <c r="I1" s="149"/>
      <c r="J1" s="176"/>
      <c r="K1" s="149"/>
      <c r="L1" s="149"/>
      <c r="M1" s="149"/>
      <c r="N1" s="176"/>
      <c r="O1" s="176"/>
      <c r="P1" s="149"/>
      <c r="Q1" s="149"/>
      <c r="R1" s="149"/>
      <c r="S1" s="149"/>
      <c r="T1" s="149"/>
      <c r="U1" s="149"/>
      <c r="V1" s="149"/>
      <c r="W1" s="149"/>
      <c r="X1" s="149"/>
      <c r="Y1" s="149"/>
      <c r="Z1" s="149"/>
      <c r="AA1" s="149"/>
      <c r="AB1" s="149"/>
    </row>
    <row r="2" ht="15.75" customHeight="1">
      <c r="A2" s="177" t="s">
        <v>2384</v>
      </c>
      <c r="B2" s="177" t="s">
        <v>5633</v>
      </c>
      <c r="C2" s="177" t="s">
        <v>5634</v>
      </c>
      <c r="D2" s="177" t="s">
        <v>5635</v>
      </c>
      <c r="E2" s="178"/>
      <c r="F2" s="178"/>
      <c r="G2" s="178"/>
      <c r="H2" s="178"/>
      <c r="J2" s="72"/>
      <c r="N2" s="72"/>
      <c r="O2" s="72"/>
    </row>
    <row r="3" ht="15.75" customHeight="1">
      <c r="A3" s="177"/>
      <c r="B3" s="177"/>
      <c r="C3" s="177"/>
      <c r="D3" s="177"/>
      <c r="E3" s="178" t="s">
        <v>152</v>
      </c>
      <c r="F3" s="177" t="s">
        <v>155</v>
      </c>
      <c r="G3" s="178" t="s">
        <v>5636</v>
      </c>
      <c r="H3" s="179" t="s">
        <v>5637</v>
      </c>
      <c r="J3" s="58"/>
      <c r="N3" s="72"/>
      <c r="O3" s="72"/>
    </row>
    <row r="4" ht="15.75" customHeight="1">
      <c r="A4" s="180"/>
      <c r="B4" s="180"/>
      <c r="C4" s="180"/>
      <c r="D4" s="180"/>
      <c r="E4" s="178" t="s">
        <v>176</v>
      </c>
      <c r="F4" s="177" t="s">
        <v>179</v>
      </c>
      <c r="G4" s="178" t="s">
        <v>5638</v>
      </c>
      <c r="H4" s="179" t="s">
        <v>5639</v>
      </c>
      <c r="J4" s="72"/>
      <c r="N4" s="72"/>
      <c r="O4" s="72"/>
    </row>
    <row r="5" ht="15.75" customHeight="1">
      <c r="A5" s="180"/>
      <c r="B5" s="180"/>
      <c r="C5" s="180"/>
      <c r="D5" s="180"/>
      <c r="E5" s="178" t="s">
        <v>168</v>
      </c>
      <c r="F5" s="180" t="s">
        <v>171</v>
      </c>
      <c r="G5" s="178" t="s">
        <v>5640</v>
      </c>
      <c r="H5" s="179" t="s">
        <v>5641</v>
      </c>
      <c r="J5" s="72"/>
      <c r="N5" s="72"/>
      <c r="O5" s="72"/>
    </row>
    <row r="6" ht="15.75" customHeight="1">
      <c r="A6" s="180"/>
      <c r="B6" s="177"/>
      <c r="C6" s="177"/>
      <c r="D6" s="177"/>
      <c r="E6" s="178" t="s">
        <v>90</v>
      </c>
      <c r="F6" s="180" t="s">
        <v>92</v>
      </c>
      <c r="G6" s="178" t="s">
        <v>5642</v>
      </c>
      <c r="H6" s="179" t="s">
        <v>5643</v>
      </c>
      <c r="J6" s="72"/>
      <c r="N6" s="72"/>
      <c r="O6" s="72"/>
    </row>
    <row r="7" ht="15.75" customHeight="1">
      <c r="A7" s="177"/>
      <c r="B7" s="177"/>
      <c r="C7" s="177"/>
      <c r="D7" s="177"/>
      <c r="E7" s="178" t="s">
        <v>122</v>
      </c>
      <c r="F7" s="177" t="s">
        <v>125</v>
      </c>
      <c r="G7" s="178" t="s">
        <v>5644</v>
      </c>
      <c r="H7" s="179" t="s">
        <v>5645</v>
      </c>
      <c r="J7" s="72"/>
      <c r="N7" s="72"/>
      <c r="O7" s="72"/>
    </row>
    <row r="8" ht="15.75" customHeight="1">
      <c r="A8" s="177"/>
      <c r="B8" s="177"/>
      <c r="C8" s="177"/>
      <c r="D8" s="177"/>
      <c r="E8" s="178" t="s">
        <v>160</v>
      </c>
      <c r="F8" s="177" t="s">
        <v>163</v>
      </c>
      <c r="G8" s="178" t="s">
        <v>5646</v>
      </c>
      <c r="H8" s="179" t="s">
        <v>5647</v>
      </c>
      <c r="J8" s="72"/>
      <c r="N8" s="58"/>
      <c r="O8" s="58"/>
    </row>
    <row r="9" ht="15.75" customHeight="1">
      <c r="A9" s="177"/>
      <c r="B9" s="177"/>
      <c r="C9" s="177"/>
      <c r="D9" s="177"/>
      <c r="E9" s="178" t="s">
        <v>67</v>
      </c>
      <c r="F9" s="177" t="s">
        <v>70</v>
      </c>
      <c r="G9" s="178" t="s">
        <v>5648</v>
      </c>
      <c r="H9" s="179" t="s">
        <v>5649</v>
      </c>
      <c r="J9" s="72"/>
      <c r="N9" s="72"/>
      <c r="O9" s="72"/>
    </row>
    <row r="10" ht="15.75" customHeight="1">
      <c r="A10" s="178"/>
      <c r="B10" s="178"/>
      <c r="C10" s="178"/>
      <c r="D10" s="178"/>
      <c r="E10" s="178" t="s">
        <v>1389</v>
      </c>
      <c r="F10" s="177" t="s">
        <v>1392</v>
      </c>
      <c r="G10" s="178" t="s">
        <v>1392</v>
      </c>
      <c r="H10" s="179" t="s">
        <v>5650</v>
      </c>
      <c r="J10" s="72"/>
      <c r="N10" s="72"/>
      <c r="O10" s="72"/>
    </row>
    <row r="11" ht="15.75" customHeight="1">
      <c r="A11" s="179"/>
      <c r="B11" s="179"/>
      <c r="C11" s="179"/>
      <c r="D11" s="179"/>
      <c r="E11" s="178" t="s">
        <v>1128</v>
      </c>
      <c r="F11" s="178" t="s">
        <v>1131</v>
      </c>
      <c r="G11" s="178" t="s">
        <v>5651</v>
      </c>
      <c r="H11" s="179" t="s">
        <v>5652</v>
      </c>
      <c r="J11" s="58"/>
      <c r="N11" s="72"/>
      <c r="O11" s="72"/>
    </row>
    <row r="12" ht="15.75" customHeight="1">
      <c r="A12" s="179"/>
      <c r="B12" s="177"/>
      <c r="C12" s="177"/>
      <c r="D12" s="177"/>
      <c r="E12" s="178" t="s">
        <v>21</v>
      </c>
      <c r="F12" s="177" t="s">
        <v>24</v>
      </c>
      <c r="G12" s="178" t="s">
        <v>5653</v>
      </c>
      <c r="H12" s="179" t="s">
        <v>5654</v>
      </c>
      <c r="J12" s="58"/>
      <c r="N12" s="72"/>
      <c r="O12" s="72"/>
    </row>
    <row r="13" ht="15.75" customHeight="1">
      <c r="A13" s="178"/>
      <c r="B13" s="178"/>
      <c r="C13" s="178"/>
      <c r="D13" s="178"/>
      <c r="E13" s="178" t="s">
        <v>41</v>
      </c>
      <c r="F13" s="177" t="s">
        <v>44</v>
      </c>
      <c r="G13" s="178" t="s">
        <v>5655</v>
      </c>
      <c r="H13" s="179" t="s">
        <v>5656</v>
      </c>
      <c r="J13" s="72"/>
      <c r="N13" s="72"/>
      <c r="O13" s="72"/>
    </row>
    <row r="14" ht="15.75" customHeight="1">
      <c r="A14" s="181" t="s">
        <v>2390</v>
      </c>
      <c r="B14" s="181" t="s">
        <v>5657</v>
      </c>
      <c r="C14" s="181" t="s">
        <v>5658</v>
      </c>
      <c r="D14" s="181" t="s">
        <v>5659</v>
      </c>
      <c r="E14" s="182"/>
      <c r="F14" s="182"/>
      <c r="G14" s="182"/>
      <c r="H14" s="182"/>
    </row>
    <row r="15" ht="15.75" customHeight="1">
      <c r="A15" s="181"/>
      <c r="B15" s="181"/>
      <c r="C15" s="181"/>
      <c r="D15" s="181"/>
      <c r="E15" s="182" t="s">
        <v>558</v>
      </c>
      <c r="F15" s="181" t="s">
        <v>561</v>
      </c>
      <c r="G15" s="182" t="s">
        <v>561</v>
      </c>
      <c r="H15" s="183" t="s">
        <v>5660</v>
      </c>
    </row>
    <row r="16" ht="15.75" customHeight="1">
      <c r="A16" s="181"/>
      <c r="B16" s="181"/>
      <c r="C16" s="181"/>
      <c r="D16" s="181"/>
      <c r="E16" s="183" t="s">
        <v>395</v>
      </c>
      <c r="F16" s="183" t="s">
        <v>397</v>
      </c>
      <c r="G16" s="182" t="s">
        <v>5661</v>
      </c>
      <c r="H16" s="182" t="s">
        <v>5662</v>
      </c>
    </row>
    <row r="17" ht="15.75" customHeight="1">
      <c r="A17" s="181"/>
      <c r="B17" s="181"/>
      <c r="C17" s="181"/>
      <c r="D17" s="181"/>
      <c r="E17" s="183" t="s">
        <v>184</v>
      </c>
      <c r="F17" s="181" t="s">
        <v>187</v>
      </c>
      <c r="G17" s="181" t="s">
        <v>5663</v>
      </c>
      <c r="H17" s="182" t="s">
        <v>5664</v>
      </c>
    </row>
    <row r="18" ht="15.75" customHeight="1">
      <c r="A18" s="184" t="s">
        <v>129</v>
      </c>
      <c r="B18" s="184" t="s">
        <v>459</v>
      </c>
      <c r="C18" s="184" t="s">
        <v>5665</v>
      </c>
      <c r="D18" s="184" t="s">
        <v>5666</v>
      </c>
      <c r="E18" s="185"/>
      <c r="F18" s="185"/>
      <c r="G18" s="185"/>
      <c r="H18" s="185"/>
    </row>
    <row r="19" ht="15.75" customHeight="1">
      <c r="A19" s="72"/>
      <c r="B19" s="72"/>
      <c r="C19" s="72"/>
      <c r="D19" s="72"/>
      <c r="F19" s="72"/>
    </row>
    <row r="20" ht="15.75" customHeight="1">
      <c r="A20" s="72"/>
      <c r="B20" s="72"/>
      <c r="C20" s="72"/>
      <c r="D20" s="72"/>
      <c r="E20" s="72"/>
    </row>
    <row r="21" ht="15.75" customHeight="1">
      <c r="A21" s="72"/>
      <c r="B21" s="72"/>
      <c r="C21" s="72"/>
      <c r="D21" s="72"/>
    </row>
    <row r="22" ht="15.75" customHeight="1">
      <c r="A22" s="72"/>
      <c r="B22" s="72"/>
      <c r="C22" s="72"/>
      <c r="D22" s="72"/>
    </row>
    <row r="23" ht="15.75" customHeight="1">
      <c r="A23" s="72"/>
      <c r="B23" s="72"/>
      <c r="C23" s="72"/>
      <c r="D23" s="72"/>
    </row>
    <row r="24" ht="15.75" customHeight="1">
      <c r="A24" s="72"/>
      <c r="B24" s="72"/>
      <c r="C24" s="72"/>
      <c r="D24" s="72"/>
      <c r="E24" s="72"/>
    </row>
    <row r="25" ht="15.75" customHeight="1">
      <c r="A25" s="72"/>
      <c r="B25" s="72"/>
      <c r="C25" s="72"/>
      <c r="D25" s="72"/>
      <c r="E25" s="72"/>
    </row>
    <row r="26" ht="15.75" customHeight="1">
      <c r="A26" s="72"/>
      <c r="B26" s="72"/>
      <c r="C26" s="72"/>
      <c r="D26" s="72"/>
      <c r="E26" s="72"/>
    </row>
    <row r="27" ht="15.75" customHeight="1">
      <c r="A27" s="72"/>
      <c r="B27" s="72"/>
      <c r="C27" s="72"/>
      <c r="D27" s="72"/>
      <c r="E27" s="72"/>
    </row>
    <row r="28" ht="15.75" customHeight="1">
      <c r="A28" s="72"/>
      <c r="B28" s="72"/>
      <c r="C28" s="72"/>
      <c r="D28" s="72"/>
      <c r="E28" s="72"/>
    </row>
    <row r="29" ht="15.75" customHeight="1">
      <c r="A29" s="72"/>
      <c r="B29" s="72"/>
      <c r="C29" s="72"/>
      <c r="D29" s="72"/>
      <c r="E29" s="72"/>
    </row>
    <row r="30" ht="15.75" customHeight="1">
      <c r="A30" s="72"/>
      <c r="B30" s="72"/>
      <c r="C30" s="72"/>
      <c r="D30" s="72"/>
      <c r="E30" s="72"/>
    </row>
    <row r="31" ht="15.75" customHeight="1">
      <c r="A31" s="72"/>
      <c r="B31" s="72"/>
      <c r="C31" s="72"/>
      <c r="D31" s="72"/>
      <c r="E31" s="72"/>
    </row>
    <row r="32" ht="15.75" customHeight="1">
      <c r="A32" s="72"/>
      <c r="B32" s="72"/>
      <c r="C32" s="72"/>
      <c r="D32" s="72"/>
      <c r="E32" s="72"/>
    </row>
    <row r="33" ht="15.75" customHeight="1">
      <c r="A33" s="72"/>
      <c r="B33" s="72"/>
      <c r="C33" s="72"/>
      <c r="D33" s="72"/>
      <c r="E33" s="72"/>
    </row>
    <row r="34" ht="15.75" customHeight="1">
      <c r="A34" s="72"/>
      <c r="B34" s="72"/>
      <c r="C34" s="72"/>
      <c r="D34" s="72"/>
      <c r="E34" s="72"/>
    </row>
    <row r="35" ht="15.75" customHeight="1">
      <c r="A35" s="72"/>
      <c r="B35" s="72"/>
      <c r="C35" s="72"/>
      <c r="D35" s="72"/>
      <c r="E35" s="72"/>
    </row>
    <row r="36" ht="15.75" customHeight="1">
      <c r="A36" s="72"/>
      <c r="B36" s="72"/>
      <c r="C36" s="72"/>
      <c r="D36" s="72"/>
      <c r="E36" s="72"/>
    </row>
    <row r="37" ht="15.75" customHeight="1">
      <c r="A37" s="72"/>
      <c r="B37" s="72"/>
      <c r="C37" s="72"/>
      <c r="D37" s="72"/>
      <c r="E37" s="72"/>
    </row>
    <row r="38" ht="15.75" customHeight="1">
      <c r="A38" s="72"/>
      <c r="B38" s="72"/>
      <c r="C38" s="72"/>
      <c r="D38" s="72"/>
      <c r="E38" s="72"/>
    </row>
    <row r="39" ht="15.75" customHeight="1">
      <c r="A39" s="72"/>
      <c r="B39" s="72"/>
      <c r="C39" s="72"/>
      <c r="D39" s="72"/>
      <c r="E39" s="72"/>
    </row>
    <row r="40" ht="15.75" customHeight="1">
      <c r="A40" s="72"/>
      <c r="B40" s="72"/>
      <c r="C40" s="72"/>
      <c r="D40" s="72"/>
      <c r="E40" s="72"/>
    </row>
    <row r="41" ht="15.75" customHeight="1">
      <c r="A41" s="72"/>
      <c r="B41" s="72"/>
      <c r="C41" s="72"/>
      <c r="D41" s="72"/>
      <c r="E41" s="72"/>
    </row>
    <row r="42" ht="15.75" customHeight="1">
      <c r="A42" s="72"/>
      <c r="B42" s="72"/>
      <c r="C42" s="72"/>
      <c r="D42" s="72"/>
      <c r="E42" s="72"/>
    </row>
    <row r="43" ht="15.75" customHeight="1">
      <c r="A43" s="72"/>
      <c r="B43" s="72"/>
      <c r="C43" s="72"/>
      <c r="D43" s="72"/>
      <c r="E43" s="72"/>
    </row>
    <row r="44" ht="15.75" customHeight="1">
      <c r="A44" s="72"/>
      <c r="B44" s="72"/>
      <c r="C44" s="72"/>
      <c r="D44" s="72"/>
      <c r="E44" s="72"/>
    </row>
    <row r="45" ht="15.75" customHeight="1">
      <c r="A45" s="72"/>
      <c r="B45" s="72"/>
      <c r="C45" s="72"/>
      <c r="D45" s="72"/>
      <c r="E45" s="72"/>
    </row>
    <row r="46" ht="15.75" customHeight="1">
      <c r="A46" s="72"/>
      <c r="B46" s="72"/>
      <c r="C46" s="72"/>
      <c r="D46" s="72"/>
      <c r="E46" s="72"/>
    </row>
    <row r="47" ht="15.75" customHeight="1">
      <c r="A47" s="72"/>
      <c r="B47" s="72"/>
      <c r="C47" s="72"/>
      <c r="D47" s="72"/>
      <c r="E47" s="72"/>
    </row>
    <row r="48" ht="15.75" customHeight="1">
      <c r="A48" s="72"/>
      <c r="B48" s="72"/>
      <c r="C48" s="72"/>
      <c r="D48" s="72"/>
      <c r="E48" s="72"/>
    </row>
    <row r="49" ht="15.75" customHeight="1">
      <c r="A49" s="72"/>
      <c r="B49" s="72"/>
      <c r="C49" s="72"/>
      <c r="D49" s="72"/>
      <c r="E49" s="72"/>
    </row>
    <row r="50" ht="15.75" customHeight="1">
      <c r="A50" s="72"/>
      <c r="B50" s="72"/>
      <c r="C50" s="72"/>
      <c r="D50" s="72"/>
      <c r="E50" s="72"/>
    </row>
    <row r="51" ht="15.75" customHeight="1">
      <c r="A51" s="72"/>
      <c r="B51" s="72"/>
      <c r="C51" s="72"/>
      <c r="D51" s="72"/>
      <c r="E51" s="72"/>
    </row>
    <row r="52" ht="15.75" customHeight="1">
      <c r="A52" s="72"/>
      <c r="B52" s="72"/>
      <c r="C52" s="72"/>
      <c r="D52" s="72"/>
      <c r="E52" s="72"/>
    </row>
    <row r="53" ht="15.75" customHeight="1">
      <c r="A53" s="72"/>
      <c r="B53" s="72"/>
      <c r="C53" s="72"/>
      <c r="D53" s="72"/>
      <c r="E53" s="72"/>
    </row>
    <row r="54" ht="15.75" customHeight="1">
      <c r="A54" s="72"/>
      <c r="B54" s="72"/>
      <c r="C54" s="72"/>
      <c r="D54" s="72"/>
      <c r="E54" s="72"/>
    </row>
    <row r="55" ht="15.75" customHeight="1">
      <c r="A55" s="72"/>
      <c r="B55" s="72"/>
      <c r="C55" s="72"/>
      <c r="D55" s="72"/>
      <c r="E55" s="72"/>
    </row>
    <row r="56" ht="15.75" customHeight="1">
      <c r="A56" s="72"/>
      <c r="B56" s="72"/>
      <c r="C56" s="72"/>
      <c r="D56" s="72"/>
      <c r="E56" s="72"/>
    </row>
    <row r="57" ht="15.75" customHeight="1">
      <c r="A57" s="72"/>
      <c r="B57" s="72"/>
      <c r="C57" s="72"/>
      <c r="D57" s="72"/>
      <c r="E57" s="72"/>
    </row>
    <row r="58" ht="15.75" customHeight="1">
      <c r="A58" s="72"/>
      <c r="B58" s="72"/>
      <c r="C58" s="72"/>
      <c r="D58" s="72"/>
      <c r="E58" s="72"/>
    </row>
    <row r="59" ht="15.75" customHeight="1">
      <c r="A59" s="58"/>
      <c r="B59" s="58"/>
      <c r="C59" s="58"/>
      <c r="D59" s="58"/>
      <c r="E59" s="58"/>
    </row>
    <row r="60" ht="15.75" customHeight="1">
      <c r="A60" s="58"/>
      <c r="B60" s="58"/>
      <c r="C60" s="58"/>
      <c r="D60" s="58"/>
      <c r="E60" s="58"/>
    </row>
    <row r="61" ht="15.75" customHeight="1">
      <c r="A61" s="72"/>
      <c r="B61" s="72"/>
      <c r="C61" s="72"/>
      <c r="D61" s="72"/>
      <c r="E61" s="72"/>
    </row>
    <row r="62" ht="15.75" customHeight="1">
      <c r="A62" s="72"/>
      <c r="B62" s="72"/>
      <c r="C62" s="72"/>
      <c r="D62" s="72"/>
      <c r="E62" s="72"/>
    </row>
    <row r="63" ht="15.75" customHeight="1">
      <c r="A63" s="72"/>
      <c r="B63" s="72"/>
      <c r="C63" s="72"/>
      <c r="D63" s="72"/>
      <c r="E63" s="72"/>
    </row>
    <row r="64" ht="15.75" customHeight="1">
      <c r="A64" s="72"/>
      <c r="B64" s="72"/>
      <c r="C64" s="72"/>
      <c r="D64" s="72"/>
      <c r="E64" s="72"/>
    </row>
    <row r="65" ht="15.75" customHeight="1">
      <c r="A65" s="72"/>
      <c r="B65" s="72"/>
      <c r="C65" s="72"/>
      <c r="D65" s="72"/>
      <c r="E65" s="72"/>
    </row>
    <row r="66" ht="15.75" customHeight="1">
      <c r="A66" s="72"/>
      <c r="B66" s="72"/>
      <c r="C66" s="72"/>
      <c r="D66" s="72"/>
      <c r="E66" s="72"/>
    </row>
    <row r="67" ht="15.75" customHeight="1">
      <c r="A67" s="72"/>
      <c r="B67" s="72"/>
      <c r="C67" s="72"/>
      <c r="D67" s="72"/>
      <c r="E67" s="72"/>
    </row>
    <row r="68" ht="15.75" customHeight="1">
      <c r="A68" s="72"/>
      <c r="B68" s="72"/>
      <c r="C68" s="72"/>
      <c r="D68" s="72"/>
      <c r="E68" s="72"/>
    </row>
    <row r="69" ht="15.75" customHeight="1">
      <c r="A69" s="72"/>
      <c r="B69" s="72"/>
      <c r="C69" s="72"/>
      <c r="D69" s="72"/>
      <c r="E69" s="72"/>
    </row>
    <row r="70" ht="15.75" customHeight="1">
      <c r="A70" s="72"/>
      <c r="B70" s="72"/>
      <c r="C70" s="72"/>
      <c r="D70" s="72"/>
      <c r="E70" s="72"/>
    </row>
    <row r="71" ht="15.75" customHeight="1">
      <c r="A71" s="72"/>
      <c r="B71" s="72"/>
      <c r="C71" s="72"/>
      <c r="D71" s="72"/>
      <c r="E71" s="72"/>
    </row>
    <row r="72" ht="15.75" customHeight="1">
      <c r="A72" s="72"/>
      <c r="B72" s="72"/>
      <c r="C72" s="72"/>
      <c r="D72" s="72"/>
      <c r="E72" s="72"/>
    </row>
    <row r="73" ht="15.75" customHeight="1">
      <c r="A73" s="72"/>
      <c r="B73" s="72"/>
      <c r="C73" s="72"/>
      <c r="D73" s="72"/>
      <c r="E73" s="72"/>
    </row>
    <row r="74" ht="15.75" customHeight="1">
      <c r="A74" s="72"/>
      <c r="B74" s="72"/>
      <c r="C74" s="72"/>
      <c r="D74" s="72"/>
      <c r="E74" s="72"/>
    </row>
    <row r="75" ht="15.75" customHeight="1">
      <c r="A75" s="72"/>
      <c r="B75" s="72"/>
      <c r="C75" s="72"/>
      <c r="D75" s="72"/>
      <c r="E75" s="72"/>
    </row>
    <row r="76" ht="15.75" customHeight="1">
      <c r="A76" s="72"/>
      <c r="B76" s="72"/>
      <c r="C76" s="72"/>
      <c r="D76" s="72"/>
      <c r="E76" s="72"/>
    </row>
    <row r="77" ht="15.75" customHeight="1">
      <c r="A77" s="72"/>
      <c r="B77" s="72"/>
      <c r="C77" s="72"/>
      <c r="D77" s="72"/>
      <c r="E77" s="72"/>
    </row>
    <row r="78" ht="15.75" customHeight="1">
      <c r="A78" s="72"/>
      <c r="B78" s="72"/>
      <c r="C78" s="72"/>
      <c r="D78" s="72"/>
      <c r="E78" s="72"/>
    </row>
    <row r="79" ht="15.75" customHeight="1">
      <c r="A79" s="72"/>
      <c r="B79" s="72"/>
      <c r="C79" s="72"/>
      <c r="D79" s="72"/>
      <c r="E79" s="72"/>
    </row>
    <row r="80" ht="15.75" customHeight="1">
      <c r="A80" s="72"/>
      <c r="B80" s="72"/>
      <c r="C80" s="72"/>
      <c r="D80" s="72"/>
      <c r="E80" s="72"/>
    </row>
    <row r="81" ht="15.75" customHeight="1">
      <c r="A81" s="72"/>
      <c r="B81" s="72"/>
      <c r="C81" s="72"/>
      <c r="D81" s="72"/>
      <c r="E81" s="72"/>
    </row>
    <row r="82" ht="15.75" customHeight="1">
      <c r="A82" s="72"/>
      <c r="B82" s="72"/>
      <c r="C82" s="72"/>
      <c r="D82" s="72"/>
      <c r="E82" s="72"/>
    </row>
    <row r="83" ht="15.75" customHeight="1">
      <c r="A83" s="72"/>
      <c r="B83" s="72"/>
      <c r="C83" s="72"/>
      <c r="D83" s="72"/>
      <c r="E83" s="72"/>
    </row>
    <row r="84" ht="15.75" customHeight="1">
      <c r="A84" s="72"/>
      <c r="B84" s="72"/>
      <c r="C84" s="72"/>
      <c r="D84" s="72"/>
      <c r="E84" s="72"/>
    </row>
    <row r="85" ht="15.75" customHeight="1">
      <c r="A85" s="72"/>
      <c r="B85" s="72"/>
      <c r="C85" s="72"/>
      <c r="D85" s="72"/>
      <c r="E85" s="72"/>
    </row>
    <row r="86" ht="15.75" customHeight="1">
      <c r="A86" s="72"/>
      <c r="B86" s="72"/>
      <c r="C86" s="72"/>
      <c r="D86" s="72"/>
      <c r="E86" s="72"/>
    </row>
    <row r="87" ht="15.75" customHeight="1">
      <c r="A87" s="72"/>
      <c r="B87" s="72"/>
      <c r="C87" s="72"/>
      <c r="D87" s="72"/>
      <c r="E87" s="72"/>
    </row>
    <row r="88" ht="15.75" customHeight="1">
      <c r="A88" s="72"/>
      <c r="B88" s="72"/>
      <c r="C88" s="72"/>
      <c r="D88" s="72"/>
      <c r="E88" s="72"/>
    </row>
    <row r="89" ht="15.75" customHeight="1">
      <c r="A89" s="72"/>
      <c r="B89" s="72"/>
      <c r="C89" s="72"/>
      <c r="D89" s="72"/>
      <c r="E89" s="72"/>
    </row>
    <row r="90" ht="15.75" customHeight="1">
      <c r="A90" s="72"/>
      <c r="B90" s="72"/>
      <c r="C90" s="72"/>
      <c r="D90" s="72"/>
      <c r="E90" s="72"/>
    </row>
    <row r="91" ht="15.75" customHeight="1">
      <c r="A91" s="72"/>
      <c r="B91" s="72"/>
      <c r="C91" s="72"/>
      <c r="D91" s="72"/>
      <c r="E91" s="72"/>
    </row>
    <row r="92" ht="15.75" customHeight="1">
      <c r="A92" s="72"/>
      <c r="B92" s="72"/>
      <c r="C92" s="72"/>
      <c r="D92" s="72"/>
      <c r="E92" s="72"/>
    </row>
    <row r="93" ht="15.75" customHeight="1">
      <c r="A93" s="72"/>
      <c r="B93" s="72"/>
      <c r="C93" s="72"/>
      <c r="D93" s="72"/>
      <c r="E93" s="72"/>
    </row>
    <row r="94" ht="15.75" customHeight="1">
      <c r="A94" s="72"/>
      <c r="B94" s="72"/>
      <c r="C94" s="72"/>
      <c r="D94" s="72"/>
      <c r="E94" s="72"/>
    </row>
    <row r="95" ht="15.75" customHeight="1">
      <c r="A95" s="72"/>
      <c r="B95" s="72"/>
      <c r="C95" s="72"/>
      <c r="D95" s="72"/>
      <c r="E95" s="72"/>
    </row>
    <row r="96" ht="15.75" customHeight="1">
      <c r="A96" s="72"/>
      <c r="B96" s="72"/>
      <c r="C96" s="72"/>
      <c r="D96" s="72"/>
      <c r="E96" s="72"/>
    </row>
    <row r="97" ht="15.75" customHeight="1">
      <c r="A97" s="72"/>
      <c r="B97" s="72"/>
      <c r="C97" s="72"/>
      <c r="D97" s="72"/>
      <c r="E97" s="72"/>
    </row>
    <row r="98" ht="15.75" customHeight="1">
      <c r="A98" s="72"/>
      <c r="B98" s="72"/>
      <c r="C98" s="72"/>
      <c r="D98" s="72"/>
      <c r="E98" s="72"/>
    </row>
    <row r="99" ht="15.75" customHeight="1">
      <c r="A99" s="72"/>
      <c r="B99" s="72"/>
      <c r="C99" s="72"/>
      <c r="D99" s="72"/>
      <c r="E99" s="72"/>
    </row>
    <row r="100" ht="15.75" customHeight="1">
      <c r="A100" s="72"/>
      <c r="B100" s="72"/>
      <c r="C100" s="72"/>
      <c r="D100" s="72"/>
      <c r="E100" s="72"/>
    </row>
    <row r="101" ht="15.75" customHeight="1">
      <c r="A101" s="72"/>
      <c r="B101" s="72"/>
      <c r="C101" s="72"/>
      <c r="D101" s="72"/>
      <c r="E101" s="72"/>
    </row>
    <row r="102" ht="15.75" customHeight="1">
      <c r="A102" s="72"/>
      <c r="B102" s="72"/>
      <c r="C102" s="72"/>
      <c r="D102" s="72"/>
      <c r="E102" s="72"/>
    </row>
    <row r="103" ht="15.75" customHeight="1">
      <c r="A103" s="72"/>
      <c r="B103" s="72"/>
      <c r="C103" s="72"/>
      <c r="D103" s="72"/>
      <c r="E103" s="72"/>
    </row>
    <row r="104" ht="15.75" customHeight="1">
      <c r="A104" s="72"/>
      <c r="B104" s="72"/>
      <c r="C104" s="72"/>
      <c r="D104" s="72"/>
      <c r="E104" s="72"/>
    </row>
    <row r="105" ht="15.75" customHeight="1">
      <c r="A105" s="72"/>
      <c r="B105" s="72"/>
      <c r="C105" s="72"/>
      <c r="D105" s="72"/>
      <c r="E105" s="72"/>
    </row>
    <row r="106" ht="15.75" customHeight="1">
      <c r="A106" s="72"/>
      <c r="B106" s="72"/>
      <c r="C106" s="72"/>
      <c r="D106" s="72"/>
      <c r="E106" s="72"/>
    </row>
    <row r="107" ht="15.75" customHeight="1">
      <c r="A107" s="72"/>
      <c r="B107" s="72"/>
      <c r="C107" s="72"/>
      <c r="D107" s="72"/>
      <c r="E107" s="72"/>
    </row>
    <row r="108" ht="15.75" customHeight="1">
      <c r="A108" s="72"/>
      <c r="B108" s="72"/>
      <c r="C108" s="72"/>
      <c r="D108" s="72"/>
      <c r="E108" s="72"/>
    </row>
    <row r="109" ht="15.75" customHeight="1">
      <c r="A109" s="72"/>
      <c r="B109" s="72"/>
      <c r="C109" s="72"/>
      <c r="D109" s="72"/>
      <c r="E109" s="72"/>
    </row>
    <row r="110" ht="15.75" customHeight="1">
      <c r="A110" s="72"/>
      <c r="B110" s="72"/>
      <c r="C110" s="72"/>
      <c r="D110" s="72"/>
      <c r="E110" s="72"/>
    </row>
    <row r="111" ht="15.75" customHeight="1">
      <c r="A111" s="72"/>
      <c r="B111" s="72"/>
      <c r="C111" s="72"/>
      <c r="D111" s="72"/>
      <c r="E111" s="72"/>
    </row>
    <row r="112" ht="15.75" customHeight="1">
      <c r="A112" s="72"/>
      <c r="B112" s="72"/>
      <c r="C112" s="72"/>
      <c r="D112" s="72"/>
      <c r="E112" s="72"/>
    </row>
    <row r="113" ht="15.75" customHeight="1">
      <c r="A113" s="72"/>
      <c r="B113" s="72"/>
      <c r="C113" s="72"/>
      <c r="D113" s="72"/>
      <c r="E113" s="72"/>
    </row>
    <row r="114" ht="15.75" customHeight="1">
      <c r="A114" s="72"/>
      <c r="B114" s="72"/>
      <c r="C114" s="72"/>
      <c r="D114" s="72"/>
      <c r="E114" s="72"/>
    </row>
    <row r="115" ht="15.75" customHeight="1">
      <c r="A115" s="72"/>
      <c r="B115" s="72"/>
      <c r="C115" s="72"/>
      <c r="D115" s="72"/>
      <c r="E115" s="72"/>
    </row>
    <row r="116" ht="15.75" customHeight="1">
      <c r="A116" s="72"/>
      <c r="B116" s="72"/>
      <c r="C116" s="72"/>
      <c r="D116" s="72"/>
      <c r="E116" s="72"/>
    </row>
    <row r="117" ht="15.75" customHeight="1">
      <c r="A117" s="72"/>
      <c r="B117" s="72"/>
      <c r="C117" s="72"/>
      <c r="D117" s="72"/>
      <c r="E117" s="72"/>
    </row>
    <row r="118" ht="15.75" customHeight="1">
      <c r="A118" s="72"/>
      <c r="B118" s="72"/>
      <c r="C118" s="72"/>
      <c r="D118" s="72"/>
      <c r="E118" s="72"/>
    </row>
    <row r="119" ht="15.75" customHeight="1">
      <c r="A119" s="72"/>
      <c r="B119" s="72"/>
      <c r="C119" s="72"/>
      <c r="D119" s="72"/>
      <c r="E119" s="72"/>
    </row>
    <row r="120" ht="15.75" customHeight="1">
      <c r="A120" s="72"/>
      <c r="B120" s="72"/>
      <c r="C120" s="72"/>
      <c r="D120" s="72"/>
      <c r="E120" s="72"/>
    </row>
    <row r="121" ht="15.75" customHeight="1">
      <c r="A121" s="72"/>
      <c r="B121" s="72"/>
      <c r="C121" s="72"/>
      <c r="D121" s="72"/>
      <c r="E121" s="72"/>
    </row>
    <row r="122" ht="15.75" customHeight="1">
      <c r="A122" s="72"/>
      <c r="B122" s="72"/>
      <c r="C122" s="72"/>
      <c r="D122" s="72"/>
      <c r="E122" s="72"/>
    </row>
    <row r="123" ht="15.75" customHeight="1">
      <c r="A123" s="72"/>
      <c r="B123" s="72"/>
      <c r="C123" s="72"/>
      <c r="D123" s="72"/>
      <c r="E123" s="72"/>
    </row>
    <row r="124" ht="15.75" customHeight="1">
      <c r="A124" s="72"/>
      <c r="B124" s="72"/>
      <c r="C124" s="72"/>
      <c r="D124" s="72"/>
      <c r="E124" s="72"/>
    </row>
    <row r="125" ht="15.75" customHeight="1">
      <c r="A125" s="72"/>
      <c r="B125" s="72"/>
      <c r="C125" s="72"/>
      <c r="D125" s="72"/>
      <c r="E125" s="72"/>
    </row>
    <row r="126" ht="15.75" customHeight="1">
      <c r="A126" s="72"/>
      <c r="B126" s="72"/>
      <c r="C126" s="72"/>
      <c r="D126" s="72"/>
      <c r="E126" s="72"/>
    </row>
    <row r="127" ht="15.75" customHeight="1">
      <c r="A127" s="72"/>
      <c r="B127" s="72"/>
      <c r="C127" s="72"/>
      <c r="D127" s="72"/>
      <c r="E127" s="72"/>
    </row>
    <row r="128" ht="15.75" customHeight="1">
      <c r="A128" s="72"/>
      <c r="B128" s="72"/>
      <c r="C128" s="72"/>
      <c r="D128" s="72"/>
      <c r="E128" s="72"/>
    </row>
    <row r="129" ht="15.75" customHeight="1">
      <c r="A129" s="72"/>
      <c r="B129" s="72"/>
      <c r="C129" s="72"/>
      <c r="D129" s="72"/>
      <c r="E129" s="72"/>
    </row>
    <row r="130" ht="15.75" customHeight="1">
      <c r="A130" s="72"/>
      <c r="B130" s="72"/>
      <c r="C130" s="72"/>
      <c r="D130" s="72"/>
      <c r="E130" s="72"/>
    </row>
    <row r="131" ht="15.75" customHeight="1">
      <c r="A131" s="72"/>
      <c r="B131" s="72"/>
      <c r="C131" s="72"/>
      <c r="D131" s="72"/>
      <c r="E131" s="72"/>
    </row>
    <row r="132" ht="15.75" customHeight="1">
      <c r="A132" s="72"/>
      <c r="B132" s="72"/>
      <c r="C132" s="72"/>
      <c r="D132" s="72"/>
      <c r="E132" s="72"/>
    </row>
    <row r="133" ht="15.75" customHeight="1">
      <c r="A133" s="72"/>
      <c r="B133" s="72"/>
      <c r="C133" s="72"/>
      <c r="D133" s="72"/>
      <c r="E133" s="72"/>
    </row>
    <row r="134" ht="15.75" customHeight="1">
      <c r="A134" s="72"/>
      <c r="B134" s="72"/>
      <c r="C134" s="72"/>
      <c r="D134" s="72"/>
      <c r="E134" s="72"/>
    </row>
    <row r="135" ht="15.75" customHeight="1">
      <c r="A135" s="72"/>
      <c r="B135" s="72"/>
      <c r="C135" s="72"/>
      <c r="D135" s="72"/>
      <c r="E135" s="72"/>
    </row>
    <row r="136" ht="15.75" customHeight="1">
      <c r="A136" s="72"/>
      <c r="B136" s="72"/>
      <c r="C136" s="72"/>
      <c r="D136" s="72"/>
      <c r="E136" s="72"/>
    </row>
    <row r="137" ht="15.75" customHeight="1">
      <c r="A137" s="72"/>
      <c r="B137" s="72"/>
      <c r="C137" s="72"/>
      <c r="D137" s="72"/>
      <c r="E137" s="72"/>
    </row>
    <row r="138" ht="15.75" customHeight="1">
      <c r="A138" s="72"/>
      <c r="B138" s="72"/>
      <c r="C138" s="72"/>
      <c r="D138" s="72"/>
      <c r="E138" s="72"/>
    </row>
    <row r="139" ht="15.75" customHeight="1">
      <c r="A139" s="72"/>
      <c r="B139" s="72"/>
      <c r="C139" s="72"/>
      <c r="D139" s="72"/>
      <c r="E139" s="72"/>
    </row>
    <row r="140" ht="15.75" customHeight="1">
      <c r="A140" s="72"/>
      <c r="B140" s="72"/>
      <c r="C140" s="72"/>
      <c r="D140" s="72"/>
      <c r="E140" s="72"/>
    </row>
    <row r="141" ht="15.75" customHeight="1">
      <c r="A141" s="72"/>
      <c r="B141" s="72"/>
      <c r="C141" s="72"/>
      <c r="D141" s="72"/>
      <c r="E141" s="72"/>
    </row>
    <row r="142" ht="15.75" customHeight="1">
      <c r="A142" s="72"/>
      <c r="B142" s="72"/>
      <c r="C142" s="72"/>
      <c r="D142" s="72"/>
      <c r="E142" s="72"/>
    </row>
    <row r="143" ht="15.75" customHeight="1">
      <c r="A143" s="58"/>
      <c r="B143" s="58"/>
      <c r="C143" s="58"/>
      <c r="D143" s="58"/>
      <c r="E143" s="58"/>
    </row>
    <row r="144" ht="15.75" customHeight="1">
      <c r="A144" s="72"/>
      <c r="B144" s="72"/>
      <c r="C144" s="72"/>
      <c r="D144" s="72"/>
      <c r="E144" s="72"/>
    </row>
    <row r="145" ht="15.75" customHeight="1">
      <c r="A145" s="72"/>
      <c r="B145" s="72"/>
      <c r="C145" s="72"/>
      <c r="D145" s="72"/>
      <c r="E145" s="72"/>
    </row>
    <row r="146" ht="15.75" customHeight="1">
      <c r="A146" s="72"/>
      <c r="B146" s="72"/>
      <c r="C146" s="72"/>
      <c r="D146" s="72"/>
      <c r="E146" s="72"/>
    </row>
    <row r="147" ht="15.75" customHeight="1">
      <c r="A147" s="72"/>
      <c r="B147" s="72"/>
      <c r="C147" s="72"/>
      <c r="D147" s="72"/>
      <c r="E147" s="72"/>
    </row>
    <row r="148" ht="15.75" customHeight="1">
      <c r="A148" s="72"/>
      <c r="B148" s="72"/>
      <c r="C148" s="72"/>
      <c r="D148" s="72"/>
      <c r="E148" s="72"/>
    </row>
    <row r="149" ht="15.75" customHeight="1">
      <c r="A149" s="72"/>
      <c r="B149" s="72"/>
      <c r="C149" s="72"/>
      <c r="D149" s="72"/>
      <c r="E149" s="72"/>
    </row>
    <row r="150" ht="15.75" customHeight="1">
      <c r="A150" s="72"/>
      <c r="B150" s="72"/>
      <c r="C150" s="72"/>
      <c r="D150" s="72"/>
      <c r="E150" s="72"/>
    </row>
    <row r="151" ht="15.75" customHeight="1">
      <c r="A151" s="72"/>
      <c r="B151" s="72"/>
      <c r="C151" s="72"/>
      <c r="D151" s="72"/>
      <c r="E151" s="72"/>
    </row>
    <row r="152" ht="15.75" customHeight="1">
      <c r="A152" s="72"/>
      <c r="B152" s="72"/>
      <c r="C152" s="72"/>
      <c r="D152" s="72"/>
      <c r="E152" s="72"/>
    </row>
    <row r="153" ht="15.75" customHeight="1">
      <c r="A153" s="72"/>
      <c r="B153" s="72"/>
      <c r="C153" s="72"/>
      <c r="D153" s="72"/>
      <c r="E153" s="72"/>
    </row>
    <row r="154" ht="15.75" customHeight="1">
      <c r="A154" s="72"/>
      <c r="B154" s="72"/>
      <c r="C154" s="72"/>
      <c r="D154" s="72"/>
      <c r="E154" s="72"/>
    </row>
    <row r="155" ht="15.75" customHeight="1">
      <c r="A155" s="72"/>
      <c r="B155" s="72"/>
      <c r="C155" s="72"/>
      <c r="D155" s="72"/>
      <c r="E155" s="72"/>
    </row>
    <row r="156" ht="15.75" customHeight="1">
      <c r="A156" s="72"/>
      <c r="B156" s="72"/>
      <c r="C156" s="72"/>
      <c r="D156" s="72"/>
      <c r="E156" s="72"/>
    </row>
    <row r="157" ht="15.75" customHeight="1">
      <c r="A157" s="72"/>
      <c r="B157" s="72"/>
      <c r="C157" s="72"/>
      <c r="D157" s="72"/>
      <c r="E157" s="72"/>
    </row>
    <row r="158" ht="15.75" customHeight="1">
      <c r="A158" s="72"/>
      <c r="B158" s="72"/>
      <c r="C158" s="72"/>
      <c r="D158" s="72"/>
      <c r="E158" s="72"/>
    </row>
    <row r="159" ht="15.75" customHeight="1">
      <c r="A159" s="72"/>
      <c r="B159" s="72"/>
      <c r="C159" s="72"/>
      <c r="D159" s="72"/>
      <c r="E159" s="72"/>
    </row>
    <row r="160" ht="15.75" customHeight="1">
      <c r="A160" s="72"/>
      <c r="B160" s="72"/>
      <c r="C160" s="72"/>
      <c r="D160" s="72"/>
      <c r="E160" s="72"/>
    </row>
    <row r="161" ht="15.75" customHeight="1">
      <c r="A161" s="72"/>
      <c r="B161" s="72"/>
      <c r="C161" s="72"/>
      <c r="D161" s="72"/>
      <c r="E161" s="72"/>
    </row>
    <row r="162" ht="15.75" customHeight="1">
      <c r="A162" s="72"/>
      <c r="B162" s="72"/>
      <c r="C162" s="72"/>
      <c r="D162" s="72"/>
      <c r="E162" s="72"/>
    </row>
    <row r="163" ht="15.75" customHeight="1">
      <c r="A163" s="72"/>
      <c r="B163" s="72"/>
      <c r="C163" s="72"/>
      <c r="D163" s="72"/>
      <c r="E163" s="72"/>
    </row>
    <row r="164" ht="15.75" customHeight="1">
      <c r="A164" s="72"/>
      <c r="B164" s="72"/>
      <c r="C164" s="72"/>
      <c r="D164" s="72"/>
      <c r="E164" s="72"/>
    </row>
    <row r="165" ht="15.75" customHeight="1">
      <c r="A165" s="72"/>
      <c r="B165" s="72"/>
      <c r="C165" s="72"/>
      <c r="D165" s="72"/>
      <c r="E165" s="72"/>
    </row>
    <row r="166" ht="15.75" customHeight="1">
      <c r="A166" s="72"/>
      <c r="B166" s="72"/>
      <c r="C166" s="72"/>
      <c r="D166" s="72"/>
      <c r="E166" s="72"/>
    </row>
    <row r="167" ht="15.75" customHeight="1">
      <c r="A167" s="72"/>
      <c r="B167" s="72"/>
      <c r="C167" s="72"/>
      <c r="D167" s="72"/>
      <c r="E167" s="72"/>
    </row>
    <row r="168" ht="15.75" customHeight="1">
      <c r="A168" s="72"/>
      <c r="B168" s="72"/>
      <c r="C168" s="72"/>
      <c r="D168" s="72"/>
      <c r="E168" s="72"/>
    </row>
    <row r="169" ht="15.75" customHeight="1">
      <c r="A169" s="72"/>
      <c r="B169" s="72"/>
      <c r="C169" s="72"/>
      <c r="D169" s="72"/>
      <c r="E169" s="72"/>
    </row>
    <row r="170" ht="15.75" customHeight="1">
      <c r="A170" s="72"/>
      <c r="B170" s="72"/>
      <c r="C170" s="72"/>
      <c r="D170" s="72"/>
      <c r="E170" s="72"/>
    </row>
    <row r="171" ht="15.75" customHeight="1">
      <c r="A171" s="72"/>
      <c r="B171" s="72"/>
      <c r="C171" s="72"/>
      <c r="D171" s="72"/>
      <c r="E171" s="72"/>
    </row>
    <row r="172" ht="15.75" customHeight="1">
      <c r="A172" s="72"/>
      <c r="B172" s="72"/>
      <c r="C172" s="72"/>
      <c r="D172" s="72"/>
      <c r="E172" s="72"/>
    </row>
    <row r="173" ht="15.75" customHeight="1">
      <c r="A173" s="72"/>
      <c r="B173" s="72"/>
      <c r="C173" s="72"/>
      <c r="D173" s="72"/>
      <c r="E173" s="72"/>
    </row>
    <row r="174" ht="15.75" customHeight="1">
      <c r="A174" s="58"/>
      <c r="B174" s="58"/>
      <c r="C174" s="58"/>
      <c r="D174" s="58"/>
      <c r="E174" s="58"/>
    </row>
    <row r="175" ht="15.75" customHeight="1">
      <c r="A175" s="72"/>
      <c r="B175" s="72"/>
      <c r="C175" s="72"/>
      <c r="D175" s="72"/>
      <c r="E175" s="72"/>
    </row>
    <row r="176" ht="15.75" customHeight="1">
      <c r="A176" s="72"/>
      <c r="B176" s="72"/>
      <c r="C176" s="72"/>
      <c r="D176" s="72"/>
      <c r="E176" s="72"/>
    </row>
    <row r="177" ht="15.75" customHeight="1">
      <c r="A177" s="72"/>
      <c r="B177" s="72"/>
      <c r="C177" s="72"/>
      <c r="D177" s="72"/>
      <c r="E177" s="72"/>
    </row>
    <row r="178" ht="15.75" customHeight="1">
      <c r="A178" s="72"/>
      <c r="B178" s="72"/>
      <c r="C178" s="72"/>
      <c r="D178" s="72"/>
      <c r="E178" s="72"/>
    </row>
    <row r="179" ht="15.75" customHeight="1">
      <c r="A179" s="72"/>
      <c r="B179" s="72"/>
      <c r="C179" s="72"/>
      <c r="D179" s="72"/>
      <c r="E179" s="72"/>
    </row>
    <row r="180" ht="15.75" customHeight="1">
      <c r="A180" s="72"/>
      <c r="B180" s="72"/>
      <c r="C180" s="72"/>
      <c r="D180" s="72"/>
      <c r="E180" s="72"/>
    </row>
    <row r="181" ht="15.75" customHeight="1">
      <c r="A181" s="72"/>
      <c r="B181" s="72"/>
      <c r="C181" s="72"/>
      <c r="D181" s="72"/>
      <c r="E181" s="72"/>
    </row>
    <row r="182" ht="15.75" customHeight="1">
      <c r="A182" s="72"/>
      <c r="B182" s="72"/>
      <c r="C182" s="72"/>
      <c r="D182" s="72"/>
      <c r="E182" s="72"/>
    </row>
    <row r="183" ht="15.75" customHeight="1">
      <c r="A183" s="72"/>
      <c r="B183" s="72"/>
      <c r="C183" s="72"/>
      <c r="D183" s="72"/>
      <c r="E183" s="72"/>
    </row>
    <row r="184" ht="15.75" customHeight="1">
      <c r="A184" s="72"/>
      <c r="B184" s="72"/>
      <c r="C184" s="72"/>
      <c r="D184" s="72"/>
      <c r="E184" s="72"/>
    </row>
    <row r="185" ht="15.75" customHeight="1">
      <c r="A185" s="72"/>
      <c r="B185" s="72"/>
      <c r="C185" s="72"/>
      <c r="D185" s="72"/>
      <c r="E185" s="72"/>
    </row>
    <row r="186" ht="15.75" customHeight="1">
      <c r="A186" s="72"/>
      <c r="B186" s="72"/>
      <c r="C186" s="72"/>
      <c r="D186" s="72"/>
      <c r="E186" s="72"/>
    </row>
    <row r="187" ht="15.75" customHeight="1">
      <c r="A187" s="72"/>
      <c r="B187" s="72"/>
      <c r="C187" s="72"/>
      <c r="D187" s="72"/>
      <c r="E187" s="72"/>
    </row>
    <row r="188" ht="15.75" customHeight="1">
      <c r="A188" s="72"/>
      <c r="B188" s="72"/>
      <c r="C188" s="72"/>
      <c r="D188" s="72"/>
      <c r="E188" s="72"/>
    </row>
    <row r="189" ht="15.75" customHeight="1">
      <c r="A189" s="72"/>
      <c r="B189" s="72"/>
      <c r="C189" s="72"/>
      <c r="D189" s="72"/>
      <c r="E189" s="72"/>
    </row>
    <row r="190" ht="15.75" customHeight="1">
      <c r="A190" s="72"/>
      <c r="B190" s="72"/>
      <c r="C190" s="72"/>
      <c r="D190" s="72"/>
      <c r="E190" s="72"/>
    </row>
    <row r="191" ht="15.75" customHeight="1">
      <c r="A191" s="72"/>
      <c r="B191" s="72"/>
      <c r="C191" s="72"/>
      <c r="D191" s="72"/>
      <c r="E191" s="72"/>
    </row>
    <row r="192" ht="15.75" customHeight="1">
      <c r="A192" s="72"/>
      <c r="B192" s="72"/>
      <c r="C192" s="72"/>
      <c r="D192" s="72"/>
      <c r="E192" s="72"/>
    </row>
    <row r="193" ht="15.75" customHeight="1">
      <c r="A193" s="72"/>
      <c r="B193" s="72"/>
      <c r="C193" s="72"/>
      <c r="D193" s="72"/>
      <c r="E193" s="72"/>
    </row>
    <row r="194" ht="15.75" customHeight="1">
      <c r="A194" s="72"/>
      <c r="B194" s="72"/>
      <c r="C194" s="72"/>
      <c r="D194" s="72"/>
      <c r="E194" s="72"/>
    </row>
    <row r="195" ht="15.75" customHeight="1">
      <c r="A195" s="72"/>
      <c r="B195" s="72"/>
      <c r="C195" s="72"/>
      <c r="D195" s="72"/>
      <c r="E195" s="72"/>
    </row>
    <row r="196" ht="15.75" customHeight="1">
      <c r="A196" s="72"/>
      <c r="B196" s="72"/>
      <c r="C196" s="72"/>
      <c r="D196" s="72"/>
      <c r="E196" s="72"/>
    </row>
    <row r="197" ht="15.75" customHeight="1">
      <c r="A197" s="72"/>
      <c r="B197" s="72"/>
      <c r="C197" s="72"/>
      <c r="D197" s="72"/>
      <c r="E197" s="72"/>
    </row>
    <row r="198" ht="15.75" customHeight="1">
      <c r="A198" s="72"/>
      <c r="B198" s="72"/>
      <c r="C198" s="72"/>
      <c r="D198" s="72"/>
      <c r="E198" s="72"/>
    </row>
    <row r="199" ht="15.75" customHeight="1">
      <c r="A199" s="72"/>
      <c r="B199" s="72"/>
      <c r="C199" s="72"/>
      <c r="D199" s="72"/>
      <c r="E199" s="72"/>
    </row>
    <row r="200" ht="15.75" customHeight="1">
      <c r="A200" s="131"/>
      <c r="B200" s="131"/>
      <c r="C200" s="131"/>
      <c r="D200" s="131"/>
      <c r="E200" s="131"/>
    </row>
    <row r="201" ht="15.75" customHeight="1">
      <c r="A201" s="131"/>
      <c r="B201" s="131"/>
      <c r="C201" s="131"/>
      <c r="D201" s="131"/>
      <c r="E201" s="131"/>
    </row>
    <row r="202" ht="15.75" customHeight="1">
      <c r="A202" s="131"/>
      <c r="B202" s="131"/>
      <c r="C202" s="131"/>
      <c r="D202" s="131"/>
      <c r="E202" s="131"/>
    </row>
    <row r="203" ht="15.75" customHeight="1">
      <c r="A203" s="131"/>
      <c r="B203" s="131"/>
      <c r="C203" s="131"/>
      <c r="D203" s="131"/>
      <c r="E203" s="131"/>
    </row>
    <row r="204" ht="15.75" customHeight="1">
      <c r="A204" s="72"/>
      <c r="B204" s="72"/>
      <c r="C204" s="72"/>
      <c r="D204" s="72"/>
      <c r="E204" s="72"/>
    </row>
    <row r="205" ht="15.75" customHeight="1">
      <c r="A205" s="72"/>
      <c r="B205" s="72"/>
      <c r="C205" s="72"/>
      <c r="D205" s="72"/>
      <c r="E205" s="72"/>
    </row>
    <row r="206" ht="15.75" customHeight="1">
      <c r="A206" s="72"/>
      <c r="B206" s="72"/>
      <c r="C206" s="72"/>
      <c r="D206" s="72"/>
      <c r="E206" s="72"/>
    </row>
    <row r="207" ht="15.75" customHeight="1">
      <c r="A207" s="72"/>
      <c r="B207" s="72"/>
      <c r="C207" s="72"/>
      <c r="D207" s="72"/>
      <c r="E207" s="72"/>
    </row>
    <row r="208" ht="15.75" customHeight="1">
      <c r="A208" s="72"/>
      <c r="B208" s="72"/>
      <c r="C208" s="72"/>
      <c r="D208" s="72"/>
      <c r="E208" s="72"/>
    </row>
    <row r="209" ht="15.75" customHeight="1">
      <c r="A209" s="72"/>
      <c r="B209" s="72"/>
      <c r="C209" s="72"/>
      <c r="D209" s="72"/>
      <c r="E209" s="72"/>
    </row>
    <row r="210" ht="15.75" customHeight="1">
      <c r="A210" s="72"/>
      <c r="B210" s="72"/>
      <c r="C210" s="72"/>
      <c r="D210" s="72"/>
      <c r="E210" s="72"/>
    </row>
    <row r="211" ht="15.75" customHeight="1">
      <c r="A211" s="72"/>
      <c r="B211" s="72"/>
      <c r="C211" s="72"/>
      <c r="D211" s="72"/>
      <c r="E211" s="72"/>
    </row>
    <row r="212" ht="15.75" customHeight="1">
      <c r="A212" s="72"/>
      <c r="B212" s="72"/>
      <c r="C212" s="72"/>
      <c r="D212" s="72"/>
      <c r="E212" s="72"/>
    </row>
    <row r="213" ht="15.75" customHeight="1">
      <c r="A213" s="72"/>
      <c r="B213" s="72"/>
      <c r="C213" s="72"/>
      <c r="D213" s="72"/>
      <c r="E213" s="72"/>
    </row>
    <row r="214" ht="15.75" customHeight="1">
      <c r="A214" s="72"/>
      <c r="B214" s="72"/>
      <c r="C214" s="72"/>
      <c r="D214" s="72"/>
      <c r="E214" s="72"/>
    </row>
    <row r="215" ht="15.75" customHeight="1">
      <c r="A215" s="72"/>
      <c r="B215" s="72"/>
      <c r="C215" s="72"/>
      <c r="D215" s="72"/>
      <c r="E215" s="72"/>
    </row>
    <row r="216" ht="15.75" customHeight="1">
      <c r="A216" s="72"/>
      <c r="B216" s="72"/>
      <c r="C216" s="72"/>
      <c r="D216" s="72"/>
      <c r="E216" s="72"/>
    </row>
    <row r="217" ht="15.75" customHeight="1">
      <c r="A217" s="72"/>
      <c r="B217" s="72"/>
      <c r="C217" s="72"/>
      <c r="D217" s="72"/>
      <c r="E217" s="72"/>
    </row>
    <row r="218" ht="15.75" customHeight="1">
      <c r="A218" s="72"/>
      <c r="B218" s="72"/>
      <c r="C218" s="72"/>
      <c r="D218" s="72"/>
      <c r="E218" s="72"/>
    </row>
    <row r="219" ht="15.75" customHeight="1">
      <c r="A219" s="72"/>
      <c r="B219" s="72"/>
      <c r="C219" s="72"/>
      <c r="D219" s="72"/>
      <c r="E219" s="72"/>
    </row>
    <row r="220" ht="15.75" customHeight="1">
      <c r="A220" s="72"/>
      <c r="B220" s="72"/>
      <c r="C220" s="72"/>
      <c r="D220" s="72"/>
      <c r="E220" s="7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3.0"/>
    <col customWidth="1" min="3" max="3" width="19.25"/>
    <col customWidth="1" min="4" max="4" width="22.75"/>
    <col customWidth="1" min="5" max="6" width="12.63"/>
  </cols>
  <sheetData>
    <row r="1" ht="15.75" customHeight="1">
      <c r="A1" s="133" t="s">
        <v>4</v>
      </c>
      <c r="B1" s="186" t="s">
        <v>2763</v>
      </c>
      <c r="C1" s="133" t="s">
        <v>1</v>
      </c>
      <c r="D1" s="176" t="s">
        <v>7</v>
      </c>
      <c r="E1" s="187"/>
      <c r="F1" s="5"/>
      <c r="G1" s="5"/>
      <c r="H1" s="5"/>
      <c r="I1" s="5"/>
      <c r="J1" s="5"/>
      <c r="K1" s="5"/>
      <c r="L1" s="5"/>
      <c r="M1" s="5"/>
      <c r="N1" s="5"/>
      <c r="O1" s="5"/>
      <c r="P1" s="5"/>
      <c r="Q1" s="5"/>
      <c r="R1" s="5"/>
      <c r="S1" s="5"/>
      <c r="T1" s="5"/>
      <c r="U1" s="5"/>
    </row>
    <row r="2" ht="15.75" customHeight="1">
      <c r="A2" s="58">
        <v>-1.0</v>
      </c>
      <c r="B2" s="188"/>
      <c r="C2" s="58" t="s">
        <v>134</v>
      </c>
      <c r="D2" s="72"/>
      <c r="E2" s="73"/>
      <c r="F2" s="10"/>
      <c r="G2" s="10"/>
      <c r="H2" s="10"/>
      <c r="I2" s="10"/>
      <c r="J2" s="10"/>
      <c r="K2" s="10"/>
      <c r="L2" s="10"/>
      <c r="M2" s="10"/>
      <c r="N2" s="10"/>
      <c r="O2" s="10"/>
      <c r="P2" s="10"/>
      <c r="Q2" s="10"/>
      <c r="R2" s="10"/>
      <c r="S2" s="10"/>
      <c r="T2" s="10"/>
      <c r="U2" s="10"/>
    </row>
    <row r="3" ht="15.75" customHeight="1">
      <c r="A3" s="58">
        <v>-1.0</v>
      </c>
      <c r="B3" s="188"/>
      <c r="C3" s="58" t="s">
        <v>134</v>
      </c>
      <c r="D3" s="72"/>
      <c r="E3" s="73"/>
      <c r="F3" s="10"/>
      <c r="G3" s="10"/>
      <c r="H3" s="10"/>
      <c r="I3" s="10"/>
      <c r="J3" s="10"/>
      <c r="K3" s="10"/>
      <c r="L3" s="10"/>
      <c r="M3" s="10"/>
      <c r="N3" s="10"/>
      <c r="O3" s="10"/>
      <c r="P3" s="10"/>
      <c r="Q3" s="10"/>
      <c r="R3" s="10"/>
      <c r="S3" s="10"/>
      <c r="T3" s="10"/>
      <c r="U3" s="10"/>
    </row>
    <row r="4" ht="15.75" customHeight="1">
      <c r="A4" s="58">
        <v>-2.0</v>
      </c>
      <c r="B4" s="188"/>
      <c r="C4" s="58" t="s">
        <v>134</v>
      </c>
      <c r="D4" s="72"/>
      <c r="E4" s="73"/>
      <c r="F4" s="189"/>
      <c r="G4" s="10"/>
      <c r="H4" s="10"/>
      <c r="I4" s="10"/>
      <c r="J4" s="10"/>
      <c r="K4" s="10"/>
      <c r="L4" s="10"/>
      <c r="M4" s="10"/>
      <c r="N4" s="10"/>
      <c r="O4" s="10"/>
      <c r="P4" s="10"/>
      <c r="Q4" s="10"/>
      <c r="R4" s="10"/>
      <c r="S4" s="10"/>
      <c r="T4" s="10"/>
      <c r="U4" s="10"/>
    </row>
    <row r="5" ht="15.75" customHeight="1">
      <c r="A5" s="58">
        <v>-2.0</v>
      </c>
      <c r="B5" s="188"/>
      <c r="C5" s="58" t="s">
        <v>134</v>
      </c>
      <c r="D5" s="72"/>
      <c r="E5" s="73"/>
      <c r="F5" s="189"/>
      <c r="G5" s="10"/>
      <c r="H5" s="10"/>
      <c r="I5" s="10"/>
      <c r="J5" s="10"/>
      <c r="K5" s="10"/>
      <c r="L5" s="10"/>
      <c r="M5" s="10"/>
      <c r="N5" s="10"/>
      <c r="O5" s="10"/>
      <c r="P5" s="10"/>
      <c r="Q5" s="10"/>
      <c r="R5" s="10"/>
      <c r="S5" s="10"/>
      <c r="T5" s="10"/>
      <c r="U5" s="10"/>
    </row>
    <row r="6" ht="15.75" customHeight="1">
      <c r="A6" s="58">
        <v>0.0</v>
      </c>
      <c r="B6" s="188"/>
      <c r="C6" s="58" t="s">
        <v>134</v>
      </c>
      <c r="D6" s="72"/>
      <c r="E6" s="73"/>
      <c r="F6" s="10"/>
      <c r="G6" s="10"/>
      <c r="H6" s="10"/>
      <c r="I6" s="10"/>
      <c r="J6" s="10"/>
      <c r="K6" s="10"/>
      <c r="L6" s="10"/>
      <c r="M6" s="10"/>
      <c r="N6" s="10"/>
      <c r="O6" s="10"/>
      <c r="P6" s="10"/>
      <c r="Q6" s="10"/>
      <c r="R6" s="10"/>
      <c r="S6" s="10"/>
      <c r="T6" s="10"/>
      <c r="U6" s="10"/>
    </row>
    <row r="7" ht="15.75" customHeight="1">
      <c r="A7" s="58">
        <v>-3.0</v>
      </c>
      <c r="B7" s="188"/>
      <c r="C7" s="58" t="s">
        <v>14</v>
      </c>
      <c r="D7" s="72"/>
      <c r="E7" s="73"/>
      <c r="F7" s="189"/>
      <c r="G7" s="10"/>
      <c r="H7" s="10"/>
      <c r="I7" s="10"/>
      <c r="J7" s="10"/>
      <c r="K7" s="10"/>
      <c r="L7" s="10"/>
      <c r="M7" s="10"/>
      <c r="N7" s="10"/>
      <c r="O7" s="10"/>
      <c r="P7" s="10"/>
      <c r="Q7" s="10"/>
      <c r="R7" s="10"/>
      <c r="S7" s="10"/>
      <c r="T7" s="10"/>
      <c r="U7" s="10"/>
    </row>
    <row r="8" ht="15.75" customHeight="1">
      <c r="A8" s="58">
        <v>-1.0</v>
      </c>
      <c r="B8" s="188"/>
      <c r="C8" s="58" t="s">
        <v>472</v>
      </c>
      <c r="D8" s="72"/>
      <c r="E8" s="73"/>
      <c r="F8" s="10"/>
      <c r="G8" s="10"/>
      <c r="H8" s="10"/>
      <c r="I8" s="10"/>
      <c r="J8" s="10"/>
      <c r="K8" s="10"/>
      <c r="L8" s="10"/>
      <c r="M8" s="10"/>
      <c r="N8" s="10"/>
      <c r="O8" s="10"/>
      <c r="P8" s="10"/>
      <c r="Q8" s="10"/>
      <c r="R8" s="10"/>
      <c r="S8" s="10"/>
      <c r="T8" s="10"/>
      <c r="U8" s="10"/>
    </row>
    <row r="9" ht="15.75" customHeight="1">
      <c r="A9" s="58">
        <v>0.0</v>
      </c>
      <c r="B9" s="188"/>
      <c r="C9" s="58" t="s">
        <v>472</v>
      </c>
      <c r="D9" s="72"/>
      <c r="E9" s="73"/>
      <c r="F9" s="10"/>
      <c r="G9" s="10"/>
      <c r="H9" s="10"/>
      <c r="I9" s="10"/>
      <c r="J9" s="10"/>
      <c r="K9" s="10"/>
      <c r="L9" s="10"/>
      <c r="M9" s="10"/>
      <c r="N9" s="10"/>
      <c r="O9" s="10"/>
      <c r="P9" s="10"/>
      <c r="Q9" s="10"/>
      <c r="R9" s="10"/>
      <c r="S9" s="10"/>
      <c r="T9" s="10"/>
      <c r="U9" s="10"/>
    </row>
    <row r="10" ht="15.75" customHeight="1">
      <c r="A10" s="58">
        <v>-3.0</v>
      </c>
      <c r="B10" s="188"/>
      <c r="C10" s="58" t="s">
        <v>5667</v>
      </c>
      <c r="D10" s="72"/>
      <c r="E10" s="73"/>
      <c r="F10" s="189"/>
      <c r="G10" s="10"/>
      <c r="H10" s="10"/>
      <c r="I10" s="10"/>
      <c r="J10" s="10"/>
      <c r="K10" s="10"/>
      <c r="L10" s="10"/>
      <c r="M10" s="10"/>
      <c r="N10" s="10"/>
      <c r="O10" s="10"/>
      <c r="P10" s="10"/>
      <c r="Q10" s="10"/>
      <c r="R10" s="10"/>
      <c r="S10" s="10"/>
      <c r="T10" s="10"/>
      <c r="U10" s="10"/>
    </row>
    <row r="11" ht="15.75" customHeight="1">
      <c r="A11" s="58">
        <v>-3.0</v>
      </c>
      <c r="B11" s="188"/>
      <c r="C11" s="58" t="s">
        <v>5667</v>
      </c>
      <c r="D11" s="72"/>
      <c r="E11" s="73"/>
      <c r="F11" s="189"/>
      <c r="G11" s="10"/>
      <c r="H11" s="10"/>
      <c r="I11" s="10"/>
      <c r="J11" s="10"/>
      <c r="K11" s="10"/>
      <c r="L11" s="10"/>
      <c r="M11" s="10"/>
      <c r="N11" s="10"/>
      <c r="O11" s="10"/>
      <c r="P11" s="10"/>
      <c r="Q11" s="10"/>
      <c r="R11" s="10"/>
      <c r="S11" s="10"/>
      <c r="T11" s="10"/>
      <c r="U11" s="10"/>
    </row>
    <row r="12" ht="15.75" customHeight="1">
      <c r="A12" s="58">
        <v>-3.0</v>
      </c>
      <c r="B12" s="188"/>
      <c r="C12" s="58" t="s">
        <v>5668</v>
      </c>
      <c r="D12" s="72"/>
      <c r="E12" s="73"/>
      <c r="F12" s="189"/>
      <c r="G12" s="10"/>
      <c r="H12" s="10"/>
      <c r="I12" s="10"/>
      <c r="J12" s="10"/>
      <c r="K12" s="10"/>
      <c r="L12" s="10"/>
      <c r="M12" s="10"/>
      <c r="N12" s="10"/>
      <c r="O12" s="10"/>
      <c r="P12" s="10"/>
      <c r="Q12" s="10"/>
      <c r="R12" s="10"/>
      <c r="S12" s="10"/>
      <c r="T12" s="10"/>
      <c r="U12" s="10"/>
    </row>
    <row r="13" ht="15.75" customHeight="1">
      <c r="A13" s="58">
        <v>0.0</v>
      </c>
      <c r="B13" s="188"/>
      <c r="C13" s="58" t="s">
        <v>985</v>
      </c>
      <c r="D13" s="72"/>
      <c r="E13" s="73"/>
      <c r="F13" s="10"/>
      <c r="G13" s="10"/>
      <c r="H13" s="10"/>
      <c r="I13" s="10"/>
      <c r="J13" s="10"/>
      <c r="K13" s="10"/>
      <c r="L13" s="10"/>
      <c r="M13" s="10"/>
      <c r="N13" s="10"/>
      <c r="O13" s="10"/>
      <c r="P13" s="10"/>
      <c r="Q13" s="10"/>
      <c r="R13" s="10"/>
      <c r="S13" s="10"/>
      <c r="T13" s="10"/>
      <c r="U13" s="10"/>
    </row>
    <row r="14" ht="15.75" customHeight="1">
      <c r="A14" s="58">
        <v>0.0</v>
      </c>
      <c r="B14" s="188"/>
      <c r="C14" s="58" t="s">
        <v>982</v>
      </c>
      <c r="D14" s="72"/>
      <c r="E14" s="73"/>
      <c r="F14" s="10"/>
      <c r="G14" s="10"/>
      <c r="H14" s="10"/>
      <c r="I14" s="10"/>
      <c r="J14" s="10"/>
      <c r="K14" s="10"/>
      <c r="L14" s="10"/>
      <c r="M14" s="10"/>
      <c r="N14" s="10"/>
      <c r="O14" s="10"/>
      <c r="P14" s="10"/>
      <c r="Q14" s="10"/>
      <c r="R14" s="10"/>
      <c r="S14" s="10"/>
      <c r="T14" s="10"/>
      <c r="U14" s="10"/>
    </row>
    <row r="15" ht="15.75" customHeight="1">
      <c r="A15" s="58">
        <v>-2.0</v>
      </c>
      <c r="B15" s="188"/>
      <c r="C15" s="58" t="s">
        <v>2386</v>
      </c>
      <c r="D15" s="72" t="s">
        <v>24</v>
      </c>
      <c r="E15" s="73"/>
      <c r="F15" s="189"/>
      <c r="G15" s="10"/>
      <c r="H15" s="10"/>
      <c r="I15" s="10"/>
      <c r="J15" s="10"/>
      <c r="K15" s="10"/>
      <c r="L15" s="10"/>
      <c r="M15" s="10"/>
      <c r="N15" s="10"/>
      <c r="O15" s="10"/>
      <c r="P15" s="10"/>
      <c r="Q15" s="10"/>
      <c r="R15" s="10"/>
      <c r="S15" s="10"/>
      <c r="T15" s="10"/>
      <c r="U15" s="10"/>
    </row>
    <row r="16" ht="15.75" customHeight="1">
      <c r="A16" s="58">
        <v>-2.0</v>
      </c>
      <c r="B16" s="188"/>
      <c r="C16" s="138" t="s">
        <v>457</v>
      </c>
      <c r="D16" s="72" t="s">
        <v>459</v>
      </c>
      <c r="E16" s="10"/>
      <c r="F16" s="16"/>
      <c r="G16" s="10"/>
      <c r="H16" s="10"/>
      <c r="I16" s="15"/>
      <c r="J16" s="10"/>
      <c r="K16" s="10"/>
      <c r="L16" s="10"/>
      <c r="M16" s="16"/>
      <c r="N16" s="10"/>
      <c r="O16" s="10"/>
      <c r="P16" s="10"/>
      <c r="Q16" s="10"/>
      <c r="R16" s="10"/>
      <c r="S16" s="10"/>
      <c r="T16" s="10"/>
      <c r="U16" s="10"/>
    </row>
    <row r="17" ht="15.75" customHeight="1">
      <c r="A17" s="58">
        <v>-2.0</v>
      </c>
      <c r="B17" s="188"/>
      <c r="C17" s="138" t="s">
        <v>457</v>
      </c>
      <c r="D17" s="72" t="s">
        <v>459</v>
      </c>
      <c r="E17" s="10"/>
      <c r="F17" s="16"/>
      <c r="G17" s="10"/>
      <c r="H17" s="10"/>
      <c r="I17" s="15"/>
      <c r="J17" s="10"/>
      <c r="K17" s="10"/>
      <c r="L17" s="10"/>
      <c r="M17" s="16"/>
      <c r="N17" s="10"/>
      <c r="O17" s="10"/>
      <c r="P17" s="10"/>
      <c r="Q17" s="10"/>
      <c r="R17" s="10"/>
      <c r="S17" s="10"/>
      <c r="T17" s="10"/>
      <c r="U17" s="10"/>
    </row>
    <row r="18" ht="15.75" customHeight="1">
      <c r="A18" s="58">
        <v>-1.0</v>
      </c>
      <c r="B18" s="188"/>
      <c r="C18" s="58" t="s">
        <v>5669</v>
      </c>
      <c r="D18" s="72" t="s">
        <v>459</v>
      </c>
      <c r="E18" s="73"/>
      <c r="F18" s="10"/>
      <c r="G18" s="10"/>
      <c r="H18" s="10"/>
      <c r="I18" s="10"/>
      <c r="J18" s="10"/>
      <c r="K18" s="10"/>
      <c r="L18" s="10"/>
      <c r="M18" s="10"/>
      <c r="N18" s="10"/>
      <c r="O18" s="10"/>
      <c r="P18" s="10"/>
      <c r="Q18" s="10"/>
      <c r="R18" s="10"/>
      <c r="S18" s="10"/>
      <c r="T18" s="10"/>
      <c r="U18" s="10"/>
    </row>
    <row r="19" ht="15.75" customHeight="1">
      <c r="A19" s="58">
        <v>-2.0</v>
      </c>
      <c r="B19" s="188"/>
      <c r="C19" s="58" t="s">
        <v>5669</v>
      </c>
      <c r="D19" s="72" t="s">
        <v>459</v>
      </c>
      <c r="E19" s="73"/>
      <c r="F19" s="189"/>
      <c r="G19" s="10"/>
      <c r="H19" s="10"/>
      <c r="I19" s="10"/>
      <c r="J19" s="10"/>
      <c r="K19" s="10"/>
      <c r="L19" s="10"/>
      <c r="M19" s="10"/>
      <c r="N19" s="10"/>
      <c r="O19" s="10"/>
      <c r="P19" s="10"/>
      <c r="Q19" s="10"/>
      <c r="R19" s="10"/>
      <c r="S19" s="10"/>
      <c r="T19" s="10"/>
      <c r="U19" s="10"/>
    </row>
    <row r="20" ht="15.75" customHeight="1">
      <c r="A20" s="58">
        <v>-3.0</v>
      </c>
      <c r="B20" s="188"/>
      <c r="C20" s="58" t="s">
        <v>5670</v>
      </c>
      <c r="D20" s="72"/>
      <c r="E20" s="73"/>
      <c r="F20" s="189"/>
      <c r="G20" s="10"/>
      <c r="H20" s="10"/>
      <c r="I20" s="10"/>
      <c r="J20" s="10"/>
      <c r="K20" s="10"/>
      <c r="L20" s="10"/>
      <c r="M20" s="10"/>
      <c r="N20" s="10"/>
      <c r="O20" s="10"/>
      <c r="P20" s="10"/>
      <c r="Q20" s="10"/>
      <c r="R20" s="10"/>
      <c r="S20" s="10"/>
      <c r="T20" s="10"/>
      <c r="U20" s="10"/>
    </row>
    <row r="21" ht="15.75" customHeight="1">
      <c r="A21" s="58">
        <v>-1.0</v>
      </c>
      <c r="B21" s="188"/>
      <c r="C21" s="58" t="s">
        <v>945</v>
      </c>
      <c r="D21" s="72" t="s">
        <v>70</v>
      </c>
      <c r="E21" s="73"/>
      <c r="F21" s="10"/>
      <c r="G21" s="10"/>
      <c r="H21" s="10"/>
      <c r="I21" s="10"/>
      <c r="J21" s="10"/>
      <c r="K21" s="10"/>
      <c r="L21" s="10"/>
      <c r="M21" s="10"/>
      <c r="N21" s="10"/>
      <c r="O21" s="10"/>
      <c r="P21" s="10"/>
      <c r="Q21" s="10"/>
      <c r="R21" s="10"/>
      <c r="S21" s="10"/>
      <c r="T21" s="10"/>
      <c r="U21" s="10"/>
    </row>
    <row r="22" ht="15.75" customHeight="1">
      <c r="A22" s="58">
        <v>-1.0</v>
      </c>
      <c r="B22" s="188"/>
      <c r="C22" s="58" t="s">
        <v>945</v>
      </c>
      <c r="D22" s="72" t="s">
        <v>70</v>
      </c>
      <c r="E22" s="73"/>
      <c r="F22" s="10"/>
      <c r="G22" s="10"/>
      <c r="H22" s="10"/>
      <c r="I22" s="10"/>
      <c r="J22" s="10"/>
      <c r="K22" s="10"/>
      <c r="L22" s="10"/>
      <c r="M22" s="10"/>
      <c r="N22" s="10"/>
      <c r="O22" s="10"/>
      <c r="P22" s="10"/>
      <c r="Q22" s="10"/>
      <c r="R22" s="10"/>
      <c r="S22" s="10"/>
      <c r="T22" s="10"/>
      <c r="U22" s="10"/>
    </row>
    <row r="23" ht="15.75" customHeight="1">
      <c r="A23" s="58">
        <v>1.0</v>
      </c>
      <c r="B23" s="188"/>
      <c r="C23" s="58" t="s">
        <v>1717</v>
      </c>
      <c r="D23" s="72" t="s">
        <v>459</v>
      </c>
      <c r="E23" s="73"/>
      <c r="F23" s="10"/>
      <c r="G23" s="10"/>
      <c r="H23" s="10"/>
      <c r="I23" s="10"/>
      <c r="J23" s="10"/>
      <c r="K23" s="10"/>
      <c r="L23" s="10"/>
      <c r="M23" s="10"/>
      <c r="N23" s="10"/>
      <c r="O23" s="10"/>
      <c r="P23" s="10"/>
      <c r="Q23" s="10"/>
      <c r="R23" s="10"/>
      <c r="S23" s="10"/>
      <c r="T23" s="10"/>
      <c r="U23" s="10"/>
    </row>
    <row r="24" ht="15.75" customHeight="1">
      <c r="A24" s="58">
        <v>-1.0</v>
      </c>
      <c r="B24" s="188"/>
      <c r="C24" s="58" t="s">
        <v>957</v>
      </c>
      <c r="D24" s="72" t="s">
        <v>459</v>
      </c>
      <c r="E24" s="73"/>
      <c r="F24" s="10"/>
      <c r="G24" s="10"/>
      <c r="H24" s="10"/>
      <c r="I24" s="10"/>
      <c r="J24" s="10"/>
      <c r="K24" s="10"/>
      <c r="L24" s="10"/>
      <c r="M24" s="10"/>
      <c r="N24" s="10"/>
      <c r="O24" s="10"/>
      <c r="P24" s="10"/>
      <c r="Q24" s="10"/>
      <c r="R24" s="10"/>
      <c r="S24" s="10"/>
      <c r="T24" s="10"/>
      <c r="U24" s="10"/>
    </row>
    <row r="25" ht="15.75" customHeight="1">
      <c r="A25" s="58">
        <v>0.0</v>
      </c>
      <c r="B25" s="188"/>
      <c r="C25" s="58" t="s">
        <v>957</v>
      </c>
      <c r="D25" s="72" t="s">
        <v>459</v>
      </c>
      <c r="E25" s="73"/>
      <c r="F25" s="10"/>
      <c r="G25" s="10"/>
      <c r="H25" s="10"/>
      <c r="I25" s="10"/>
      <c r="J25" s="10"/>
      <c r="K25" s="10"/>
      <c r="L25" s="10"/>
      <c r="M25" s="10"/>
      <c r="N25" s="10"/>
      <c r="O25" s="10"/>
      <c r="P25" s="10"/>
      <c r="Q25" s="10"/>
      <c r="R25" s="10"/>
      <c r="S25" s="10"/>
      <c r="T25" s="10"/>
      <c r="U25" s="10"/>
    </row>
    <row r="26" ht="15.75" customHeight="1">
      <c r="A26" s="58">
        <v>-1.0</v>
      </c>
      <c r="B26" s="188"/>
      <c r="C26" s="58" t="s">
        <v>466</v>
      </c>
      <c r="D26" s="72"/>
      <c r="E26" s="73"/>
      <c r="F26" s="10"/>
      <c r="G26" s="10"/>
      <c r="H26" s="10"/>
      <c r="I26" s="10"/>
      <c r="J26" s="10"/>
      <c r="K26" s="10"/>
      <c r="L26" s="10"/>
      <c r="M26" s="10"/>
      <c r="N26" s="10"/>
      <c r="O26" s="10"/>
      <c r="P26" s="10"/>
      <c r="Q26" s="10"/>
      <c r="R26" s="10"/>
      <c r="S26" s="10"/>
      <c r="T26" s="10"/>
      <c r="U26" s="10"/>
    </row>
    <row r="27" ht="15.75" customHeight="1">
      <c r="A27" s="58">
        <v>-1.0</v>
      </c>
      <c r="B27" s="188"/>
      <c r="C27" s="58" t="s">
        <v>466</v>
      </c>
      <c r="D27" s="72"/>
      <c r="E27" s="73"/>
      <c r="F27" s="10"/>
      <c r="G27" s="10"/>
      <c r="H27" s="10"/>
      <c r="I27" s="10"/>
      <c r="J27" s="10"/>
      <c r="K27" s="10"/>
      <c r="L27" s="10"/>
      <c r="M27" s="10"/>
      <c r="N27" s="10"/>
      <c r="O27" s="10"/>
      <c r="P27" s="10"/>
      <c r="Q27" s="10"/>
      <c r="R27" s="10"/>
      <c r="S27" s="10"/>
      <c r="T27" s="10"/>
      <c r="U27" s="10"/>
    </row>
    <row r="28" ht="15.75" customHeight="1">
      <c r="A28" s="58">
        <v>-2.0</v>
      </c>
      <c r="B28" s="188"/>
      <c r="C28" s="58" t="s">
        <v>466</v>
      </c>
      <c r="D28" s="72"/>
      <c r="E28" s="73"/>
      <c r="F28" s="189"/>
      <c r="G28" s="10"/>
      <c r="H28" s="10"/>
      <c r="I28" s="10"/>
      <c r="J28" s="10"/>
      <c r="K28" s="10"/>
      <c r="L28" s="10"/>
      <c r="M28" s="10"/>
      <c r="N28" s="10"/>
      <c r="O28" s="10"/>
      <c r="P28" s="10"/>
      <c r="Q28" s="10"/>
      <c r="R28" s="10"/>
      <c r="S28" s="10"/>
      <c r="T28" s="10"/>
      <c r="U28" s="10"/>
    </row>
    <row r="29" ht="15.75" customHeight="1">
      <c r="A29" s="58">
        <v>-2.0</v>
      </c>
      <c r="B29" s="188"/>
      <c r="C29" s="58" t="s">
        <v>466</v>
      </c>
      <c r="D29" s="72"/>
      <c r="E29" s="73"/>
      <c r="F29" s="189"/>
      <c r="G29" s="10"/>
      <c r="H29" s="10"/>
      <c r="I29" s="10"/>
      <c r="J29" s="10"/>
      <c r="K29" s="10"/>
      <c r="L29" s="10"/>
      <c r="M29" s="10"/>
      <c r="N29" s="10"/>
      <c r="O29" s="10"/>
      <c r="P29" s="10"/>
      <c r="Q29" s="10"/>
      <c r="R29" s="10"/>
      <c r="S29" s="10"/>
      <c r="T29" s="10"/>
      <c r="U29" s="10"/>
    </row>
    <row r="30" ht="15.75" customHeight="1">
      <c r="A30" s="58">
        <v>0.0</v>
      </c>
      <c r="B30" s="188"/>
      <c r="C30" s="58" t="s">
        <v>466</v>
      </c>
      <c r="D30" s="72"/>
      <c r="E30" s="73"/>
      <c r="F30" s="10"/>
      <c r="G30" s="10"/>
      <c r="H30" s="10"/>
      <c r="I30" s="10"/>
      <c r="J30" s="10"/>
      <c r="K30" s="10"/>
      <c r="L30" s="10"/>
      <c r="M30" s="10"/>
      <c r="N30" s="10"/>
      <c r="O30" s="10"/>
      <c r="P30" s="10"/>
      <c r="Q30" s="10"/>
      <c r="R30" s="10"/>
      <c r="S30" s="10"/>
      <c r="T30" s="10"/>
      <c r="U30" s="10"/>
    </row>
    <row r="31" ht="15.75" customHeight="1">
      <c r="A31" s="58">
        <v>0.0</v>
      </c>
      <c r="B31" s="188"/>
      <c r="C31" s="58" t="s">
        <v>466</v>
      </c>
      <c r="D31" s="72"/>
      <c r="E31" s="73"/>
      <c r="F31" s="10"/>
      <c r="G31" s="10"/>
      <c r="H31" s="10"/>
      <c r="I31" s="10"/>
      <c r="J31" s="10"/>
      <c r="K31" s="10"/>
      <c r="L31" s="10"/>
      <c r="M31" s="10"/>
      <c r="N31" s="10"/>
      <c r="O31" s="10"/>
      <c r="P31" s="10"/>
      <c r="Q31" s="10"/>
      <c r="R31" s="10"/>
      <c r="S31" s="10"/>
      <c r="T31" s="10"/>
      <c r="U31" s="10"/>
    </row>
    <row r="32" ht="15.75" customHeight="1">
      <c r="A32" s="58">
        <v>0.0</v>
      </c>
      <c r="B32" s="188"/>
      <c r="C32" s="58" t="s">
        <v>466</v>
      </c>
      <c r="D32" s="72"/>
      <c r="E32" s="73"/>
      <c r="F32" s="10"/>
      <c r="G32" s="10"/>
      <c r="H32" s="10"/>
      <c r="I32" s="10"/>
      <c r="J32" s="10"/>
      <c r="K32" s="10"/>
      <c r="L32" s="10"/>
      <c r="M32" s="10"/>
      <c r="N32" s="10"/>
      <c r="O32" s="10"/>
      <c r="P32" s="10"/>
      <c r="Q32" s="10"/>
      <c r="R32" s="10"/>
      <c r="S32" s="10"/>
      <c r="T32" s="10"/>
      <c r="U32" s="10"/>
    </row>
    <row r="33" ht="15.75" customHeight="1">
      <c r="A33" s="58">
        <v>0.0</v>
      </c>
      <c r="B33" s="188"/>
      <c r="C33" s="58" t="s">
        <v>466</v>
      </c>
      <c r="D33" s="72"/>
      <c r="E33" s="73"/>
      <c r="F33" s="10"/>
      <c r="G33" s="10"/>
      <c r="H33" s="10"/>
      <c r="I33" s="10"/>
      <c r="J33" s="10"/>
      <c r="K33" s="10"/>
      <c r="L33" s="10"/>
      <c r="M33" s="10"/>
      <c r="N33" s="10"/>
      <c r="O33" s="10"/>
      <c r="P33" s="10"/>
      <c r="Q33" s="10"/>
      <c r="R33" s="10"/>
      <c r="S33" s="10"/>
      <c r="T33" s="10"/>
      <c r="U33" s="10"/>
    </row>
    <row r="34" ht="15.75" customHeight="1">
      <c r="A34" s="58">
        <v>1.0</v>
      </c>
      <c r="B34" s="188"/>
      <c r="C34" s="58" t="s">
        <v>466</v>
      </c>
      <c r="D34" s="72"/>
      <c r="E34" s="73"/>
      <c r="F34" s="10"/>
      <c r="G34" s="10"/>
      <c r="H34" s="10"/>
      <c r="I34" s="10"/>
      <c r="J34" s="10"/>
      <c r="K34" s="10"/>
      <c r="L34" s="10"/>
      <c r="M34" s="10"/>
      <c r="N34" s="10"/>
      <c r="O34" s="10"/>
      <c r="P34" s="10"/>
      <c r="Q34" s="10"/>
      <c r="R34" s="10"/>
      <c r="S34" s="10"/>
      <c r="T34" s="10"/>
      <c r="U34" s="10"/>
    </row>
    <row r="35" ht="15.75" customHeight="1">
      <c r="A35" s="58">
        <v>1.0</v>
      </c>
      <c r="B35" s="188"/>
      <c r="C35" s="58" t="s">
        <v>466</v>
      </c>
      <c r="D35" s="72"/>
      <c r="E35" s="73"/>
      <c r="F35" s="10"/>
      <c r="G35" s="10"/>
      <c r="H35" s="10"/>
      <c r="I35" s="10"/>
      <c r="J35" s="10"/>
      <c r="K35" s="10"/>
      <c r="L35" s="10"/>
      <c r="M35" s="10"/>
      <c r="N35" s="10"/>
      <c r="O35" s="10"/>
      <c r="P35" s="10"/>
      <c r="Q35" s="10"/>
      <c r="R35" s="10"/>
      <c r="S35" s="10"/>
      <c r="T35" s="10"/>
      <c r="U35" s="10"/>
    </row>
    <row r="36" ht="15.75" customHeight="1">
      <c r="A36" s="58">
        <v>1.0</v>
      </c>
      <c r="B36" s="188"/>
      <c r="C36" s="58" t="s">
        <v>466</v>
      </c>
      <c r="D36" s="72"/>
      <c r="E36" s="73"/>
      <c r="F36" s="10"/>
      <c r="G36" s="10"/>
      <c r="H36" s="10"/>
      <c r="I36" s="10"/>
      <c r="J36" s="10"/>
      <c r="K36" s="10"/>
      <c r="L36" s="10"/>
      <c r="M36" s="10"/>
      <c r="N36" s="10"/>
      <c r="O36" s="10"/>
      <c r="P36" s="10"/>
      <c r="Q36" s="10"/>
      <c r="R36" s="10"/>
      <c r="S36" s="10"/>
      <c r="T36" s="10"/>
      <c r="U36" s="10"/>
    </row>
    <row r="37" ht="15.75" hidden="1" customHeight="1">
      <c r="A37" s="58">
        <v>0.0</v>
      </c>
      <c r="B37" s="58"/>
      <c r="C37" s="58" t="s">
        <v>5671</v>
      </c>
      <c r="D37" s="131" t="s">
        <v>901</v>
      </c>
      <c r="E37" s="73"/>
      <c r="F37" s="189"/>
      <c r="G37" s="10"/>
      <c r="H37" s="10"/>
      <c r="I37" s="10"/>
      <c r="J37" s="10"/>
      <c r="K37" s="10"/>
      <c r="L37" s="10"/>
      <c r="M37" s="10"/>
      <c r="N37" s="10"/>
      <c r="O37" s="10"/>
      <c r="P37" s="10"/>
      <c r="Q37" s="10"/>
      <c r="R37" s="10"/>
      <c r="S37" s="10"/>
      <c r="T37" s="10"/>
      <c r="U37" s="10"/>
    </row>
    <row r="38" ht="15.75" customHeight="1">
      <c r="A38" s="58">
        <v>-2.0</v>
      </c>
      <c r="B38" s="188" t="s">
        <v>5672</v>
      </c>
      <c r="C38" s="58" t="s">
        <v>255</v>
      </c>
      <c r="D38" s="72" t="s">
        <v>163</v>
      </c>
      <c r="E38" s="73"/>
      <c r="F38" s="189"/>
      <c r="G38" s="10"/>
      <c r="H38" s="10"/>
      <c r="I38" s="10"/>
      <c r="J38" s="10"/>
      <c r="K38" s="10"/>
      <c r="L38" s="10"/>
      <c r="M38" s="10"/>
      <c r="N38" s="10"/>
      <c r="O38" s="10"/>
      <c r="P38" s="10"/>
      <c r="Q38" s="10"/>
      <c r="R38" s="10"/>
      <c r="S38" s="10"/>
      <c r="T38" s="10"/>
      <c r="U38" s="10"/>
    </row>
    <row r="39" ht="15.75" customHeight="1">
      <c r="A39" s="58">
        <v>0.0</v>
      </c>
      <c r="B39" s="188" t="s">
        <v>5673</v>
      </c>
      <c r="C39" s="58" t="s">
        <v>1349</v>
      </c>
      <c r="D39" s="72" t="s">
        <v>163</v>
      </c>
      <c r="E39" s="73"/>
      <c r="F39" s="10"/>
      <c r="G39" s="10"/>
      <c r="H39" s="10"/>
      <c r="I39" s="10"/>
      <c r="J39" s="10"/>
      <c r="K39" s="10"/>
      <c r="L39" s="10"/>
      <c r="M39" s="10"/>
      <c r="N39" s="10"/>
      <c r="O39" s="10"/>
      <c r="P39" s="10"/>
      <c r="Q39" s="10"/>
      <c r="R39" s="10"/>
      <c r="S39" s="10"/>
      <c r="T39" s="10"/>
      <c r="U39" s="10"/>
    </row>
    <row r="40" ht="15.75" customHeight="1">
      <c r="A40" s="58">
        <v>-2.0</v>
      </c>
      <c r="B40" s="188" t="s">
        <v>5674</v>
      </c>
      <c r="C40" s="58" t="s">
        <v>205</v>
      </c>
      <c r="D40" s="72" t="s">
        <v>163</v>
      </c>
      <c r="E40" s="73"/>
      <c r="F40" s="189"/>
      <c r="G40" s="10"/>
      <c r="H40" s="10"/>
      <c r="I40" s="10"/>
      <c r="J40" s="10"/>
      <c r="K40" s="10"/>
      <c r="L40" s="10"/>
      <c r="M40" s="10"/>
      <c r="N40" s="10"/>
      <c r="O40" s="10"/>
      <c r="P40" s="10"/>
      <c r="Q40" s="10"/>
      <c r="R40" s="10"/>
      <c r="S40" s="10"/>
      <c r="T40" s="10"/>
      <c r="U40" s="10"/>
    </row>
    <row r="41" ht="15.75" customHeight="1">
      <c r="A41" s="58">
        <v>-2.0</v>
      </c>
      <c r="B41" s="188" t="s">
        <v>5675</v>
      </c>
      <c r="C41" s="58" t="s">
        <v>5676</v>
      </c>
      <c r="D41" s="58" t="s">
        <v>155</v>
      </c>
      <c r="E41" s="10"/>
      <c r="F41" s="16"/>
      <c r="G41" s="10"/>
      <c r="H41" s="10"/>
      <c r="I41" s="15"/>
      <c r="J41" s="10"/>
      <c r="K41" s="10"/>
      <c r="L41" s="10"/>
      <c r="M41" s="16"/>
      <c r="N41" s="10"/>
      <c r="O41" s="10"/>
      <c r="P41" s="10"/>
      <c r="Q41" s="10"/>
      <c r="R41" s="10"/>
      <c r="S41" s="10"/>
      <c r="T41" s="10"/>
      <c r="U41" s="10"/>
    </row>
    <row r="42" ht="15.75" hidden="1" customHeight="1">
      <c r="A42" s="58">
        <v>-1.0</v>
      </c>
      <c r="B42" s="58"/>
      <c r="C42" s="58" t="s">
        <v>903</v>
      </c>
      <c r="D42" s="131" t="s">
        <v>901</v>
      </c>
      <c r="E42" s="73"/>
      <c r="F42" s="189"/>
      <c r="G42" s="10"/>
      <c r="H42" s="10"/>
      <c r="I42" s="10"/>
      <c r="J42" s="10"/>
      <c r="K42" s="10"/>
      <c r="L42" s="10"/>
      <c r="M42" s="10"/>
      <c r="N42" s="10"/>
      <c r="O42" s="10"/>
      <c r="P42" s="10"/>
      <c r="Q42" s="10"/>
      <c r="R42" s="10"/>
      <c r="S42" s="10"/>
      <c r="T42" s="10"/>
      <c r="U42" s="10"/>
    </row>
    <row r="43" ht="15.75" customHeight="1">
      <c r="A43" s="58">
        <v>0.0</v>
      </c>
      <c r="B43" s="188" t="s">
        <v>5677</v>
      </c>
      <c r="C43" s="58" t="s">
        <v>5678</v>
      </c>
      <c r="D43" s="72" t="s">
        <v>179</v>
      </c>
      <c r="E43" s="73"/>
      <c r="F43" s="10"/>
      <c r="G43" s="10"/>
      <c r="H43" s="10"/>
      <c r="I43" s="10"/>
      <c r="J43" s="10"/>
      <c r="K43" s="10"/>
      <c r="L43" s="10"/>
      <c r="M43" s="10"/>
      <c r="N43" s="10"/>
      <c r="O43" s="10"/>
      <c r="P43" s="10"/>
      <c r="Q43" s="10"/>
      <c r="R43" s="10"/>
      <c r="S43" s="10"/>
      <c r="T43" s="10"/>
      <c r="U43" s="10"/>
    </row>
    <row r="44" ht="15.75" customHeight="1">
      <c r="A44" s="58">
        <v>0.0</v>
      </c>
      <c r="B44" s="188" t="s">
        <v>5679</v>
      </c>
      <c r="C44" s="58" t="s">
        <v>5680</v>
      </c>
      <c r="D44" s="72" t="s">
        <v>459</v>
      </c>
      <c r="E44" s="73"/>
      <c r="F44" s="10"/>
      <c r="G44" s="10"/>
      <c r="H44" s="10"/>
      <c r="I44" s="10"/>
      <c r="J44" s="10"/>
      <c r="K44" s="10"/>
      <c r="L44" s="10"/>
      <c r="M44" s="10"/>
      <c r="N44" s="10"/>
      <c r="O44" s="10"/>
      <c r="P44" s="10"/>
      <c r="Q44" s="10"/>
      <c r="R44" s="10"/>
      <c r="S44" s="10"/>
      <c r="T44" s="10"/>
      <c r="U44" s="10"/>
    </row>
    <row r="45" ht="15.75" customHeight="1">
      <c r="A45" s="58">
        <v>1.0</v>
      </c>
      <c r="B45" s="188" t="s">
        <v>5681</v>
      </c>
      <c r="C45" s="58" t="s">
        <v>5682</v>
      </c>
      <c r="D45" s="72" t="s">
        <v>459</v>
      </c>
      <c r="E45" s="73"/>
      <c r="F45" s="10"/>
      <c r="G45" s="10"/>
      <c r="H45" s="10"/>
      <c r="I45" s="10"/>
      <c r="J45" s="10"/>
      <c r="K45" s="10"/>
      <c r="L45" s="10"/>
      <c r="M45" s="10"/>
      <c r="N45" s="10"/>
      <c r="O45" s="10"/>
      <c r="P45" s="10"/>
      <c r="Q45" s="10"/>
      <c r="R45" s="10"/>
      <c r="S45" s="10"/>
      <c r="T45" s="10"/>
      <c r="U45" s="10"/>
    </row>
    <row r="46" ht="15.75" customHeight="1">
      <c r="A46" s="58">
        <v>-2.0</v>
      </c>
      <c r="B46" s="188" t="s">
        <v>5673</v>
      </c>
      <c r="C46" s="58" t="s">
        <v>285</v>
      </c>
      <c r="D46" s="72" t="s">
        <v>179</v>
      </c>
      <c r="E46" s="73"/>
      <c r="F46" s="189"/>
      <c r="G46" s="10"/>
      <c r="H46" s="10"/>
      <c r="I46" s="10"/>
      <c r="J46" s="10"/>
      <c r="K46" s="10"/>
      <c r="L46" s="10"/>
      <c r="M46" s="10"/>
      <c r="N46" s="10"/>
      <c r="O46" s="10"/>
      <c r="P46" s="10"/>
      <c r="Q46" s="10"/>
      <c r="R46" s="10"/>
      <c r="S46" s="10"/>
      <c r="T46" s="10"/>
      <c r="U46" s="10"/>
    </row>
    <row r="47" ht="15.75" hidden="1" customHeight="1">
      <c r="A47" s="58">
        <v>0.0</v>
      </c>
      <c r="B47" s="58"/>
      <c r="C47" s="58" t="s">
        <v>1491</v>
      </c>
      <c r="D47" s="131" t="s">
        <v>901</v>
      </c>
      <c r="E47" s="73"/>
      <c r="F47" s="189"/>
      <c r="G47" s="10"/>
      <c r="H47" s="10"/>
      <c r="I47" s="10"/>
      <c r="J47" s="10"/>
      <c r="K47" s="10"/>
      <c r="L47" s="10"/>
      <c r="M47" s="10"/>
      <c r="N47" s="10"/>
      <c r="O47" s="10"/>
      <c r="P47" s="10"/>
      <c r="Q47" s="10"/>
      <c r="R47" s="10"/>
      <c r="S47" s="10"/>
      <c r="T47" s="10"/>
      <c r="U47" s="10"/>
    </row>
    <row r="48" ht="15.75" customHeight="1">
      <c r="A48" s="58">
        <v>0.0</v>
      </c>
      <c r="B48" s="188" t="s">
        <v>5679</v>
      </c>
      <c r="C48" s="58" t="s">
        <v>5683</v>
      </c>
      <c r="D48" s="72" t="s">
        <v>459</v>
      </c>
      <c r="E48" s="73"/>
      <c r="F48" s="10"/>
      <c r="G48" s="10"/>
      <c r="H48" s="10"/>
      <c r="I48" s="10"/>
      <c r="J48" s="10"/>
      <c r="K48" s="10"/>
      <c r="L48" s="10"/>
      <c r="M48" s="10"/>
      <c r="N48" s="10"/>
      <c r="O48" s="10"/>
      <c r="P48" s="10"/>
      <c r="Q48" s="10"/>
      <c r="R48" s="10"/>
      <c r="S48" s="10"/>
      <c r="T48" s="10"/>
      <c r="U48" s="10"/>
    </row>
    <row r="49" ht="15.75" customHeight="1">
      <c r="A49" s="58">
        <v>0.0</v>
      </c>
      <c r="B49" s="188" t="s">
        <v>5681</v>
      </c>
      <c r="C49" s="58" t="s">
        <v>865</v>
      </c>
      <c r="D49" s="72" t="s">
        <v>125</v>
      </c>
      <c r="E49" s="73"/>
      <c r="F49" s="10"/>
      <c r="G49" s="10"/>
      <c r="H49" s="10"/>
      <c r="I49" s="10"/>
      <c r="J49" s="10"/>
      <c r="K49" s="10"/>
      <c r="L49" s="10"/>
      <c r="M49" s="10"/>
      <c r="N49" s="10"/>
      <c r="O49" s="10"/>
      <c r="P49" s="10"/>
      <c r="Q49" s="10"/>
      <c r="R49" s="10"/>
      <c r="S49" s="10"/>
      <c r="T49" s="10"/>
      <c r="U49" s="10"/>
    </row>
    <row r="50" ht="15.75" customHeight="1">
      <c r="A50" s="58">
        <v>1.0</v>
      </c>
      <c r="B50" s="188" t="s">
        <v>5684</v>
      </c>
      <c r="C50" s="58" t="s">
        <v>1585</v>
      </c>
      <c r="D50" s="72" t="s">
        <v>125</v>
      </c>
      <c r="E50" s="73"/>
      <c r="F50" s="10"/>
      <c r="G50" s="10"/>
      <c r="H50" s="10"/>
      <c r="I50" s="10"/>
      <c r="J50" s="10"/>
      <c r="K50" s="10"/>
      <c r="L50" s="10"/>
      <c r="M50" s="10"/>
      <c r="N50" s="10"/>
      <c r="O50" s="10"/>
      <c r="P50" s="10"/>
      <c r="Q50" s="10"/>
      <c r="R50" s="10"/>
      <c r="S50" s="10"/>
      <c r="T50" s="10"/>
      <c r="U50" s="10"/>
    </row>
    <row r="51" ht="15.75" customHeight="1">
      <c r="A51" s="58">
        <v>-1.0</v>
      </c>
      <c r="B51" s="188" t="s">
        <v>5685</v>
      </c>
      <c r="C51" s="58" t="s">
        <v>399</v>
      </c>
      <c r="D51" s="72" t="s">
        <v>92</v>
      </c>
      <c r="E51" s="73"/>
      <c r="F51" s="10"/>
      <c r="G51" s="10"/>
      <c r="H51" s="10"/>
      <c r="I51" s="10"/>
      <c r="J51" s="10"/>
      <c r="K51" s="10"/>
      <c r="L51" s="10"/>
      <c r="M51" s="10"/>
      <c r="N51" s="10"/>
      <c r="O51" s="10"/>
      <c r="P51" s="10"/>
      <c r="Q51" s="10"/>
      <c r="R51" s="10"/>
      <c r="S51" s="10"/>
      <c r="T51" s="10"/>
      <c r="U51" s="10"/>
    </row>
    <row r="52" ht="15.75" customHeight="1">
      <c r="A52" s="58">
        <v>-2.0</v>
      </c>
      <c r="B52" s="188" t="s">
        <v>5684</v>
      </c>
      <c r="C52" s="58" t="s">
        <v>399</v>
      </c>
      <c r="D52" s="72" t="s">
        <v>92</v>
      </c>
      <c r="E52" s="73"/>
      <c r="F52" s="189"/>
      <c r="G52" s="10"/>
      <c r="H52" s="10"/>
      <c r="I52" s="10"/>
      <c r="J52" s="10"/>
      <c r="K52" s="10"/>
      <c r="L52" s="10"/>
      <c r="M52" s="10"/>
      <c r="N52" s="10"/>
      <c r="O52" s="10"/>
      <c r="P52" s="10"/>
      <c r="Q52" s="10"/>
      <c r="R52" s="10"/>
      <c r="S52" s="10"/>
      <c r="T52" s="10"/>
      <c r="U52" s="10"/>
    </row>
    <row r="53" ht="15.75" customHeight="1">
      <c r="A53" s="58">
        <v>-1.0</v>
      </c>
      <c r="B53" s="188" t="s">
        <v>5686</v>
      </c>
      <c r="C53" s="58" t="s">
        <v>579</v>
      </c>
      <c r="D53" s="72" t="s">
        <v>561</v>
      </c>
      <c r="E53" s="73"/>
      <c r="F53" s="10"/>
      <c r="G53" s="10"/>
      <c r="H53" s="10"/>
      <c r="I53" s="10"/>
      <c r="J53" s="10"/>
      <c r="K53" s="10"/>
      <c r="L53" s="10"/>
      <c r="M53" s="10"/>
      <c r="N53" s="10"/>
      <c r="O53" s="10"/>
      <c r="P53" s="10"/>
      <c r="Q53" s="10"/>
      <c r="R53" s="10"/>
      <c r="S53" s="10"/>
      <c r="T53" s="10"/>
      <c r="U53" s="10"/>
    </row>
    <row r="54" ht="15.75" customHeight="1">
      <c r="A54" s="58">
        <v>0.0</v>
      </c>
      <c r="B54" s="188" t="s">
        <v>5687</v>
      </c>
      <c r="C54" s="58" t="s">
        <v>1406</v>
      </c>
      <c r="D54" s="72" t="s">
        <v>1392</v>
      </c>
      <c r="E54" s="73"/>
      <c r="F54" s="10"/>
      <c r="G54" s="10"/>
      <c r="H54" s="10"/>
      <c r="I54" s="10"/>
      <c r="J54" s="10"/>
      <c r="K54" s="10"/>
      <c r="L54" s="10"/>
      <c r="M54" s="10"/>
      <c r="N54" s="10"/>
      <c r="O54" s="10"/>
      <c r="P54" s="10"/>
      <c r="Q54" s="10"/>
      <c r="R54" s="10"/>
      <c r="S54" s="10"/>
      <c r="T54" s="10"/>
      <c r="U54" s="10"/>
    </row>
    <row r="55" ht="15.75" hidden="1" customHeight="1">
      <c r="A55" s="58">
        <v>0.0</v>
      </c>
      <c r="B55" s="58"/>
      <c r="C55" s="58" t="s">
        <v>5688</v>
      </c>
      <c r="D55" s="131" t="s">
        <v>901</v>
      </c>
      <c r="E55" s="73"/>
      <c r="F55" s="189"/>
      <c r="G55" s="10"/>
      <c r="H55" s="10"/>
      <c r="I55" s="10"/>
      <c r="J55" s="10"/>
      <c r="K55" s="10"/>
      <c r="L55" s="10"/>
      <c r="M55" s="10"/>
      <c r="N55" s="10"/>
      <c r="O55" s="10"/>
      <c r="P55" s="10"/>
      <c r="Q55" s="10"/>
      <c r="R55" s="10"/>
      <c r="S55" s="10"/>
      <c r="T55" s="10"/>
      <c r="U55" s="10"/>
    </row>
    <row r="56" ht="15.75" customHeight="1">
      <c r="A56" s="58">
        <v>-1.0</v>
      </c>
      <c r="B56" s="188" t="s">
        <v>5689</v>
      </c>
      <c r="C56" s="58" t="s">
        <v>705</v>
      </c>
      <c r="D56" s="72" t="s">
        <v>155</v>
      </c>
      <c r="E56" s="73"/>
      <c r="F56" s="10"/>
      <c r="G56" s="10"/>
      <c r="H56" s="10"/>
      <c r="I56" s="10"/>
      <c r="J56" s="10"/>
      <c r="K56" s="10"/>
      <c r="L56" s="10"/>
      <c r="M56" s="10"/>
      <c r="N56" s="10"/>
      <c r="O56" s="10"/>
      <c r="P56" s="10"/>
      <c r="Q56" s="10"/>
      <c r="R56" s="10"/>
      <c r="S56" s="10"/>
      <c r="T56" s="10"/>
      <c r="U56" s="10"/>
    </row>
    <row r="57" ht="15.75" customHeight="1">
      <c r="A57" s="58">
        <v>-2.0</v>
      </c>
      <c r="B57" s="188" t="s">
        <v>5690</v>
      </c>
      <c r="C57" s="58" t="s">
        <v>380</v>
      </c>
      <c r="D57" s="72" t="s">
        <v>70</v>
      </c>
      <c r="E57" s="73"/>
      <c r="F57" s="189"/>
      <c r="G57" s="10"/>
      <c r="H57" s="10"/>
      <c r="I57" s="10"/>
      <c r="J57" s="10"/>
      <c r="K57" s="10"/>
      <c r="L57" s="10"/>
      <c r="M57" s="10"/>
      <c r="N57" s="10"/>
      <c r="O57" s="10"/>
      <c r="P57" s="10"/>
      <c r="Q57" s="10"/>
      <c r="R57" s="10"/>
      <c r="S57" s="10"/>
      <c r="T57" s="10"/>
      <c r="U57" s="10"/>
    </row>
    <row r="58" ht="15.75" customHeight="1">
      <c r="A58" s="58">
        <v>0.0</v>
      </c>
      <c r="B58" s="188" t="s">
        <v>5673</v>
      </c>
      <c r="C58" s="58" t="s">
        <v>1262</v>
      </c>
      <c r="D58" s="72" t="s">
        <v>155</v>
      </c>
      <c r="E58" s="73"/>
      <c r="F58" s="10"/>
      <c r="G58" s="10"/>
      <c r="H58" s="10"/>
      <c r="I58" s="10"/>
      <c r="J58" s="10"/>
      <c r="K58" s="10"/>
      <c r="L58" s="10"/>
      <c r="M58" s="10"/>
      <c r="N58" s="10"/>
      <c r="O58" s="10"/>
      <c r="P58" s="10"/>
      <c r="Q58" s="10"/>
      <c r="R58" s="10"/>
      <c r="S58" s="10"/>
      <c r="T58" s="10"/>
      <c r="U58" s="10"/>
    </row>
    <row r="59" ht="15.75" hidden="1" customHeight="1">
      <c r="A59" s="58">
        <v>-1.0</v>
      </c>
      <c r="B59" s="58"/>
      <c r="C59" s="58" t="s">
        <v>5691</v>
      </c>
      <c r="D59" s="131" t="s">
        <v>901</v>
      </c>
      <c r="E59" s="73"/>
      <c r="F59" s="189"/>
      <c r="G59" s="10"/>
      <c r="H59" s="10"/>
      <c r="I59" s="10"/>
      <c r="J59" s="10"/>
      <c r="K59" s="10"/>
      <c r="L59" s="10"/>
      <c r="M59" s="10"/>
      <c r="N59" s="10"/>
      <c r="O59" s="10"/>
      <c r="P59" s="10"/>
      <c r="Q59" s="10"/>
      <c r="R59" s="10"/>
      <c r="S59" s="10"/>
      <c r="T59" s="10"/>
      <c r="U59" s="10"/>
    </row>
    <row r="60" ht="15.75" customHeight="1">
      <c r="A60" s="58">
        <v>-2.0</v>
      </c>
      <c r="B60" s="188" t="s">
        <v>5692</v>
      </c>
      <c r="C60" s="58" t="s">
        <v>5693</v>
      </c>
      <c r="D60" s="72" t="s">
        <v>70</v>
      </c>
      <c r="E60" s="73"/>
      <c r="F60" s="189"/>
      <c r="G60" s="10"/>
      <c r="H60" s="10"/>
      <c r="I60" s="10"/>
      <c r="J60" s="10"/>
      <c r="K60" s="10"/>
      <c r="L60" s="10"/>
      <c r="M60" s="10"/>
      <c r="N60" s="10"/>
      <c r="O60" s="10"/>
      <c r="P60" s="10"/>
      <c r="Q60" s="10"/>
      <c r="R60" s="10"/>
      <c r="S60" s="10"/>
      <c r="T60" s="10"/>
      <c r="U60" s="10"/>
    </row>
    <row r="61" ht="15.75" hidden="1" customHeight="1">
      <c r="A61" s="58">
        <v>-1.0</v>
      </c>
      <c r="B61" s="58"/>
      <c r="C61" s="58" t="s">
        <v>5502</v>
      </c>
      <c r="D61" s="131" t="s">
        <v>901</v>
      </c>
      <c r="E61" s="73"/>
      <c r="F61" s="189"/>
      <c r="G61" s="10"/>
      <c r="H61" s="10"/>
      <c r="I61" s="10"/>
      <c r="J61" s="10"/>
      <c r="K61" s="10"/>
      <c r="L61" s="10"/>
      <c r="M61" s="10"/>
      <c r="N61" s="10"/>
      <c r="O61" s="10"/>
      <c r="P61" s="10"/>
      <c r="Q61" s="10"/>
      <c r="R61" s="10"/>
      <c r="S61" s="10"/>
      <c r="T61" s="10"/>
      <c r="U61" s="10"/>
    </row>
    <row r="62" ht="15.75" customHeight="1">
      <c r="A62" s="58">
        <v>-3.0</v>
      </c>
      <c r="B62" s="188" t="s">
        <v>5694</v>
      </c>
      <c r="C62" s="58" t="s">
        <v>2301</v>
      </c>
      <c r="D62" s="72" t="s">
        <v>44</v>
      </c>
      <c r="E62" s="73"/>
      <c r="F62" s="189"/>
      <c r="G62" s="10"/>
      <c r="H62" s="10"/>
      <c r="I62" s="10"/>
      <c r="J62" s="10"/>
      <c r="K62" s="10"/>
      <c r="L62" s="10"/>
      <c r="M62" s="10"/>
      <c r="N62" s="10"/>
      <c r="O62" s="10"/>
      <c r="P62" s="10"/>
      <c r="Q62" s="10"/>
      <c r="R62" s="10"/>
      <c r="S62" s="10"/>
      <c r="T62" s="10"/>
      <c r="U62" s="10"/>
    </row>
    <row r="63" ht="15.75" customHeight="1">
      <c r="A63" s="58">
        <v>-1.0</v>
      </c>
      <c r="B63" s="188" t="s">
        <v>5695</v>
      </c>
      <c r="C63" s="58" t="s">
        <v>682</v>
      </c>
      <c r="D63" s="72" t="s">
        <v>163</v>
      </c>
      <c r="E63" s="73"/>
      <c r="F63" s="10"/>
      <c r="G63" s="10"/>
      <c r="H63" s="10"/>
      <c r="I63" s="10"/>
      <c r="J63" s="10"/>
      <c r="K63" s="10"/>
      <c r="L63" s="10"/>
      <c r="M63" s="10"/>
      <c r="N63" s="10"/>
      <c r="O63" s="10"/>
      <c r="P63" s="10"/>
      <c r="Q63" s="10"/>
      <c r="R63" s="10"/>
      <c r="S63" s="10"/>
      <c r="T63" s="10"/>
      <c r="U63" s="10"/>
    </row>
    <row r="64" ht="15.75" customHeight="1">
      <c r="A64" s="58">
        <v>0.0</v>
      </c>
      <c r="B64" s="188" t="s">
        <v>5675</v>
      </c>
      <c r="C64" s="58" t="s">
        <v>682</v>
      </c>
      <c r="D64" s="72" t="s">
        <v>163</v>
      </c>
      <c r="E64" s="73"/>
      <c r="F64" s="10"/>
      <c r="G64" s="10"/>
      <c r="H64" s="10"/>
      <c r="I64" s="10"/>
      <c r="J64" s="10"/>
      <c r="K64" s="10"/>
      <c r="L64" s="10"/>
      <c r="M64" s="10"/>
      <c r="N64" s="10"/>
      <c r="O64" s="10"/>
      <c r="P64" s="10"/>
      <c r="Q64" s="10"/>
      <c r="R64" s="10"/>
      <c r="S64" s="10"/>
      <c r="T64" s="10"/>
      <c r="U64" s="10"/>
    </row>
    <row r="65" ht="15.75" customHeight="1">
      <c r="A65" s="58">
        <v>-1.0</v>
      </c>
      <c r="B65" s="188" t="s">
        <v>5681</v>
      </c>
      <c r="C65" s="58" t="s">
        <v>752</v>
      </c>
      <c r="D65" s="72" t="s">
        <v>163</v>
      </c>
      <c r="E65" s="73"/>
      <c r="F65" s="10"/>
      <c r="G65" s="10"/>
      <c r="H65" s="10"/>
      <c r="I65" s="10"/>
      <c r="J65" s="10"/>
      <c r="K65" s="10"/>
      <c r="L65" s="10"/>
      <c r="M65" s="10"/>
      <c r="N65" s="10"/>
      <c r="O65" s="10"/>
      <c r="P65" s="10"/>
      <c r="Q65" s="10"/>
      <c r="R65" s="10"/>
      <c r="S65" s="10"/>
      <c r="T65" s="10"/>
      <c r="U65" s="10"/>
    </row>
    <row r="66" ht="15.75" hidden="1" customHeight="1">
      <c r="A66" s="58">
        <v>-1.0</v>
      </c>
      <c r="B66" s="58"/>
      <c r="C66" s="58" t="s">
        <v>907</v>
      </c>
      <c r="D66" s="131" t="s">
        <v>901</v>
      </c>
      <c r="E66" s="73"/>
      <c r="F66" s="189"/>
      <c r="G66" s="10"/>
      <c r="H66" s="10"/>
      <c r="I66" s="10"/>
      <c r="J66" s="10"/>
      <c r="K66" s="10"/>
      <c r="L66" s="10"/>
      <c r="M66" s="10"/>
      <c r="N66" s="10"/>
      <c r="O66" s="10"/>
      <c r="P66" s="10"/>
      <c r="Q66" s="10"/>
      <c r="R66" s="10"/>
      <c r="S66" s="10"/>
      <c r="T66" s="10"/>
      <c r="U66" s="10"/>
    </row>
    <row r="67" ht="15.75" customHeight="1">
      <c r="A67" s="58">
        <v>-1.0</v>
      </c>
      <c r="B67" s="188" t="s">
        <v>5696</v>
      </c>
      <c r="C67" s="58" t="s">
        <v>961</v>
      </c>
      <c r="D67" s="72" t="s">
        <v>459</v>
      </c>
      <c r="E67" s="73"/>
      <c r="F67" s="10"/>
      <c r="G67" s="10"/>
      <c r="H67" s="10"/>
      <c r="I67" s="10"/>
      <c r="J67" s="10"/>
      <c r="K67" s="10"/>
      <c r="L67" s="10"/>
      <c r="M67" s="10"/>
      <c r="N67" s="10"/>
      <c r="O67" s="10"/>
      <c r="P67" s="10"/>
      <c r="Q67" s="10"/>
      <c r="R67" s="10"/>
      <c r="S67" s="10"/>
      <c r="T67" s="10"/>
      <c r="U67" s="10"/>
    </row>
    <row r="68" ht="15.75" customHeight="1">
      <c r="A68" s="58">
        <v>-3.0</v>
      </c>
      <c r="B68" s="188" t="s">
        <v>5694</v>
      </c>
      <c r="C68" s="58" t="s">
        <v>5697</v>
      </c>
      <c r="D68" s="72" t="s">
        <v>459</v>
      </c>
      <c r="E68" s="73"/>
      <c r="F68" s="189"/>
      <c r="G68" s="10"/>
      <c r="H68" s="10"/>
      <c r="I68" s="10"/>
      <c r="J68" s="10"/>
      <c r="K68" s="10"/>
      <c r="L68" s="10"/>
      <c r="M68" s="10"/>
      <c r="N68" s="10"/>
      <c r="O68" s="10"/>
      <c r="P68" s="10"/>
      <c r="Q68" s="10"/>
      <c r="R68" s="10"/>
      <c r="S68" s="10"/>
      <c r="T68" s="10"/>
      <c r="U68" s="10"/>
    </row>
    <row r="69" ht="15.75" customHeight="1">
      <c r="A69" s="58">
        <v>0.0</v>
      </c>
      <c r="B69" s="188" t="s">
        <v>5698</v>
      </c>
      <c r="C69" s="58" t="s">
        <v>1524</v>
      </c>
      <c r="D69" s="72" t="s">
        <v>459</v>
      </c>
      <c r="E69" s="73"/>
      <c r="F69" s="10"/>
      <c r="G69" s="10"/>
      <c r="H69" s="10"/>
      <c r="I69" s="10"/>
      <c r="J69" s="10"/>
      <c r="K69" s="10"/>
      <c r="L69" s="10"/>
      <c r="M69" s="10"/>
      <c r="N69" s="10"/>
      <c r="O69" s="10"/>
      <c r="P69" s="10"/>
      <c r="Q69" s="10"/>
      <c r="R69" s="10"/>
      <c r="S69" s="10"/>
      <c r="T69" s="10"/>
      <c r="U69" s="10"/>
    </row>
    <row r="70" ht="15.75" customHeight="1">
      <c r="A70" s="58">
        <v>-1.0</v>
      </c>
      <c r="B70" s="188" t="s">
        <v>5675</v>
      </c>
      <c r="C70" s="58" t="s">
        <v>694</v>
      </c>
      <c r="D70" s="72" t="s">
        <v>163</v>
      </c>
      <c r="E70" s="73"/>
      <c r="F70" s="10"/>
      <c r="G70" s="10"/>
      <c r="H70" s="10"/>
      <c r="I70" s="10"/>
      <c r="J70" s="10"/>
      <c r="K70" s="10"/>
      <c r="L70" s="10"/>
      <c r="M70" s="10"/>
      <c r="N70" s="10"/>
      <c r="O70" s="10"/>
      <c r="P70" s="10"/>
      <c r="Q70" s="10"/>
      <c r="R70" s="10"/>
      <c r="S70" s="10"/>
      <c r="T70" s="10"/>
      <c r="U70" s="10"/>
    </row>
    <row r="71" ht="15.75" hidden="1" customHeight="1">
      <c r="A71" s="58">
        <v>-1.0</v>
      </c>
      <c r="B71" s="58"/>
      <c r="C71" s="58" t="s">
        <v>908</v>
      </c>
      <c r="D71" s="72" t="s">
        <v>901</v>
      </c>
      <c r="E71" s="73"/>
      <c r="F71" s="10"/>
      <c r="G71" s="10"/>
      <c r="H71" s="10"/>
      <c r="I71" s="10"/>
      <c r="J71" s="10"/>
      <c r="K71" s="10"/>
      <c r="L71" s="10"/>
      <c r="M71" s="10"/>
      <c r="N71" s="10"/>
      <c r="O71" s="10"/>
      <c r="P71" s="10"/>
      <c r="Q71" s="10"/>
      <c r="R71" s="10"/>
      <c r="S71" s="10"/>
      <c r="T71" s="10"/>
      <c r="U71" s="10"/>
    </row>
    <row r="72" ht="15.75" hidden="1" customHeight="1">
      <c r="A72" s="58">
        <v>0.0</v>
      </c>
      <c r="B72" s="58"/>
      <c r="C72" s="58" t="s">
        <v>5699</v>
      </c>
      <c r="D72" s="72" t="s">
        <v>901</v>
      </c>
      <c r="E72" s="73"/>
      <c r="F72" s="10"/>
      <c r="G72" s="10"/>
      <c r="H72" s="10"/>
      <c r="I72" s="10"/>
      <c r="J72" s="10"/>
      <c r="K72" s="10"/>
      <c r="L72" s="10"/>
      <c r="M72" s="10"/>
      <c r="N72" s="10"/>
      <c r="O72" s="10"/>
      <c r="P72" s="10"/>
      <c r="Q72" s="10"/>
      <c r="R72" s="10"/>
      <c r="S72" s="10"/>
      <c r="T72" s="10"/>
      <c r="U72" s="10"/>
    </row>
    <row r="73" ht="15.75" customHeight="1">
      <c r="A73" s="58">
        <v>0.0</v>
      </c>
      <c r="B73" s="188" t="s">
        <v>5700</v>
      </c>
      <c r="C73" s="58" t="s">
        <v>1100</v>
      </c>
      <c r="D73" s="72" t="s">
        <v>163</v>
      </c>
      <c r="E73" s="73"/>
      <c r="F73" s="10"/>
      <c r="G73" s="10"/>
      <c r="H73" s="10"/>
      <c r="I73" s="10"/>
      <c r="J73" s="10"/>
      <c r="K73" s="10"/>
      <c r="L73" s="10"/>
      <c r="M73" s="10"/>
      <c r="N73" s="10"/>
      <c r="O73" s="10"/>
      <c r="P73" s="10"/>
      <c r="Q73" s="10"/>
      <c r="R73" s="10"/>
      <c r="S73" s="10"/>
      <c r="T73" s="10"/>
      <c r="U73" s="10"/>
    </row>
    <row r="74" ht="15.75" customHeight="1">
      <c r="A74" s="58">
        <v>-2.0</v>
      </c>
      <c r="B74" s="188" t="s">
        <v>5701</v>
      </c>
      <c r="C74" s="58" t="s">
        <v>2297</v>
      </c>
      <c r="D74" s="72" t="s">
        <v>171</v>
      </c>
      <c r="E74" s="73"/>
      <c r="F74" s="189"/>
      <c r="G74" s="10"/>
      <c r="H74" s="10"/>
      <c r="I74" s="10"/>
      <c r="J74" s="10"/>
      <c r="K74" s="10"/>
      <c r="L74" s="10"/>
      <c r="M74" s="10"/>
      <c r="N74" s="10"/>
      <c r="O74" s="10"/>
      <c r="P74" s="10"/>
      <c r="Q74" s="10"/>
      <c r="R74" s="10"/>
      <c r="S74" s="10"/>
      <c r="T74" s="10"/>
      <c r="U74" s="10"/>
    </row>
    <row r="75" ht="15.75" customHeight="1">
      <c r="A75" s="58">
        <v>-1.0</v>
      </c>
      <c r="B75" s="188" t="s">
        <v>5702</v>
      </c>
      <c r="C75" s="58" t="s">
        <v>569</v>
      </c>
      <c r="D75" s="72" t="s">
        <v>561</v>
      </c>
      <c r="E75" s="73"/>
      <c r="F75" s="10"/>
      <c r="G75" s="10"/>
      <c r="H75" s="10"/>
      <c r="I75" s="10"/>
      <c r="J75" s="10"/>
      <c r="K75" s="10"/>
      <c r="L75" s="10"/>
      <c r="M75" s="10"/>
      <c r="N75" s="10"/>
      <c r="O75" s="10"/>
      <c r="P75" s="10"/>
      <c r="Q75" s="10"/>
      <c r="R75" s="10"/>
      <c r="S75" s="10"/>
      <c r="T75" s="10"/>
      <c r="U75" s="10"/>
    </row>
    <row r="76" ht="15.75" customHeight="1">
      <c r="A76" s="58">
        <v>0.0</v>
      </c>
      <c r="B76" s="188" t="s">
        <v>5703</v>
      </c>
      <c r="C76" s="58" t="s">
        <v>1272</v>
      </c>
      <c r="D76" s="72" t="s">
        <v>155</v>
      </c>
      <c r="E76" s="73"/>
      <c r="F76" s="10"/>
      <c r="G76" s="10"/>
      <c r="H76" s="10"/>
      <c r="I76" s="10"/>
      <c r="J76" s="10"/>
      <c r="K76" s="10"/>
      <c r="L76" s="10"/>
      <c r="M76" s="10"/>
      <c r="N76" s="10"/>
      <c r="O76" s="10"/>
      <c r="P76" s="10"/>
      <c r="Q76" s="10"/>
      <c r="R76" s="10"/>
      <c r="S76" s="10"/>
      <c r="T76" s="10"/>
      <c r="U76" s="10"/>
    </row>
    <row r="77" ht="15.75" customHeight="1">
      <c r="A77" s="58">
        <v>-2.0</v>
      </c>
      <c r="B77" s="188" t="s">
        <v>5673</v>
      </c>
      <c r="C77" s="58" t="s">
        <v>291</v>
      </c>
      <c r="D77" s="72" t="s">
        <v>163</v>
      </c>
      <c r="E77" s="73"/>
      <c r="F77" s="189"/>
      <c r="G77" s="10"/>
      <c r="H77" s="10"/>
      <c r="I77" s="10"/>
      <c r="J77" s="10"/>
      <c r="K77" s="10"/>
      <c r="L77" s="10"/>
      <c r="M77" s="10"/>
      <c r="N77" s="10"/>
      <c r="O77" s="10"/>
      <c r="P77" s="10"/>
      <c r="Q77" s="10"/>
      <c r="R77" s="10"/>
      <c r="S77" s="10"/>
      <c r="T77" s="10"/>
      <c r="U77" s="10"/>
    </row>
    <row r="78" ht="15.75" customHeight="1">
      <c r="A78" s="58">
        <v>-1.0</v>
      </c>
      <c r="B78" s="188" t="s">
        <v>5704</v>
      </c>
      <c r="C78" s="58" t="s">
        <v>549</v>
      </c>
      <c r="D78" s="72" t="s">
        <v>187</v>
      </c>
      <c r="E78" s="73"/>
      <c r="F78" s="10"/>
      <c r="G78" s="10"/>
      <c r="H78" s="10"/>
      <c r="I78" s="10"/>
      <c r="J78" s="10"/>
      <c r="K78" s="10"/>
      <c r="L78" s="10"/>
      <c r="M78" s="10"/>
      <c r="N78" s="10"/>
      <c r="O78" s="10"/>
      <c r="P78" s="10"/>
      <c r="Q78" s="10"/>
      <c r="R78" s="10"/>
      <c r="S78" s="10"/>
      <c r="T78" s="10"/>
      <c r="U78" s="10"/>
    </row>
    <row r="79" ht="15.75" customHeight="1">
      <c r="A79" s="58">
        <v>-1.0</v>
      </c>
      <c r="B79" s="188" t="s">
        <v>5672</v>
      </c>
      <c r="C79" s="58" t="s">
        <v>5705</v>
      </c>
      <c r="D79" s="72" t="s">
        <v>163</v>
      </c>
      <c r="E79" s="73"/>
      <c r="F79" s="10"/>
      <c r="G79" s="10"/>
      <c r="H79" s="10"/>
      <c r="I79" s="10"/>
      <c r="J79" s="10"/>
      <c r="K79" s="10"/>
      <c r="L79" s="10"/>
      <c r="M79" s="10"/>
      <c r="N79" s="10"/>
      <c r="O79" s="10"/>
      <c r="P79" s="10"/>
      <c r="Q79" s="10"/>
      <c r="R79" s="10"/>
      <c r="S79" s="10"/>
      <c r="T79" s="10"/>
      <c r="U79" s="10"/>
    </row>
    <row r="80" ht="15.75" customHeight="1">
      <c r="A80" s="58">
        <v>-1.0</v>
      </c>
      <c r="B80" s="188" t="s">
        <v>5687</v>
      </c>
      <c r="C80" s="58" t="s">
        <v>521</v>
      </c>
      <c r="D80" s="72" t="s">
        <v>163</v>
      </c>
      <c r="E80" s="73"/>
      <c r="F80" s="10"/>
      <c r="G80" s="10"/>
      <c r="H80" s="10"/>
      <c r="I80" s="10"/>
      <c r="J80" s="10"/>
      <c r="K80" s="10"/>
      <c r="L80" s="10"/>
      <c r="M80" s="10"/>
      <c r="N80" s="10"/>
      <c r="O80" s="10"/>
      <c r="P80" s="10"/>
      <c r="Q80" s="10"/>
      <c r="R80" s="10"/>
      <c r="S80" s="10"/>
      <c r="T80" s="10"/>
      <c r="U80" s="10"/>
    </row>
    <row r="81" ht="15.75" customHeight="1">
      <c r="A81" s="58">
        <v>0.0</v>
      </c>
      <c r="B81" s="188" t="s">
        <v>5674</v>
      </c>
      <c r="C81" s="58" t="s">
        <v>1106</v>
      </c>
      <c r="D81" s="72" t="s">
        <v>187</v>
      </c>
      <c r="E81" s="73"/>
      <c r="F81" s="10"/>
      <c r="G81" s="10"/>
      <c r="H81" s="10"/>
      <c r="I81" s="10"/>
      <c r="J81" s="10"/>
      <c r="K81" s="10"/>
      <c r="L81" s="10"/>
      <c r="M81" s="10"/>
      <c r="N81" s="10"/>
      <c r="O81" s="10"/>
      <c r="P81" s="10"/>
      <c r="Q81" s="10"/>
      <c r="R81" s="10"/>
      <c r="S81" s="10"/>
      <c r="T81" s="10"/>
      <c r="U81" s="10"/>
    </row>
    <row r="82" ht="15.75" hidden="1" customHeight="1">
      <c r="A82" s="58">
        <v>0.0</v>
      </c>
      <c r="B82" s="58"/>
      <c r="C82" s="58" t="s">
        <v>5706</v>
      </c>
      <c r="D82" s="72" t="s">
        <v>901</v>
      </c>
      <c r="E82" s="73"/>
      <c r="F82" s="10"/>
      <c r="G82" s="10"/>
      <c r="H82" s="10"/>
      <c r="I82" s="10"/>
      <c r="J82" s="10"/>
      <c r="K82" s="10"/>
      <c r="L82" s="10"/>
      <c r="M82" s="10"/>
      <c r="N82" s="10"/>
      <c r="O82" s="10"/>
      <c r="P82" s="10"/>
      <c r="Q82" s="10"/>
      <c r="R82" s="10"/>
      <c r="S82" s="10"/>
      <c r="T82" s="10"/>
      <c r="U82" s="10"/>
    </row>
    <row r="83" ht="15.75" customHeight="1">
      <c r="A83" s="58">
        <v>-1.0</v>
      </c>
      <c r="B83" s="188" t="s">
        <v>5701</v>
      </c>
      <c r="C83" s="58" t="s">
        <v>618</v>
      </c>
      <c r="D83" s="72" t="s">
        <v>561</v>
      </c>
      <c r="E83" s="73"/>
      <c r="F83" s="10"/>
      <c r="G83" s="10"/>
      <c r="H83" s="10"/>
      <c r="I83" s="10"/>
      <c r="J83" s="10"/>
      <c r="K83" s="10"/>
      <c r="L83" s="10"/>
      <c r="M83" s="10"/>
      <c r="N83" s="10"/>
      <c r="O83" s="10"/>
      <c r="P83" s="10"/>
      <c r="Q83" s="10"/>
      <c r="R83" s="10"/>
      <c r="S83" s="10"/>
      <c r="T83" s="10"/>
      <c r="U83" s="10"/>
    </row>
    <row r="84" ht="15.75" customHeight="1">
      <c r="A84" s="58">
        <v>-2.0</v>
      </c>
      <c r="B84" s="188" t="s">
        <v>5694</v>
      </c>
      <c r="C84" s="58" t="s">
        <v>5707</v>
      </c>
      <c r="D84" s="72" t="s">
        <v>171</v>
      </c>
      <c r="E84" s="73"/>
      <c r="F84" s="189"/>
      <c r="G84" s="10"/>
      <c r="H84" s="10"/>
      <c r="I84" s="10"/>
      <c r="J84" s="10"/>
      <c r="K84" s="10"/>
      <c r="L84" s="10"/>
      <c r="M84" s="10"/>
      <c r="N84" s="10"/>
      <c r="O84" s="10"/>
      <c r="P84" s="10"/>
      <c r="Q84" s="10"/>
      <c r="R84" s="10"/>
      <c r="S84" s="10"/>
      <c r="T84" s="10"/>
      <c r="U84" s="10"/>
    </row>
    <row r="85" ht="15.75" hidden="1" customHeight="1">
      <c r="A85" s="58">
        <v>-1.0</v>
      </c>
      <c r="B85" s="58"/>
      <c r="C85" s="58" t="s">
        <v>5708</v>
      </c>
      <c r="D85" s="72" t="s">
        <v>901</v>
      </c>
      <c r="E85" s="73"/>
      <c r="F85" s="10"/>
      <c r="G85" s="10"/>
      <c r="H85" s="10"/>
      <c r="I85" s="10"/>
      <c r="J85" s="10"/>
      <c r="K85" s="10"/>
      <c r="L85" s="10"/>
      <c r="M85" s="10"/>
      <c r="N85" s="10"/>
      <c r="O85" s="10"/>
      <c r="P85" s="10"/>
      <c r="Q85" s="10"/>
      <c r="R85" s="10"/>
      <c r="S85" s="10"/>
      <c r="T85" s="10"/>
      <c r="U85" s="10"/>
    </row>
    <row r="86" ht="15.75" hidden="1" customHeight="1">
      <c r="A86" s="58">
        <v>0.0</v>
      </c>
      <c r="B86" s="58"/>
      <c r="C86" s="58" t="s">
        <v>1458</v>
      </c>
      <c r="D86" s="72" t="s">
        <v>901</v>
      </c>
      <c r="E86" s="73"/>
      <c r="F86" s="10"/>
      <c r="G86" s="10"/>
      <c r="H86" s="10"/>
      <c r="I86" s="10"/>
      <c r="J86" s="10"/>
      <c r="K86" s="10"/>
      <c r="L86" s="10"/>
      <c r="M86" s="10"/>
      <c r="N86" s="10"/>
      <c r="O86" s="10"/>
      <c r="P86" s="10"/>
      <c r="Q86" s="10"/>
      <c r="R86" s="10"/>
      <c r="S86" s="10"/>
      <c r="T86" s="10"/>
      <c r="U86" s="10"/>
    </row>
    <row r="87" ht="15.75" customHeight="1">
      <c r="A87" s="58">
        <v>1.0</v>
      </c>
      <c r="B87" s="188" t="s">
        <v>5698</v>
      </c>
      <c r="C87" s="58" t="s">
        <v>1708</v>
      </c>
      <c r="D87" s="72" t="s">
        <v>125</v>
      </c>
      <c r="E87" s="10"/>
      <c r="F87" s="10"/>
      <c r="G87" s="10"/>
      <c r="H87" s="10"/>
      <c r="I87" s="10"/>
      <c r="J87" s="10"/>
      <c r="K87" s="10"/>
      <c r="L87" s="10"/>
      <c r="M87" s="10"/>
      <c r="N87" s="10"/>
      <c r="O87" s="10"/>
      <c r="P87" s="10"/>
      <c r="Q87" s="10"/>
      <c r="R87" s="10"/>
      <c r="S87" s="10"/>
      <c r="T87" s="10"/>
      <c r="U87" s="10"/>
    </row>
    <row r="88" ht="15.75" hidden="1" customHeight="1">
      <c r="A88" s="58">
        <v>-1.0</v>
      </c>
      <c r="B88" s="58"/>
      <c r="C88" s="58" t="s">
        <v>5709</v>
      </c>
      <c r="D88" s="72" t="s">
        <v>901</v>
      </c>
      <c r="E88" s="73"/>
      <c r="F88" s="10"/>
      <c r="G88" s="10"/>
      <c r="H88" s="10"/>
      <c r="I88" s="10"/>
      <c r="J88" s="10"/>
      <c r="K88" s="10"/>
      <c r="L88" s="10"/>
      <c r="M88" s="10"/>
      <c r="N88" s="10"/>
      <c r="O88" s="10"/>
      <c r="P88" s="10"/>
      <c r="Q88" s="10"/>
      <c r="R88" s="10"/>
      <c r="S88" s="10"/>
      <c r="T88" s="10"/>
      <c r="U88" s="10"/>
    </row>
    <row r="89" ht="15.75" customHeight="1">
      <c r="A89" s="58">
        <v>-2.0</v>
      </c>
      <c r="B89" s="188" t="s">
        <v>5710</v>
      </c>
      <c r="C89" s="58" t="s">
        <v>2387</v>
      </c>
      <c r="D89" s="72" t="s">
        <v>44</v>
      </c>
      <c r="E89" s="73"/>
      <c r="F89" s="10"/>
      <c r="G89" s="10"/>
      <c r="H89" s="10"/>
      <c r="I89" s="10"/>
      <c r="J89" s="10"/>
      <c r="K89" s="10"/>
      <c r="L89" s="10"/>
      <c r="M89" s="10"/>
      <c r="N89" s="10"/>
      <c r="O89" s="10"/>
      <c r="P89" s="10"/>
      <c r="Q89" s="10"/>
      <c r="R89" s="10"/>
      <c r="S89" s="10"/>
      <c r="T89" s="10"/>
      <c r="U89" s="10"/>
    </row>
    <row r="90" ht="15.75" customHeight="1">
      <c r="A90" s="58">
        <v>-2.0</v>
      </c>
      <c r="B90" s="188" t="s">
        <v>5685</v>
      </c>
      <c r="C90" s="58" t="s">
        <v>5711</v>
      </c>
      <c r="D90" s="72" t="s">
        <v>459</v>
      </c>
      <c r="E90" s="73"/>
      <c r="F90" s="189"/>
      <c r="G90" s="10"/>
      <c r="H90" s="10"/>
      <c r="I90" s="10"/>
      <c r="J90" s="10"/>
      <c r="K90" s="10"/>
      <c r="L90" s="10"/>
      <c r="M90" s="10"/>
      <c r="N90" s="10"/>
      <c r="O90" s="10"/>
      <c r="P90" s="10"/>
      <c r="Q90" s="10"/>
      <c r="R90" s="10"/>
      <c r="S90" s="10"/>
      <c r="T90" s="10"/>
      <c r="U90" s="10"/>
    </row>
    <row r="91" ht="15.75" customHeight="1">
      <c r="A91" s="58">
        <v>-2.0</v>
      </c>
      <c r="B91" s="188" t="s">
        <v>5712</v>
      </c>
      <c r="C91" s="58" t="s">
        <v>356</v>
      </c>
      <c r="D91" s="72" t="s">
        <v>163</v>
      </c>
      <c r="E91" s="73"/>
      <c r="F91" s="189"/>
      <c r="G91" s="10"/>
      <c r="H91" s="10"/>
      <c r="I91" s="10"/>
      <c r="J91" s="10"/>
      <c r="K91" s="10"/>
      <c r="L91" s="10"/>
      <c r="M91" s="10"/>
      <c r="N91" s="10"/>
      <c r="O91" s="10"/>
      <c r="P91" s="10"/>
      <c r="Q91" s="10"/>
      <c r="R91" s="10"/>
      <c r="S91" s="10"/>
      <c r="T91" s="10"/>
      <c r="U91" s="10"/>
    </row>
    <row r="92" ht="15.75" customHeight="1">
      <c r="A92" s="58">
        <v>0.0</v>
      </c>
      <c r="B92" s="188" t="s">
        <v>5713</v>
      </c>
      <c r="C92" s="58" t="s">
        <v>1374</v>
      </c>
      <c r="D92" s="72" t="s">
        <v>459</v>
      </c>
      <c r="E92" s="73"/>
      <c r="F92" s="10"/>
      <c r="G92" s="10"/>
      <c r="H92" s="10"/>
      <c r="I92" s="10"/>
      <c r="J92" s="10"/>
      <c r="K92" s="10"/>
      <c r="L92" s="10"/>
      <c r="M92" s="10"/>
      <c r="N92" s="10"/>
      <c r="O92" s="10"/>
      <c r="P92" s="10"/>
      <c r="Q92" s="10"/>
      <c r="R92" s="10"/>
      <c r="S92" s="10"/>
      <c r="T92" s="10"/>
      <c r="U92" s="10"/>
    </row>
    <row r="93" ht="15.75" customHeight="1">
      <c r="A93" s="58">
        <v>-1.0</v>
      </c>
      <c r="B93" s="188" t="s">
        <v>5685</v>
      </c>
      <c r="C93" s="58" t="s">
        <v>777</v>
      </c>
      <c r="D93" s="72" t="s">
        <v>163</v>
      </c>
      <c r="E93" s="73"/>
      <c r="F93" s="10"/>
      <c r="G93" s="10"/>
      <c r="H93" s="10"/>
      <c r="I93" s="10"/>
      <c r="J93" s="10"/>
      <c r="K93" s="10"/>
      <c r="L93" s="10"/>
      <c r="M93" s="10"/>
      <c r="N93" s="10"/>
      <c r="O93" s="10"/>
      <c r="P93" s="10"/>
      <c r="Q93" s="10"/>
      <c r="R93" s="10"/>
      <c r="S93" s="10"/>
      <c r="T93" s="10"/>
      <c r="U93" s="10"/>
    </row>
    <row r="94" ht="15.75" customHeight="1">
      <c r="A94" s="58">
        <v>0.0</v>
      </c>
      <c r="B94" s="188" t="s">
        <v>5704</v>
      </c>
      <c r="C94" s="58" t="s">
        <v>1015</v>
      </c>
      <c r="D94" s="72" t="s">
        <v>187</v>
      </c>
      <c r="E94" s="73"/>
      <c r="F94" s="10"/>
      <c r="G94" s="10"/>
      <c r="H94" s="10"/>
      <c r="I94" s="10"/>
      <c r="J94" s="10"/>
      <c r="K94" s="10"/>
      <c r="L94" s="10"/>
      <c r="M94" s="10"/>
      <c r="N94" s="10"/>
      <c r="O94" s="10"/>
      <c r="P94" s="10"/>
      <c r="Q94" s="10"/>
      <c r="R94" s="10"/>
      <c r="S94" s="10"/>
      <c r="T94" s="10"/>
      <c r="U94" s="10"/>
    </row>
    <row r="95" ht="15.75" customHeight="1">
      <c r="A95" s="58">
        <v>-1.0</v>
      </c>
      <c r="B95" s="188" t="s">
        <v>5696</v>
      </c>
      <c r="C95" s="58" t="s">
        <v>699</v>
      </c>
      <c r="D95" s="72" t="s">
        <v>187</v>
      </c>
      <c r="E95" s="73"/>
      <c r="F95" s="10"/>
      <c r="G95" s="10"/>
      <c r="H95" s="10"/>
      <c r="I95" s="10"/>
      <c r="J95" s="10"/>
      <c r="K95" s="10"/>
      <c r="L95" s="10"/>
      <c r="M95" s="10"/>
      <c r="N95" s="10"/>
      <c r="O95" s="10"/>
      <c r="P95" s="10"/>
      <c r="Q95" s="10"/>
      <c r="R95" s="10"/>
      <c r="S95" s="10"/>
      <c r="T95" s="10"/>
      <c r="U95" s="10"/>
    </row>
    <row r="96" ht="15.75" customHeight="1">
      <c r="A96" s="58">
        <v>1.0</v>
      </c>
      <c r="B96" s="188" t="s">
        <v>5703</v>
      </c>
      <c r="C96" s="58" t="s">
        <v>1579</v>
      </c>
      <c r="D96" s="72" t="s">
        <v>44</v>
      </c>
      <c r="E96" s="73"/>
      <c r="F96" s="10"/>
      <c r="G96" s="10"/>
      <c r="H96" s="10"/>
      <c r="I96" s="10"/>
      <c r="J96" s="10"/>
      <c r="K96" s="10"/>
      <c r="L96" s="10"/>
      <c r="M96" s="10"/>
      <c r="N96" s="10"/>
      <c r="O96" s="10"/>
      <c r="P96" s="10"/>
      <c r="Q96" s="10"/>
      <c r="R96" s="10"/>
      <c r="S96" s="10"/>
      <c r="T96" s="10"/>
      <c r="U96" s="10"/>
    </row>
    <row r="97" ht="15.75" customHeight="1">
      <c r="A97" s="58">
        <v>-2.0</v>
      </c>
      <c r="B97" s="188" t="s">
        <v>5714</v>
      </c>
      <c r="C97" s="58" t="s">
        <v>157</v>
      </c>
      <c r="D97" s="72" t="s">
        <v>163</v>
      </c>
      <c r="E97" s="73"/>
      <c r="F97" s="189"/>
      <c r="G97" s="10"/>
      <c r="H97" s="10"/>
      <c r="I97" s="10"/>
      <c r="J97" s="10"/>
      <c r="K97" s="10"/>
      <c r="L97" s="10"/>
      <c r="M97" s="10"/>
      <c r="N97" s="10"/>
      <c r="O97" s="10"/>
      <c r="P97" s="10"/>
      <c r="Q97" s="10"/>
      <c r="R97" s="10"/>
      <c r="S97" s="10"/>
      <c r="T97" s="10"/>
      <c r="U97" s="10"/>
    </row>
    <row r="98" ht="15.75" customHeight="1">
      <c r="A98" s="58">
        <v>0.0</v>
      </c>
      <c r="B98" s="188" t="s">
        <v>5679</v>
      </c>
      <c r="C98" s="58" t="s">
        <v>5715</v>
      </c>
      <c r="D98" s="72" t="s">
        <v>459</v>
      </c>
      <c r="E98" s="73"/>
      <c r="F98" s="10"/>
      <c r="G98" s="10"/>
      <c r="H98" s="10"/>
      <c r="I98" s="10"/>
      <c r="J98" s="10"/>
      <c r="K98" s="10"/>
      <c r="L98" s="10"/>
      <c r="M98" s="10"/>
      <c r="N98" s="10"/>
      <c r="O98" s="10"/>
      <c r="P98" s="10"/>
      <c r="Q98" s="10"/>
      <c r="R98" s="10"/>
      <c r="S98" s="10"/>
      <c r="T98" s="10"/>
      <c r="U98" s="10"/>
    </row>
    <row r="99" ht="15.75" customHeight="1">
      <c r="A99" s="58">
        <v>-1.0</v>
      </c>
      <c r="B99" s="188" t="s">
        <v>5677</v>
      </c>
      <c r="C99" s="58" t="s">
        <v>740</v>
      </c>
      <c r="D99" s="72" t="s">
        <v>163</v>
      </c>
      <c r="E99" s="73"/>
      <c r="F99" s="10"/>
      <c r="G99" s="10"/>
      <c r="H99" s="10"/>
      <c r="I99" s="10"/>
      <c r="J99" s="10"/>
      <c r="K99" s="10"/>
      <c r="L99" s="10"/>
      <c r="M99" s="10"/>
      <c r="N99" s="10"/>
      <c r="O99" s="10"/>
      <c r="P99" s="10"/>
      <c r="Q99" s="10"/>
      <c r="R99" s="10"/>
      <c r="S99" s="10"/>
      <c r="T99" s="10"/>
      <c r="U99" s="10"/>
    </row>
    <row r="100" ht="15.75" customHeight="1">
      <c r="A100" s="58">
        <v>0.0</v>
      </c>
      <c r="B100" s="188" t="s">
        <v>5698</v>
      </c>
      <c r="C100" s="58" t="s">
        <v>1290</v>
      </c>
      <c r="D100" s="72" t="s">
        <v>163</v>
      </c>
      <c r="E100" s="73"/>
      <c r="F100" s="10"/>
      <c r="G100" s="10"/>
      <c r="H100" s="10"/>
      <c r="I100" s="10"/>
      <c r="J100" s="10"/>
      <c r="K100" s="10"/>
      <c r="L100" s="10"/>
      <c r="M100" s="10"/>
      <c r="N100" s="10"/>
      <c r="O100" s="10"/>
      <c r="P100" s="10"/>
      <c r="Q100" s="10"/>
      <c r="R100" s="10"/>
      <c r="S100" s="10"/>
      <c r="T100" s="10"/>
      <c r="U100" s="10"/>
    </row>
    <row r="101" ht="15.75" customHeight="1">
      <c r="A101" s="58">
        <v>-1.0</v>
      </c>
      <c r="B101" s="188" t="s">
        <v>5716</v>
      </c>
      <c r="C101" s="58" t="s">
        <v>543</v>
      </c>
      <c r="D101" s="72" t="s">
        <v>179</v>
      </c>
      <c r="E101" s="73"/>
      <c r="F101" s="10"/>
      <c r="G101" s="10"/>
      <c r="H101" s="10"/>
      <c r="I101" s="10"/>
      <c r="J101" s="10"/>
      <c r="K101" s="10"/>
      <c r="L101" s="10"/>
      <c r="M101" s="10"/>
      <c r="N101" s="10"/>
      <c r="O101" s="10"/>
      <c r="P101" s="10"/>
      <c r="Q101" s="10"/>
      <c r="R101" s="10"/>
      <c r="S101" s="10"/>
      <c r="T101" s="10"/>
      <c r="U101" s="10"/>
    </row>
    <row r="102" ht="15.75" customHeight="1">
      <c r="A102" s="58">
        <v>0.0</v>
      </c>
      <c r="B102" s="188" t="s">
        <v>5701</v>
      </c>
      <c r="C102" s="58" t="s">
        <v>2426</v>
      </c>
      <c r="D102" s="72" t="s">
        <v>163</v>
      </c>
      <c r="E102" s="73"/>
      <c r="F102" s="10"/>
      <c r="G102" s="10"/>
      <c r="H102" s="10"/>
      <c r="I102" s="10"/>
      <c r="J102" s="10"/>
      <c r="K102" s="10"/>
      <c r="L102" s="10"/>
      <c r="M102" s="10"/>
      <c r="N102" s="10"/>
      <c r="O102" s="10"/>
      <c r="P102" s="10"/>
      <c r="Q102" s="10"/>
      <c r="R102" s="10"/>
      <c r="S102" s="10"/>
      <c r="T102" s="10"/>
      <c r="U102" s="10"/>
    </row>
    <row r="103" ht="15.75" customHeight="1">
      <c r="A103" s="58">
        <v>-1.0</v>
      </c>
      <c r="B103" s="188" t="s">
        <v>5686</v>
      </c>
      <c r="C103" s="58" t="s">
        <v>2083</v>
      </c>
      <c r="D103" s="72" t="s">
        <v>561</v>
      </c>
      <c r="E103" s="73"/>
      <c r="F103" s="10"/>
      <c r="G103" s="10"/>
      <c r="H103" s="10"/>
      <c r="I103" s="10"/>
      <c r="J103" s="10"/>
      <c r="K103" s="10"/>
      <c r="L103" s="10"/>
      <c r="M103" s="10"/>
      <c r="N103" s="10"/>
      <c r="O103" s="10"/>
      <c r="P103" s="10"/>
      <c r="Q103" s="10"/>
      <c r="R103" s="10"/>
      <c r="S103" s="10"/>
      <c r="T103" s="10"/>
      <c r="U103" s="10"/>
    </row>
    <row r="104" ht="15.75" customHeight="1">
      <c r="A104" s="58">
        <v>1.0</v>
      </c>
      <c r="B104" s="188" t="s">
        <v>5694</v>
      </c>
      <c r="C104" s="58" t="s">
        <v>5717</v>
      </c>
      <c r="D104" s="72" t="s">
        <v>125</v>
      </c>
      <c r="E104" s="73"/>
      <c r="F104" s="10"/>
      <c r="G104" s="10"/>
      <c r="H104" s="10"/>
      <c r="I104" s="10"/>
      <c r="J104" s="10"/>
      <c r="K104" s="10"/>
      <c r="L104" s="10"/>
      <c r="M104" s="10"/>
      <c r="N104" s="10"/>
      <c r="O104" s="10"/>
      <c r="P104" s="10"/>
      <c r="Q104" s="10"/>
      <c r="R104" s="10"/>
      <c r="S104" s="10"/>
      <c r="T104" s="10"/>
      <c r="U104" s="10"/>
    </row>
    <row r="105" ht="15.75" hidden="1" customHeight="1">
      <c r="A105" s="58">
        <v>0.0</v>
      </c>
      <c r="B105" s="58"/>
      <c r="C105" s="58" t="s">
        <v>5718</v>
      </c>
      <c r="D105" s="72" t="s">
        <v>901</v>
      </c>
      <c r="E105" s="73"/>
      <c r="F105" s="10"/>
      <c r="G105" s="10"/>
      <c r="H105" s="10"/>
      <c r="I105" s="10"/>
      <c r="J105" s="10"/>
      <c r="K105" s="10"/>
      <c r="L105" s="10"/>
      <c r="M105" s="10"/>
      <c r="N105" s="10"/>
      <c r="O105" s="10"/>
      <c r="P105" s="10"/>
      <c r="Q105" s="10"/>
      <c r="R105" s="10"/>
      <c r="S105" s="10"/>
      <c r="T105" s="10"/>
      <c r="U105" s="10"/>
    </row>
    <row r="106" ht="15.75" hidden="1" customHeight="1">
      <c r="A106" s="58">
        <v>-1.0</v>
      </c>
      <c r="B106" s="58"/>
      <c r="C106" s="58" t="s">
        <v>911</v>
      </c>
      <c r="D106" s="72" t="s">
        <v>901</v>
      </c>
      <c r="E106" s="73"/>
      <c r="F106" s="10"/>
      <c r="G106" s="10"/>
      <c r="H106" s="10"/>
      <c r="I106" s="10"/>
      <c r="J106" s="10"/>
      <c r="K106" s="10"/>
      <c r="L106" s="10"/>
      <c r="M106" s="10"/>
      <c r="N106" s="10"/>
      <c r="O106" s="10"/>
      <c r="P106" s="10"/>
      <c r="Q106" s="10"/>
      <c r="R106" s="10"/>
      <c r="S106" s="10"/>
      <c r="T106" s="10"/>
      <c r="U106" s="10"/>
    </row>
    <row r="107" ht="15.75" hidden="1" customHeight="1">
      <c r="A107" s="58">
        <v>0.0</v>
      </c>
      <c r="B107" s="58"/>
      <c r="C107" s="58" t="s">
        <v>5719</v>
      </c>
      <c r="D107" s="72" t="s">
        <v>901</v>
      </c>
      <c r="E107" s="73"/>
      <c r="F107" s="10"/>
      <c r="G107" s="10"/>
      <c r="H107" s="10"/>
      <c r="I107" s="10"/>
      <c r="J107" s="10"/>
      <c r="K107" s="10"/>
      <c r="L107" s="10"/>
      <c r="M107" s="10"/>
      <c r="N107" s="10"/>
      <c r="O107" s="10"/>
      <c r="P107" s="10"/>
      <c r="Q107" s="10"/>
      <c r="R107" s="10"/>
      <c r="S107" s="10"/>
      <c r="T107" s="10"/>
      <c r="U107" s="10"/>
    </row>
    <row r="108" ht="15.75" hidden="1" customHeight="1">
      <c r="A108" s="58">
        <v>0.0</v>
      </c>
      <c r="B108" s="58"/>
      <c r="C108" s="58" t="s">
        <v>1459</v>
      </c>
      <c r="D108" s="72" t="s">
        <v>901</v>
      </c>
      <c r="E108" s="73"/>
      <c r="F108" s="10"/>
      <c r="G108" s="10"/>
      <c r="H108" s="10"/>
      <c r="I108" s="10"/>
      <c r="J108" s="10"/>
      <c r="K108" s="10"/>
      <c r="L108" s="10"/>
      <c r="M108" s="10"/>
      <c r="N108" s="10"/>
      <c r="O108" s="10"/>
      <c r="P108" s="10"/>
      <c r="Q108" s="10"/>
      <c r="R108" s="10"/>
      <c r="S108" s="10"/>
      <c r="T108" s="10"/>
      <c r="U108" s="10"/>
    </row>
    <row r="109" ht="15.75" hidden="1" customHeight="1">
      <c r="A109" s="58">
        <v>-1.0</v>
      </c>
      <c r="B109" s="58"/>
      <c r="C109" s="58" t="s">
        <v>5720</v>
      </c>
      <c r="D109" s="72" t="s">
        <v>901</v>
      </c>
      <c r="E109" s="73"/>
      <c r="F109" s="10"/>
      <c r="G109" s="10"/>
      <c r="H109" s="10"/>
      <c r="I109" s="10"/>
      <c r="J109" s="10"/>
      <c r="K109" s="10"/>
      <c r="L109" s="10"/>
      <c r="M109" s="10"/>
      <c r="N109" s="10"/>
      <c r="O109" s="10"/>
      <c r="P109" s="10"/>
      <c r="Q109" s="10"/>
      <c r="R109" s="10"/>
      <c r="S109" s="10"/>
      <c r="T109" s="10"/>
      <c r="U109" s="10"/>
    </row>
    <row r="110" ht="15.75" hidden="1" customHeight="1">
      <c r="A110" s="58">
        <v>-1.0</v>
      </c>
      <c r="B110" s="58"/>
      <c r="C110" s="58" t="s">
        <v>5721</v>
      </c>
      <c r="D110" s="72" t="s">
        <v>901</v>
      </c>
      <c r="E110" s="73"/>
      <c r="F110" s="10"/>
      <c r="G110" s="10"/>
      <c r="H110" s="10"/>
      <c r="I110" s="10"/>
      <c r="J110" s="10"/>
      <c r="K110" s="10"/>
      <c r="L110" s="10"/>
      <c r="M110" s="10"/>
      <c r="N110" s="10"/>
      <c r="O110" s="10"/>
      <c r="P110" s="10"/>
      <c r="Q110" s="10"/>
      <c r="R110" s="10"/>
      <c r="S110" s="10"/>
      <c r="T110" s="10"/>
      <c r="U110" s="10"/>
    </row>
    <row r="111" ht="15.75" hidden="1" customHeight="1">
      <c r="A111" s="58">
        <v>-1.0</v>
      </c>
      <c r="B111" s="58"/>
      <c r="C111" s="58" t="s">
        <v>5512</v>
      </c>
      <c r="D111" s="72" t="s">
        <v>901</v>
      </c>
      <c r="E111" s="73"/>
      <c r="F111" s="10"/>
      <c r="G111" s="10"/>
      <c r="H111" s="10"/>
      <c r="I111" s="10"/>
      <c r="J111" s="10"/>
      <c r="K111" s="10"/>
      <c r="L111" s="10"/>
      <c r="M111" s="10"/>
      <c r="N111" s="10"/>
      <c r="O111" s="10"/>
      <c r="P111" s="10"/>
      <c r="Q111" s="10"/>
      <c r="R111" s="10"/>
      <c r="S111" s="10"/>
      <c r="T111" s="10"/>
      <c r="U111" s="10"/>
    </row>
    <row r="112" ht="15.75" hidden="1" customHeight="1">
      <c r="A112" s="58">
        <v>0.0</v>
      </c>
      <c r="B112" s="58"/>
      <c r="C112" s="58" t="s">
        <v>1498</v>
      </c>
      <c r="D112" s="72" t="s">
        <v>901</v>
      </c>
      <c r="E112" s="73"/>
      <c r="F112" s="10"/>
      <c r="G112" s="10"/>
      <c r="H112" s="10"/>
      <c r="I112" s="10"/>
      <c r="J112" s="10"/>
      <c r="K112" s="10"/>
      <c r="L112" s="10"/>
      <c r="M112" s="10"/>
      <c r="N112" s="10"/>
      <c r="O112" s="10"/>
      <c r="P112" s="10"/>
      <c r="Q112" s="10"/>
      <c r="R112" s="10"/>
      <c r="S112" s="10"/>
      <c r="T112" s="10"/>
      <c r="U112" s="10"/>
    </row>
    <row r="113" ht="15.75" customHeight="1">
      <c r="A113" s="58">
        <v>-3.0</v>
      </c>
      <c r="B113" s="188" t="s">
        <v>5694</v>
      </c>
      <c r="C113" s="58" t="s">
        <v>17</v>
      </c>
      <c r="D113" s="72" t="s">
        <v>24</v>
      </c>
      <c r="E113" s="73"/>
      <c r="F113" s="10"/>
      <c r="G113" s="10"/>
      <c r="H113" s="10"/>
      <c r="I113" s="10"/>
      <c r="J113" s="10"/>
      <c r="K113" s="10"/>
      <c r="L113" s="10"/>
      <c r="M113" s="10"/>
      <c r="N113" s="10"/>
      <c r="O113" s="10"/>
      <c r="P113" s="10"/>
      <c r="Q113" s="10"/>
      <c r="R113" s="10"/>
      <c r="S113" s="10"/>
      <c r="T113" s="10"/>
      <c r="U113" s="10"/>
    </row>
    <row r="114" ht="15.75" customHeight="1">
      <c r="A114" s="58">
        <v>-3.0</v>
      </c>
      <c r="B114" s="188" t="s">
        <v>5694</v>
      </c>
      <c r="C114" s="58" t="s">
        <v>52</v>
      </c>
      <c r="D114" s="72" t="s">
        <v>24</v>
      </c>
      <c r="E114" s="73"/>
      <c r="F114" s="189"/>
      <c r="G114" s="10"/>
      <c r="H114" s="10"/>
      <c r="I114" s="10"/>
      <c r="J114" s="10"/>
      <c r="K114" s="10"/>
      <c r="L114" s="10"/>
      <c r="M114" s="10"/>
      <c r="N114" s="10"/>
      <c r="O114" s="10"/>
      <c r="P114" s="10"/>
      <c r="Q114" s="10"/>
      <c r="R114" s="10"/>
      <c r="S114" s="10"/>
      <c r="T114" s="10"/>
      <c r="U114" s="10"/>
    </row>
    <row r="115" ht="15.75" customHeight="1">
      <c r="A115" s="58">
        <v>0.0</v>
      </c>
      <c r="B115" s="188" t="s">
        <v>5722</v>
      </c>
      <c r="C115" s="58" t="s">
        <v>5723</v>
      </c>
      <c r="D115" s="72" t="s">
        <v>163</v>
      </c>
      <c r="E115" s="73"/>
      <c r="F115" s="10"/>
      <c r="G115" s="10"/>
      <c r="H115" s="10"/>
      <c r="I115" s="10"/>
      <c r="J115" s="10"/>
      <c r="K115" s="10"/>
      <c r="L115" s="10"/>
      <c r="M115" s="10"/>
      <c r="N115" s="10"/>
      <c r="O115" s="10"/>
      <c r="P115" s="10"/>
      <c r="Q115" s="10"/>
      <c r="R115" s="10"/>
      <c r="S115" s="10"/>
      <c r="T115" s="10"/>
      <c r="U115" s="10"/>
    </row>
    <row r="116" ht="15.75" customHeight="1">
      <c r="A116" s="58">
        <v>1.0</v>
      </c>
      <c r="B116" s="188" t="s">
        <v>5685</v>
      </c>
      <c r="C116" s="58" t="s">
        <v>5724</v>
      </c>
      <c r="D116" s="72" t="s">
        <v>125</v>
      </c>
      <c r="E116" s="73"/>
      <c r="F116" s="10"/>
      <c r="G116" s="10"/>
      <c r="H116" s="10"/>
      <c r="I116" s="10"/>
      <c r="J116" s="10"/>
      <c r="K116" s="10"/>
      <c r="L116" s="10"/>
      <c r="M116" s="10"/>
      <c r="N116" s="10"/>
      <c r="O116" s="10"/>
      <c r="P116" s="10"/>
      <c r="Q116" s="10"/>
      <c r="R116" s="10"/>
      <c r="S116" s="10"/>
      <c r="T116" s="10"/>
      <c r="U116" s="10"/>
    </row>
    <row r="117" ht="15.75" customHeight="1">
      <c r="A117" s="58">
        <v>1.0</v>
      </c>
      <c r="B117" s="188" t="s">
        <v>5698</v>
      </c>
      <c r="C117" s="58" t="s">
        <v>1603</v>
      </c>
      <c r="D117" s="72" t="s">
        <v>187</v>
      </c>
      <c r="E117" s="73"/>
      <c r="F117" s="10"/>
      <c r="G117" s="10"/>
      <c r="H117" s="10"/>
      <c r="I117" s="10"/>
      <c r="J117" s="10"/>
      <c r="K117" s="10"/>
      <c r="L117" s="10"/>
      <c r="M117" s="10"/>
      <c r="N117" s="10"/>
      <c r="O117" s="10"/>
      <c r="P117" s="10"/>
      <c r="Q117" s="10"/>
      <c r="R117" s="10"/>
      <c r="S117" s="10"/>
      <c r="T117" s="10"/>
      <c r="U117" s="10"/>
    </row>
    <row r="118" ht="15.75" customHeight="1">
      <c r="A118" s="58">
        <v>0.0</v>
      </c>
      <c r="B118" s="188" t="s">
        <v>5725</v>
      </c>
      <c r="C118" s="58" t="s">
        <v>5726</v>
      </c>
      <c r="D118" s="72" t="s">
        <v>1392</v>
      </c>
      <c r="E118" s="73"/>
      <c r="F118" s="10"/>
      <c r="G118" s="10"/>
      <c r="H118" s="10"/>
      <c r="I118" s="10"/>
      <c r="J118" s="10"/>
      <c r="K118" s="10"/>
      <c r="L118" s="10"/>
      <c r="M118" s="10"/>
      <c r="N118" s="10"/>
      <c r="O118" s="10"/>
      <c r="P118" s="10"/>
      <c r="Q118" s="10"/>
      <c r="R118" s="10"/>
      <c r="S118" s="10"/>
      <c r="T118" s="10"/>
      <c r="U118" s="10"/>
    </row>
    <row r="119" ht="15.75" customHeight="1">
      <c r="A119" s="58">
        <v>0.0</v>
      </c>
      <c r="B119" s="188" t="s">
        <v>5686</v>
      </c>
      <c r="C119" s="58" t="s">
        <v>998</v>
      </c>
      <c r="D119" s="72" t="s">
        <v>163</v>
      </c>
      <c r="E119" s="73"/>
      <c r="F119" s="10"/>
      <c r="G119" s="10"/>
      <c r="H119" s="10"/>
      <c r="I119" s="10"/>
      <c r="J119" s="10"/>
      <c r="K119" s="10"/>
      <c r="L119" s="10"/>
      <c r="M119" s="10"/>
      <c r="N119" s="10"/>
      <c r="O119" s="10"/>
      <c r="P119" s="10"/>
      <c r="Q119" s="10"/>
      <c r="R119" s="10"/>
      <c r="S119" s="10"/>
      <c r="T119" s="10"/>
      <c r="U119" s="10"/>
    </row>
    <row r="120" ht="15.75" hidden="1" customHeight="1">
      <c r="A120" s="58">
        <v>-1.0</v>
      </c>
      <c r="B120" s="58"/>
      <c r="C120" s="58" t="s">
        <v>913</v>
      </c>
      <c r="D120" s="72" t="s">
        <v>901</v>
      </c>
      <c r="E120" s="73"/>
      <c r="F120" s="10"/>
      <c r="G120" s="10"/>
      <c r="H120" s="10"/>
      <c r="I120" s="10"/>
      <c r="J120" s="10"/>
      <c r="K120" s="10"/>
      <c r="L120" s="10"/>
      <c r="M120" s="10"/>
      <c r="N120" s="10"/>
      <c r="O120" s="10"/>
      <c r="P120" s="10"/>
      <c r="Q120" s="10"/>
      <c r="R120" s="10"/>
      <c r="S120" s="10"/>
      <c r="T120" s="10"/>
      <c r="U120" s="10"/>
    </row>
    <row r="121" ht="15.75" customHeight="1">
      <c r="A121" s="58">
        <v>-2.0</v>
      </c>
      <c r="B121" s="188" t="s">
        <v>5690</v>
      </c>
      <c r="C121" s="58" t="s">
        <v>386</v>
      </c>
      <c r="D121" s="72" t="s">
        <v>155</v>
      </c>
      <c r="E121" s="73"/>
      <c r="F121" s="189"/>
      <c r="G121" s="10"/>
      <c r="H121" s="10"/>
      <c r="I121" s="10"/>
      <c r="J121" s="10"/>
      <c r="K121" s="10"/>
      <c r="L121" s="10"/>
      <c r="M121" s="10"/>
      <c r="N121" s="10"/>
      <c r="O121" s="10"/>
      <c r="P121" s="10"/>
      <c r="Q121" s="10"/>
      <c r="R121" s="10"/>
      <c r="S121" s="10"/>
      <c r="T121" s="10"/>
      <c r="U121" s="10"/>
    </row>
    <row r="122" ht="15.75" customHeight="1">
      <c r="A122" s="58">
        <v>1.0</v>
      </c>
      <c r="B122" s="188" t="s">
        <v>5703</v>
      </c>
      <c r="C122" s="58" t="s">
        <v>1573</v>
      </c>
      <c r="D122" s="72" t="s">
        <v>125</v>
      </c>
      <c r="E122" s="73"/>
      <c r="F122" s="10"/>
      <c r="G122" s="10"/>
      <c r="H122" s="10"/>
      <c r="I122" s="10"/>
      <c r="J122" s="10"/>
      <c r="K122" s="10"/>
      <c r="L122" s="10"/>
      <c r="M122" s="10"/>
      <c r="N122" s="10"/>
      <c r="O122" s="10"/>
      <c r="P122" s="10"/>
      <c r="Q122" s="10"/>
      <c r="R122" s="10"/>
      <c r="S122" s="10"/>
      <c r="T122" s="10"/>
      <c r="U122" s="10"/>
    </row>
    <row r="123" ht="15.75" hidden="1" customHeight="1">
      <c r="A123" s="58">
        <v>-1.0</v>
      </c>
      <c r="B123" s="58"/>
      <c r="C123" s="58" t="s">
        <v>5516</v>
      </c>
      <c r="D123" s="72" t="s">
        <v>901</v>
      </c>
      <c r="E123" s="73"/>
      <c r="F123" s="10"/>
      <c r="G123" s="10"/>
      <c r="H123" s="10"/>
      <c r="I123" s="10"/>
      <c r="J123" s="10"/>
      <c r="K123" s="10"/>
      <c r="L123" s="10"/>
      <c r="M123" s="10"/>
      <c r="N123" s="10"/>
      <c r="O123" s="10"/>
      <c r="P123" s="10"/>
      <c r="Q123" s="10"/>
      <c r="R123" s="10"/>
      <c r="S123" s="10"/>
      <c r="T123" s="10"/>
      <c r="U123" s="10"/>
    </row>
    <row r="124" ht="15.75" hidden="1" customHeight="1">
      <c r="A124" s="58">
        <v>0.0</v>
      </c>
      <c r="B124" s="58"/>
      <c r="C124" s="58" t="s">
        <v>5727</v>
      </c>
      <c r="D124" s="72" t="s">
        <v>901</v>
      </c>
      <c r="E124" s="73"/>
      <c r="F124" s="10"/>
      <c r="G124" s="10"/>
      <c r="H124" s="10"/>
      <c r="I124" s="10"/>
      <c r="J124" s="10"/>
      <c r="K124" s="10"/>
      <c r="L124" s="10"/>
      <c r="M124" s="10"/>
      <c r="N124" s="10"/>
      <c r="O124" s="10"/>
      <c r="P124" s="10"/>
      <c r="Q124" s="10"/>
      <c r="R124" s="10"/>
      <c r="S124" s="10"/>
      <c r="T124" s="10"/>
      <c r="U124" s="10"/>
    </row>
    <row r="125" ht="15.75" customHeight="1">
      <c r="A125" s="58">
        <v>-1.0</v>
      </c>
      <c r="B125" s="188" t="s">
        <v>5714</v>
      </c>
      <c r="C125" s="58" t="s">
        <v>2284</v>
      </c>
      <c r="D125" s="72" t="s">
        <v>561</v>
      </c>
      <c r="E125" s="73"/>
      <c r="F125" s="10"/>
      <c r="G125" s="10"/>
      <c r="H125" s="10"/>
      <c r="I125" s="10"/>
      <c r="J125" s="10"/>
      <c r="K125" s="10"/>
      <c r="L125" s="10"/>
      <c r="M125" s="10"/>
      <c r="N125" s="10"/>
      <c r="O125" s="10"/>
      <c r="P125" s="10"/>
      <c r="Q125" s="10"/>
      <c r="R125" s="10"/>
      <c r="S125" s="10"/>
      <c r="T125" s="10"/>
      <c r="U125" s="10"/>
    </row>
    <row r="126" ht="15.75" customHeight="1">
      <c r="A126" s="58">
        <v>-3.0</v>
      </c>
      <c r="B126" s="188" t="s">
        <v>5728</v>
      </c>
      <c r="C126" s="58" t="s">
        <v>38</v>
      </c>
      <c r="D126" s="72" t="s">
        <v>44</v>
      </c>
      <c r="E126" s="73"/>
      <c r="F126" s="189"/>
      <c r="G126" s="10"/>
      <c r="H126" s="10"/>
      <c r="I126" s="10"/>
      <c r="J126" s="10"/>
      <c r="K126" s="10"/>
      <c r="L126" s="10"/>
      <c r="M126" s="10"/>
      <c r="N126" s="10"/>
      <c r="O126" s="10"/>
      <c r="P126" s="10"/>
      <c r="Q126" s="10"/>
      <c r="R126" s="10"/>
      <c r="S126" s="10"/>
      <c r="T126" s="10"/>
      <c r="U126" s="10"/>
    </row>
    <row r="127" ht="15.75" customHeight="1">
      <c r="A127" s="58">
        <v>0.0</v>
      </c>
      <c r="B127" s="188" t="s">
        <v>5695</v>
      </c>
      <c r="C127" s="58" t="s">
        <v>5729</v>
      </c>
      <c r="D127" s="72" t="s">
        <v>187</v>
      </c>
      <c r="E127" s="73"/>
      <c r="F127" s="10"/>
      <c r="G127" s="10"/>
      <c r="H127" s="10"/>
      <c r="I127" s="10"/>
      <c r="J127" s="10"/>
      <c r="K127" s="10"/>
      <c r="L127" s="10"/>
      <c r="M127" s="10"/>
      <c r="N127" s="10"/>
      <c r="O127" s="10"/>
      <c r="P127" s="10"/>
      <c r="Q127" s="10"/>
      <c r="R127" s="10"/>
      <c r="S127" s="10"/>
      <c r="T127" s="10"/>
      <c r="U127" s="10"/>
    </row>
    <row r="128" ht="15.75" customHeight="1">
      <c r="A128" s="58">
        <v>0.0</v>
      </c>
      <c r="B128" s="188" t="s">
        <v>5684</v>
      </c>
      <c r="C128" s="58" t="s">
        <v>1284</v>
      </c>
      <c r="D128" s="72" t="s">
        <v>163</v>
      </c>
      <c r="E128" s="73"/>
      <c r="F128" s="10"/>
      <c r="G128" s="10"/>
      <c r="H128" s="10"/>
      <c r="I128" s="10"/>
      <c r="J128" s="10"/>
      <c r="K128" s="10"/>
      <c r="L128" s="10"/>
      <c r="M128" s="10"/>
      <c r="N128" s="10"/>
      <c r="O128" s="10"/>
      <c r="P128" s="10"/>
      <c r="Q128" s="10"/>
      <c r="R128" s="10"/>
      <c r="S128" s="10"/>
      <c r="T128" s="10"/>
      <c r="U128" s="10"/>
    </row>
    <row r="129" ht="15.75" hidden="1" customHeight="1">
      <c r="A129" s="58">
        <v>0.0</v>
      </c>
      <c r="B129" s="58"/>
      <c r="C129" s="58" t="s">
        <v>5730</v>
      </c>
      <c r="D129" s="72" t="s">
        <v>901</v>
      </c>
      <c r="E129" s="73"/>
      <c r="F129" s="10"/>
      <c r="G129" s="10"/>
      <c r="H129" s="10"/>
      <c r="I129" s="10"/>
      <c r="J129" s="10"/>
      <c r="K129" s="10"/>
      <c r="L129" s="10"/>
      <c r="M129" s="10"/>
      <c r="N129" s="10"/>
      <c r="O129" s="10"/>
      <c r="P129" s="10"/>
      <c r="Q129" s="10"/>
      <c r="R129" s="10"/>
      <c r="S129" s="10"/>
      <c r="T129" s="10"/>
      <c r="U129" s="10"/>
    </row>
    <row r="130" ht="15.75" hidden="1" customHeight="1">
      <c r="A130" s="58">
        <v>-1.0</v>
      </c>
      <c r="B130" s="58"/>
      <c r="C130" s="58" t="s">
        <v>5731</v>
      </c>
      <c r="D130" s="72" t="s">
        <v>901</v>
      </c>
      <c r="E130" s="73"/>
      <c r="F130" s="10"/>
      <c r="G130" s="10"/>
      <c r="H130" s="10"/>
      <c r="I130" s="10"/>
      <c r="J130" s="10"/>
      <c r="K130" s="10"/>
      <c r="L130" s="10"/>
      <c r="M130" s="10"/>
      <c r="N130" s="10"/>
      <c r="O130" s="10"/>
      <c r="P130" s="10"/>
      <c r="Q130" s="10"/>
      <c r="R130" s="10"/>
      <c r="S130" s="10"/>
      <c r="T130" s="10"/>
      <c r="U130" s="10"/>
    </row>
    <row r="131" ht="15.75" hidden="1" customHeight="1">
      <c r="A131" s="58">
        <v>-1.0</v>
      </c>
      <c r="B131" s="58"/>
      <c r="C131" s="58" t="s">
        <v>915</v>
      </c>
      <c r="D131" s="72" t="s">
        <v>901</v>
      </c>
      <c r="E131" s="73"/>
      <c r="F131" s="10"/>
      <c r="G131" s="10"/>
      <c r="H131" s="10"/>
      <c r="I131" s="10"/>
      <c r="J131" s="10"/>
      <c r="K131" s="10"/>
      <c r="L131" s="10"/>
      <c r="M131" s="10"/>
      <c r="N131" s="10"/>
      <c r="O131" s="10"/>
      <c r="P131" s="10"/>
      <c r="Q131" s="10"/>
      <c r="R131" s="10"/>
      <c r="S131" s="10"/>
      <c r="T131" s="10"/>
      <c r="U131" s="10"/>
    </row>
    <row r="132" ht="15.75" customHeight="1">
      <c r="A132" s="58">
        <v>0.0</v>
      </c>
      <c r="B132" s="188" t="s">
        <v>5672</v>
      </c>
      <c r="C132" s="58" t="s">
        <v>1218</v>
      </c>
      <c r="D132" s="72" t="s">
        <v>155</v>
      </c>
      <c r="E132" s="73"/>
      <c r="F132" s="10"/>
      <c r="G132" s="10"/>
      <c r="H132" s="10"/>
      <c r="I132" s="10"/>
      <c r="J132" s="10"/>
      <c r="K132" s="10"/>
      <c r="L132" s="10"/>
      <c r="M132" s="10"/>
      <c r="N132" s="10"/>
      <c r="O132" s="10"/>
      <c r="P132" s="10"/>
      <c r="Q132" s="10"/>
      <c r="R132" s="10"/>
      <c r="S132" s="10"/>
      <c r="T132" s="10"/>
      <c r="U132" s="10"/>
    </row>
    <row r="133" ht="15.75" customHeight="1">
      <c r="A133" s="58">
        <v>1.0</v>
      </c>
      <c r="B133" s="188" t="s">
        <v>5712</v>
      </c>
      <c r="C133" s="58" t="s">
        <v>1626</v>
      </c>
      <c r="D133" s="72" t="s">
        <v>44</v>
      </c>
      <c r="E133" s="73"/>
      <c r="F133" s="10"/>
      <c r="G133" s="10"/>
      <c r="H133" s="10"/>
      <c r="I133" s="10"/>
      <c r="J133" s="10"/>
      <c r="K133" s="10"/>
      <c r="L133" s="10"/>
      <c r="M133" s="10"/>
      <c r="N133" s="10"/>
      <c r="O133" s="10"/>
      <c r="P133" s="10"/>
      <c r="Q133" s="10"/>
      <c r="R133" s="10"/>
      <c r="S133" s="10"/>
      <c r="T133" s="10"/>
      <c r="U133" s="10"/>
    </row>
    <row r="134" ht="15.75" customHeight="1">
      <c r="A134" s="58">
        <v>-1.0</v>
      </c>
      <c r="B134" s="188" t="s">
        <v>5703</v>
      </c>
      <c r="C134" s="58" t="s">
        <v>765</v>
      </c>
      <c r="D134" s="72" t="s">
        <v>163</v>
      </c>
      <c r="E134" s="73"/>
      <c r="F134" s="10"/>
      <c r="G134" s="10"/>
      <c r="H134" s="10"/>
      <c r="I134" s="10"/>
      <c r="J134" s="10"/>
      <c r="K134" s="10"/>
      <c r="L134" s="10"/>
      <c r="M134" s="10"/>
      <c r="N134" s="10"/>
      <c r="O134" s="10"/>
      <c r="P134" s="10"/>
      <c r="Q134" s="10"/>
      <c r="R134" s="10"/>
      <c r="S134" s="10"/>
      <c r="T134" s="10"/>
      <c r="U134" s="10"/>
    </row>
    <row r="135" ht="15.75" customHeight="1">
      <c r="A135" s="58">
        <v>-2.0</v>
      </c>
      <c r="B135" s="188" t="s">
        <v>5675</v>
      </c>
      <c r="C135" s="58" t="s">
        <v>222</v>
      </c>
      <c r="D135" s="72" t="s">
        <v>163</v>
      </c>
      <c r="E135" s="10"/>
      <c r="F135" s="189"/>
      <c r="G135" s="10"/>
      <c r="H135" s="10"/>
      <c r="I135" s="10"/>
      <c r="J135" s="10"/>
      <c r="K135" s="10"/>
      <c r="L135" s="10"/>
      <c r="M135" s="10"/>
      <c r="N135" s="10"/>
      <c r="O135" s="10"/>
      <c r="P135" s="10"/>
      <c r="Q135" s="10"/>
      <c r="R135" s="10"/>
      <c r="S135" s="10"/>
      <c r="T135" s="10"/>
      <c r="U135" s="10"/>
    </row>
    <row r="136" ht="15.75" customHeight="1">
      <c r="A136" s="58">
        <v>0.0</v>
      </c>
      <c r="B136" s="188" t="s">
        <v>5679</v>
      </c>
      <c r="C136" s="58" t="s">
        <v>5732</v>
      </c>
      <c r="D136" s="72" t="s">
        <v>459</v>
      </c>
      <c r="E136" s="73"/>
      <c r="F136" s="10"/>
      <c r="G136" s="10"/>
      <c r="H136" s="10"/>
      <c r="I136" s="10"/>
      <c r="J136" s="10"/>
      <c r="K136" s="10"/>
      <c r="L136" s="10"/>
      <c r="M136" s="10"/>
      <c r="N136" s="10"/>
      <c r="O136" s="10"/>
      <c r="P136" s="10"/>
      <c r="Q136" s="10"/>
      <c r="R136" s="10"/>
      <c r="S136" s="10"/>
      <c r="T136" s="10"/>
      <c r="U136" s="10"/>
    </row>
    <row r="137" ht="15.75" hidden="1" customHeight="1">
      <c r="A137" s="58">
        <v>0.0</v>
      </c>
      <c r="B137" s="58"/>
      <c r="C137" s="58" t="s">
        <v>1500</v>
      </c>
      <c r="D137" s="72" t="s">
        <v>901</v>
      </c>
      <c r="E137" s="73"/>
      <c r="F137" s="10"/>
      <c r="G137" s="10"/>
      <c r="H137" s="10"/>
      <c r="I137" s="10"/>
      <c r="J137" s="10"/>
      <c r="K137" s="10"/>
      <c r="L137" s="10"/>
      <c r="M137" s="10"/>
      <c r="N137" s="10"/>
      <c r="O137" s="10"/>
      <c r="P137" s="10"/>
      <c r="Q137" s="10"/>
      <c r="R137" s="10"/>
      <c r="S137" s="10"/>
      <c r="T137" s="10"/>
      <c r="U137" s="10"/>
    </row>
    <row r="138" ht="15.75" customHeight="1">
      <c r="A138" s="58">
        <v>-2.0</v>
      </c>
      <c r="B138" s="188" t="s">
        <v>5696</v>
      </c>
      <c r="C138" s="58" t="s">
        <v>5733</v>
      </c>
      <c r="D138" s="72" t="s">
        <v>163</v>
      </c>
      <c r="E138" s="73"/>
      <c r="F138" s="189"/>
      <c r="G138" s="10"/>
      <c r="H138" s="10"/>
      <c r="I138" s="10"/>
      <c r="J138" s="10"/>
      <c r="K138" s="10"/>
      <c r="L138" s="10"/>
      <c r="M138" s="10"/>
      <c r="N138" s="10"/>
      <c r="O138" s="10"/>
      <c r="P138" s="10"/>
      <c r="Q138" s="10"/>
      <c r="R138" s="10"/>
      <c r="S138" s="10"/>
      <c r="T138" s="10"/>
      <c r="U138" s="10"/>
    </row>
    <row r="139" ht="15.75" customHeight="1">
      <c r="A139" s="58">
        <v>-1.0</v>
      </c>
      <c r="B139" s="188" t="s">
        <v>5695</v>
      </c>
      <c r="C139" s="58" t="s">
        <v>955</v>
      </c>
      <c r="D139" s="72" t="s">
        <v>459</v>
      </c>
      <c r="E139" s="73"/>
      <c r="F139" s="10"/>
      <c r="G139" s="10"/>
      <c r="H139" s="10"/>
      <c r="I139" s="10"/>
      <c r="J139" s="10"/>
      <c r="K139" s="10"/>
      <c r="L139" s="10"/>
      <c r="M139" s="10"/>
      <c r="N139" s="10"/>
      <c r="O139" s="10"/>
      <c r="P139" s="10"/>
      <c r="Q139" s="10"/>
      <c r="R139" s="10"/>
      <c r="S139" s="10"/>
      <c r="T139" s="10"/>
      <c r="U139" s="10"/>
    </row>
    <row r="140" ht="15.75" customHeight="1">
      <c r="A140" s="58">
        <v>0.0</v>
      </c>
      <c r="B140" s="188" t="s">
        <v>5713</v>
      </c>
      <c r="C140" s="58" t="s">
        <v>5734</v>
      </c>
      <c r="D140" s="72" t="s">
        <v>459</v>
      </c>
      <c r="E140" s="73"/>
      <c r="F140" s="10"/>
      <c r="G140" s="10"/>
      <c r="H140" s="10"/>
      <c r="I140" s="10"/>
      <c r="J140" s="10"/>
      <c r="K140" s="10"/>
      <c r="L140" s="10"/>
      <c r="M140" s="10"/>
      <c r="N140" s="10"/>
      <c r="O140" s="10"/>
      <c r="P140" s="10"/>
      <c r="Q140" s="10"/>
      <c r="R140" s="10"/>
      <c r="S140" s="10"/>
      <c r="T140" s="10"/>
      <c r="U140" s="10"/>
    </row>
    <row r="141" ht="15.75" hidden="1" customHeight="1">
      <c r="A141" s="58">
        <v>-1.0</v>
      </c>
      <c r="B141" s="58"/>
      <c r="C141" s="58" t="s">
        <v>917</v>
      </c>
      <c r="D141" s="72" t="s">
        <v>901</v>
      </c>
      <c r="E141" s="73"/>
      <c r="F141" s="10"/>
      <c r="G141" s="10"/>
      <c r="H141" s="10"/>
      <c r="I141" s="10"/>
      <c r="J141" s="10"/>
      <c r="K141" s="10"/>
      <c r="L141" s="10"/>
      <c r="M141" s="10"/>
      <c r="N141" s="10"/>
      <c r="O141" s="10"/>
      <c r="P141" s="10"/>
      <c r="Q141" s="10"/>
      <c r="R141" s="10"/>
      <c r="S141" s="10"/>
      <c r="T141" s="10"/>
      <c r="U141" s="10"/>
    </row>
    <row r="142" ht="15.75" customHeight="1">
      <c r="A142" s="58">
        <v>0.0</v>
      </c>
      <c r="B142" s="188" t="s">
        <v>5694</v>
      </c>
      <c r="C142" s="58" t="s">
        <v>1337</v>
      </c>
      <c r="D142" s="72" t="s">
        <v>187</v>
      </c>
      <c r="E142" s="73"/>
      <c r="F142" s="10"/>
      <c r="G142" s="10"/>
      <c r="H142" s="10"/>
      <c r="I142" s="10"/>
      <c r="J142" s="10"/>
      <c r="K142" s="10"/>
      <c r="L142" s="10"/>
      <c r="M142" s="10"/>
      <c r="N142" s="10"/>
      <c r="O142" s="10"/>
      <c r="P142" s="10"/>
      <c r="Q142" s="10"/>
      <c r="R142" s="10"/>
      <c r="S142" s="10"/>
      <c r="T142" s="10"/>
      <c r="U142" s="10"/>
    </row>
    <row r="143" ht="15.75" customHeight="1">
      <c r="A143" s="58">
        <v>-1.0</v>
      </c>
      <c r="B143" s="188" t="s">
        <v>5690</v>
      </c>
      <c r="C143" s="58" t="s">
        <v>2412</v>
      </c>
      <c r="D143" s="72" t="s">
        <v>155</v>
      </c>
      <c r="E143" s="73"/>
      <c r="F143" s="10"/>
      <c r="G143" s="10"/>
      <c r="H143" s="10"/>
      <c r="I143" s="10"/>
      <c r="J143" s="10"/>
      <c r="K143" s="10"/>
      <c r="L143" s="10"/>
      <c r="M143" s="10"/>
      <c r="N143" s="10"/>
      <c r="O143" s="10"/>
      <c r="P143" s="10"/>
      <c r="Q143" s="10"/>
      <c r="R143" s="10"/>
      <c r="S143" s="10"/>
      <c r="T143" s="10"/>
      <c r="U143" s="10"/>
    </row>
    <row r="144" ht="15.75" customHeight="1">
      <c r="A144" s="58">
        <v>-1.0</v>
      </c>
      <c r="B144" s="188" t="s">
        <v>5735</v>
      </c>
      <c r="C144" s="58" t="s">
        <v>5736</v>
      </c>
      <c r="D144" s="72" t="s">
        <v>70</v>
      </c>
      <c r="E144" s="73"/>
      <c r="F144" s="10"/>
      <c r="G144" s="10"/>
      <c r="H144" s="10"/>
      <c r="I144" s="10"/>
      <c r="J144" s="10"/>
      <c r="K144" s="10"/>
      <c r="L144" s="10"/>
      <c r="M144" s="10"/>
      <c r="N144" s="10"/>
      <c r="O144" s="10"/>
      <c r="P144" s="10"/>
      <c r="Q144" s="10"/>
      <c r="R144" s="10"/>
      <c r="S144" s="10"/>
      <c r="T144" s="10"/>
      <c r="U144" s="10"/>
    </row>
    <row r="145" ht="15.75" hidden="1" customHeight="1">
      <c r="A145" s="58">
        <v>0.0</v>
      </c>
      <c r="B145" s="58"/>
      <c r="C145" s="58" t="s">
        <v>1461</v>
      </c>
      <c r="D145" s="72" t="s">
        <v>901</v>
      </c>
      <c r="E145" s="73"/>
      <c r="F145" s="10"/>
      <c r="G145" s="10"/>
      <c r="H145" s="10"/>
      <c r="I145" s="10"/>
      <c r="J145" s="10"/>
      <c r="K145" s="10"/>
      <c r="L145" s="10"/>
      <c r="M145" s="10"/>
      <c r="N145" s="10"/>
      <c r="O145" s="10"/>
      <c r="P145" s="10"/>
      <c r="Q145" s="10"/>
      <c r="R145" s="10"/>
      <c r="S145" s="10"/>
      <c r="T145" s="10"/>
      <c r="U145" s="10"/>
    </row>
    <row r="146" ht="15.75" customHeight="1">
      <c r="A146" s="58">
        <v>-1.0</v>
      </c>
      <c r="B146" s="188" t="s">
        <v>5674</v>
      </c>
      <c r="C146" s="58" t="s">
        <v>646</v>
      </c>
      <c r="D146" s="72" t="s">
        <v>561</v>
      </c>
      <c r="E146" s="73"/>
      <c r="F146" s="10"/>
      <c r="G146" s="10"/>
      <c r="H146" s="10"/>
      <c r="I146" s="10"/>
      <c r="J146" s="10"/>
      <c r="K146" s="10"/>
      <c r="L146" s="10"/>
      <c r="M146" s="10"/>
      <c r="N146" s="10"/>
      <c r="O146" s="10"/>
      <c r="P146" s="10"/>
      <c r="Q146" s="10"/>
      <c r="R146" s="10"/>
      <c r="S146" s="10"/>
      <c r="T146" s="10"/>
      <c r="U146" s="10"/>
    </row>
    <row r="147" ht="15.75" customHeight="1">
      <c r="A147" s="58">
        <v>0.0</v>
      </c>
      <c r="B147" s="188" t="s">
        <v>5689</v>
      </c>
      <c r="C147" s="58" t="s">
        <v>1207</v>
      </c>
      <c r="D147" s="72" t="s">
        <v>155</v>
      </c>
      <c r="E147" s="73"/>
      <c r="F147" s="10"/>
      <c r="G147" s="10"/>
      <c r="H147" s="10"/>
      <c r="I147" s="10"/>
      <c r="J147" s="10"/>
      <c r="K147" s="10"/>
      <c r="L147" s="10"/>
      <c r="M147" s="10"/>
      <c r="N147" s="10"/>
      <c r="O147" s="10"/>
      <c r="P147" s="10"/>
      <c r="Q147" s="10"/>
      <c r="R147" s="10"/>
      <c r="S147" s="10"/>
      <c r="T147" s="10"/>
      <c r="U147" s="10"/>
    </row>
    <row r="148" ht="15.75" customHeight="1">
      <c r="A148" s="58">
        <v>0.0</v>
      </c>
      <c r="B148" s="188" t="s">
        <v>5737</v>
      </c>
      <c r="C148" s="58" t="s">
        <v>5738</v>
      </c>
      <c r="D148" s="72" t="s">
        <v>187</v>
      </c>
      <c r="E148" s="73"/>
      <c r="F148" s="10"/>
      <c r="G148" s="10"/>
      <c r="H148" s="10"/>
      <c r="I148" s="10"/>
      <c r="J148" s="10"/>
      <c r="K148" s="10"/>
      <c r="L148" s="10"/>
      <c r="M148" s="10"/>
      <c r="N148" s="10"/>
      <c r="O148" s="10"/>
      <c r="P148" s="10"/>
      <c r="Q148" s="10"/>
      <c r="R148" s="10"/>
      <c r="S148" s="10"/>
      <c r="T148" s="10"/>
      <c r="U148" s="10"/>
    </row>
    <row r="149" ht="15.75" customHeight="1">
      <c r="A149" s="58">
        <v>-1.0</v>
      </c>
      <c r="B149" s="188" t="s">
        <v>5704</v>
      </c>
      <c r="C149" s="58" t="s">
        <v>2404</v>
      </c>
      <c r="D149" s="72" t="s">
        <v>561</v>
      </c>
      <c r="E149" s="73"/>
      <c r="F149" s="10"/>
      <c r="G149" s="10"/>
      <c r="H149" s="10"/>
      <c r="I149" s="10"/>
      <c r="J149" s="10"/>
      <c r="K149" s="10"/>
      <c r="L149" s="10"/>
      <c r="M149" s="10"/>
      <c r="N149" s="10"/>
      <c r="O149" s="10"/>
      <c r="P149" s="10"/>
      <c r="Q149" s="10"/>
      <c r="R149" s="10"/>
      <c r="S149" s="10"/>
      <c r="T149" s="10"/>
      <c r="U149" s="10"/>
    </row>
    <row r="150" ht="15.75" hidden="1" customHeight="1">
      <c r="A150" s="58">
        <v>-1.0</v>
      </c>
      <c r="B150" s="58"/>
      <c r="C150" s="58" t="s">
        <v>919</v>
      </c>
      <c r="D150" s="72" t="s">
        <v>901</v>
      </c>
      <c r="E150" s="73"/>
      <c r="F150" s="10"/>
      <c r="G150" s="10"/>
      <c r="H150" s="10"/>
      <c r="I150" s="10"/>
      <c r="J150" s="10"/>
      <c r="K150" s="10"/>
      <c r="L150" s="10"/>
      <c r="M150" s="10"/>
      <c r="N150" s="10"/>
      <c r="O150" s="10"/>
      <c r="P150" s="10"/>
      <c r="Q150" s="10"/>
      <c r="R150" s="10"/>
      <c r="S150" s="10"/>
      <c r="T150" s="10"/>
      <c r="U150" s="10"/>
    </row>
    <row r="151" ht="15.75" customHeight="1">
      <c r="A151" s="58">
        <v>-2.0</v>
      </c>
      <c r="B151" s="188" t="s">
        <v>5739</v>
      </c>
      <c r="C151" s="58" t="s">
        <v>267</v>
      </c>
      <c r="D151" s="72" t="s">
        <v>163</v>
      </c>
      <c r="E151" s="73"/>
      <c r="F151" s="189"/>
      <c r="G151" s="10"/>
      <c r="H151" s="10"/>
      <c r="I151" s="10"/>
      <c r="J151" s="10"/>
      <c r="K151" s="10"/>
      <c r="L151" s="10"/>
      <c r="M151" s="10"/>
      <c r="N151" s="10"/>
      <c r="O151" s="10"/>
      <c r="P151" s="10"/>
      <c r="Q151" s="10"/>
      <c r="R151" s="10"/>
      <c r="S151" s="10"/>
      <c r="T151" s="10"/>
      <c r="U151" s="10"/>
    </row>
    <row r="152" ht="15.75" customHeight="1">
      <c r="A152" s="58">
        <v>0.0</v>
      </c>
      <c r="B152" s="188" t="s">
        <v>5740</v>
      </c>
      <c r="C152" s="58" t="s">
        <v>5741</v>
      </c>
      <c r="D152" s="58" t="s">
        <v>187</v>
      </c>
      <c r="E152" s="10"/>
      <c r="F152" s="10"/>
      <c r="G152" s="10"/>
      <c r="H152" s="10"/>
      <c r="I152" s="10"/>
      <c r="J152" s="10"/>
      <c r="K152" s="10"/>
      <c r="L152" s="10"/>
      <c r="M152" s="10"/>
      <c r="N152" s="10"/>
      <c r="O152" s="10"/>
      <c r="P152" s="10"/>
      <c r="Q152" s="10"/>
      <c r="R152" s="10"/>
      <c r="S152" s="10"/>
      <c r="T152" s="10"/>
      <c r="U152" s="10"/>
    </row>
    <row r="153" ht="15.75" customHeight="1">
      <c r="A153" s="58">
        <v>0.0</v>
      </c>
      <c r="B153" s="188" t="s">
        <v>5679</v>
      </c>
      <c r="C153" s="58" t="s">
        <v>5742</v>
      </c>
      <c r="D153" s="72" t="s">
        <v>459</v>
      </c>
      <c r="E153" s="73"/>
      <c r="F153" s="10"/>
      <c r="G153" s="10"/>
      <c r="H153" s="10"/>
      <c r="I153" s="10"/>
      <c r="J153" s="10"/>
      <c r="K153" s="10"/>
      <c r="L153" s="10"/>
      <c r="M153" s="10"/>
      <c r="N153" s="10"/>
      <c r="O153" s="10"/>
      <c r="P153" s="10"/>
      <c r="Q153" s="10"/>
      <c r="R153" s="10"/>
      <c r="S153" s="10"/>
      <c r="T153" s="10"/>
      <c r="U153" s="10"/>
    </row>
    <row r="154" ht="15.75" customHeight="1">
      <c r="A154" s="58">
        <v>1.0</v>
      </c>
      <c r="B154" s="188" t="s">
        <v>5694</v>
      </c>
      <c r="C154" s="58" t="s">
        <v>1634</v>
      </c>
      <c r="D154" s="72" t="s">
        <v>24</v>
      </c>
      <c r="E154" s="73"/>
      <c r="F154" s="10"/>
      <c r="G154" s="10"/>
      <c r="H154" s="10"/>
      <c r="I154" s="10"/>
      <c r="J154" s="10"/>
      <c r="K154" s="10"/>
      <c r="L154" s="10"/>
      <c r="M154" s="10"/>
      <c r="N154" s="10"/>
      <c r="O154" s="10"/>
      <c r="P154" s="10"/>
      <c r="Q154" s="10"/>
      <c r="R154" s="10"/>
      <c r="S154" s="10"/>
      <c r="T154" s="10"/>
      <c r="U154" s="10"/>
    </row>
    <row r="155" ht="15.75" customHeight="1">
      <c r="A155" s="58">
        <v>0.0</v>
      </c>
      <c r="B155" s="188" t="s">
        <v>5716</v>
      </c>
      <c r="C155" s="58" t="s">
        <v>1031</v>
      </c>
      <c r="D155" s="72" t="s">
        <v>187</v>
      </c>
      <c r="E155" s="73"/>
      <c r="F155" s="10"/>
      <c r="G155" s="10"/>
      <c r="H155" s="10"/>
      <c r="I155" s="10"/>
      <c r="J155" s="10"/>
      <c r="K155" s="10"/>
      <c r="L155" s="10"/>
      <c r="M155" s="10"/>
      <c r="N155" s="10"/>
      <c r="O155" s="10"/>
      <c r="P155" s="10"/>
      <c r="Q155" s="10"/>
      <c r="R155" s="10"/>
      <c r="S155" s="10"/>
      <c r="T155" s="10"/>
      <c r="U155" s="10"/>
    </row>
    <row r="156" ht="15.75" customHeight="1">
      <c r="A156" s="58">
        <v>0.0</v>
      </c>
      <c r="B156" s="188" t="s">
        <v>5689</v>
      </c>
      <c r="C156" s="58" t="s">
        <v>5743</v>
      </c>
      <c r="D156" s="72" t="s">
        <v>125</v>
      </c>
      <c r="E156" s="73"/>
      <c r="F156" s="10"/>
      <c r="G156" s="10"/>
      <c r="H156" s="10"/>
      <c r="I156" s="10"/>
      <c r="J156" s="10"/>
      <c r="K156" s="10"/>
      <c r="L156" s="10"/>
      <c r="M156" s="10"/>
      <c r="N156" s="10"/>
      <c r="O156" s="10"/>
      <c r="P156" s="10"/>
      <c r="Q156" s="10"/>
      <c r="R156" s="10"/>
      <c r="S156" s="10"/>
      <c r="T156" s="10"/>
      <c r="U156" s="10"/>
    </row>
    <row r="157" ht="15.75" customHeight="1">
      <c r="A157" s="58">
        <v>1.0</v>
      </c>
      <c r="B157" s="188" t="s">
        <v>5685</v>
      </c>
      <c r="C157" s="58" t="s">
        <v>5744</v>
      </c>
      <c r="D157" s="72" t="s">
        <v>92</v>
      </c>
      <c r="E157" s="73"/>
      <c r="F157" s="10"/>
      <c r="G157" s="10"/>
      <c r="H157" s="10"/>
      <c r="I157" s="10"/>
      <c r="J157" s="10"/>
      <c r="K157" s="10"/>
      <c r="L157" s="10"/>
      <c r="M157" s="10"/>
      <c r="N157" s="10"/>
      <c r="O157" s="10"/>
      <c r="P157" s="10"/>
      <c r="Q157" s="10"/>
      <c r="R157" s="10"/>
      <c r="S157" s="10"/>
      <c r="T157" s="10"/>
      <c r="U157" s="10"/>
    </row>
    <row r="158" ht="15.75" customHeight="1">
      <c r="A158" s="58">
        <v>0.0</v>
      </c>
      <c r="B158" s="188" t="s">
        <v>5687</v>
      </c>
      <c r="C158" s="58" t="s">
        <v>5745</v>
      </c>
      <c r="D158" s="72" t="s">
        <v>187</v>
      </c>
      <c r="E158" s="73"/>
      <c r="F158" s="10"/>
      <c r="G158" s="10"/>
      <c r="H158" s="10"/>
      <c r="I158" s="10"/>
      <c r="J158" s="10"/>
      <c r="K158" s="10"/>
      <c r="L158" s="10"/>
      <c r="M158" s="10"/>
      <c r="N158" s="10"/>
      <c r="O158" s="10"/>
      <c r="P158" s="10"/>
      <c r="Q158" s="10"/>
      <c r="R158" s="10"/>
      <c r="S158" s="10"/>
      <c r="T158" s="10"/>
      <c r="U158" s="10"/>
    </row>
    <row r="159" ht="15.75" customHeight="1">
      <c r="A159" s="58">
        <v>-2.0</v>
      </c>
      <c r="B159" s="188" t="s">
        <v>5728</v>
      </c>
      <c r="C159" s="58" t="s">
        <v>392</v>
      </c>
      <c r="D159" s="72" t="s">
        <v>187</v>
      </c>
      <c r="E159" s="73"/>
      <c r="F159" s="189"/>
      <c r="G159" s="10"/>
      <c r="H159" s="10"/>
      <c r="I159" s="10"/>
      <c r="J159" s="10"/>
      <c r="K159" s="10"/>
      <c r="L159" s="10"/>
      <c r="M159" s="10"/>
      <c r="N159" s="10"/>
      <c r="O159" s="10"/>
      <c r="P159" s="10"/>
      <c r="Q159" s="10"/>
      <c r="R159" s="10"/>
      <c r="S159" s="10"/>
      <c r="T159" s="10"/>
      <c r="U159" s="10"/>
    </row>
    <row r="160" ht="15.75" customHeight="1">
      <c r="A160" s="58">
        <v>-1.0</v>
      </c>
      <c r="B160" s="188" t="s">
        <v>5687</v>
      </c>
      <c r="C160" s="58" t="s">
        <v>5746</v>
      </c>
      <c r="D160" s="72" t="s">
        <v>179</v>
      </c>
      <c r="E160" s="73"/>
      <c r="F160" s="10"/>
      <c r="G160" s="10"/>
      <c r="H160" s="10"/>
      <c r="I160" s="10"/>
      <c r="J160" s="10"/>
      <c r="K160" s="10"/>
      <c r="L160" s="10"/>
      <c r="M160" s="10"/>
      <c r="N160" s="10"/>
      <c r="O160" s="10"/>
      <c r="P160" s="10"/>
      <c r="Q160" s="10"/>
      <c r="R160" s="10"/>
      <c r="S160" s="10"/>
      <c r="T160" s="10"/>
      <c r="U160" s="10"/>
    </row>
    <row r="161" ht="15.75" customHeight="1">
      <c r="A161" s="58">
        <v>0.0</v>
      </c>
      <c r="B161" s="188" t="s">
        <v>5679</v>
      </c>
      <c r="C161" s="58" t="s">
        <v>5747</v>
      </c>
      <c r="D161" s="72" t="s">
        <v>459</v>
      </c>
      <c r="E161" s="73"/>
      <c r="F161" s="10"/>
      <c r="G161" s="10"/>
      <c r="H161" s="10"/>
      <c r="I161" s="10"/>
      <c r="J161" s="10"/>
      <c r="K161" s="10"/>
      <c r="L161" s="10"/>
      <c r="M161" s="10"/>
      <c r="N161" s="10"/>
      <c r="O161" s="10"/>
      <c r="P161" s="10"/>
      <c r="Q161" s="10"/>
      <c r="R161" s="10"/>
      <c r="S161" s="10"/>
      <c r="T161" s="10"/>
      <c r="U161" s="10"/>
    </row>
    <row r="162" ht="15.75" customHeight="1">
      <c r="A162" s="58">
        <v>0.0</v>
      </c>
      <c r="B162" s="188" t="s">
        <v>5673</v>
      </c>
      <c r="C162" s="58" t="s">
        <v>2012</v>
      </c>
      <c r="D162" s="72" t="s">
        <v>187</v>
      </c>
      <c r="E162" s="73"/>
      <c r="F162" s="10"/>
      <c r="G162" s="10"/>
      <c r="H162" s="10"/>
      <c r="I162" s="10"/>
      <c r="J162" s="10"/>
      <c r="K162" s="10"/>
      <c r="L162" s="10"/>
      <c r="M162" s="10"/>
      <c r="N162" s="10"/>
      <c r="O162" s="10"/>
      <c r="P162" s="10"/>
      <c r="Q162" s="10"/>
      <c r="R162" s="10"/>
      <c r="S162" s="10"/>
      <c r="T162" s="10"/>
      <c r="U162" s="10"/>
    </row>
    <row r="163" ht="15.75" hidden="1" customHeight="1">
      <c r="A163" s="58">
        <v>0.0</v>
      </c>
      <c r="B163" s="58"/>
      <c r="C163" s="58" t="s">
        <v>5748</v>
      </c>
      <c r="D163" s="72" t="s">
        <v>901</v>
      </c>
      <c r="E163" s="73"/>
      <c r="F163" s="10"/>
      <c r="G163" s="10"/>
      <c r="H163" s="10"/>
      <c r="I163" s="10"/>
      <c r="J163" s="10"/>
      <c r="K163" s="10"/>
      <c r="L163" s="10"/>
      <c r="M163" s="10"/>
      <c r="N163" s="10"/>
      <c r="O163" s="10"/>
      <c r="P163" s="10"/>
      <c r="Q163" s="10"/>
      <c r="R163" s="10"/>
      <c r="S163" s="10"/>
      <c r="T163" s="10"/>
      <c r="U163" s="10"/>
    </row>
    <row r="164" ht="15.75" customHeight="1">
      <c r="A164" s="58">
        <v>-2.0</v>
      </c>
      <c r="B164" s="188" t="s">
        <v>5714</v>
      </c>
      <c r="C164" s="58" t="s">
        <v>5749</v>
      </c>
      <c r="D164" s="72" t="s">
        <v>171</v>
      </c>
      <c r="E164" s="73"/>
      <c r="F164" s="189"/>
      <c r="G164" s="10"/>
      <c r="H164" s="10"/>
      <c r="I164" s="10"/>
      <c r="J164" s="10"/>
      <c r="K164" s="10"/>
      <c r="L164" s="10"/>
      <c r="M164" s="10"/>
      <c r="N164" s="10"/>
      <c r="O164" s="10"/>
      <c r="P164" s="10"/>
      <c r="Q164" s="10"/>
      <c r="R164" s="10"/>
      <c r="S164" s="10"/>
      <c r="T164" s="10"/>
      <c r="U164" s="10"/>
    </row>
    <row r="165" ht="15.75" customHeight="1">
      <c r="A165" s="58">
        <v>0.0</v>
      </c>
      <c r="B165" s="188" t="s">
        <v>5679</v>
      </c>
      <c r="C165" s="58" t="s">
        <v>5750</v>
      </c>
      <c r="D165" s="72" t="s">
        <v>459</v>
      </c>
      <c r="E165" s="73"/>
      <c r="F165" s="10"/>
      <c r="G165" s="10"/>
      <c r="H165" s="10"/>
      <c r="I165" s="10"/>
      <c r="J165" s="10"/>
      <c r="K165" s="10"/>
      <c r="L165" s="10"/>
      <c r="M165" s="10"/>
      <c r="N165" s="10"/>
      <c r="O165" s="10"/>
      <c r="P165" s="10"/>
      <c r="Q165" s="10"/>
      <c r="R165" s="10"/>
      <c r="S165" s="10"/>
      <c r="T165" s="10"/>
      <c r="U165" s="10"/>
    </row>
    <row r="166" ht="15.75" customHeight="1">
      <c r="A166" s="58">
        <v>0.0</v>
      </c>
      <c r="B166" s="188" t="s">
        <v>5698</v>
      </c>
      <c r="C166" s="58" t="s">
        <v>1302</v>
      </c>
      <c r="D166" s="72" t="s">
        <v>125</v>
      </c>
      <c r="E166" s="73"/>
      <c r="F166" s="10"/>
      <c r="G166" s="10"/>
      <c r="H166" s="10"/>
      <c r="I166" s="10"/>
      <c r="J166" s="10"/>
      <c r="K166" s="10"/>
      <c r="L166" s="10"/>
      <c r="M166" s="10"/>
      <c r="N166" s="10"/>
      <c r="O166" s="10"/>
      <c r="P166" s="10"/>
      <c r="Q166" s="10"/>
      <c r="R166" s="10"/>
      <c r="S166" s="10"/>
      <c r="T166" s="10"/>
      <c r="U166" s="10"/>
    </row>
    <row r="167" ht="15.75" customHeight="1">
      <c r="A167" s="58">
        <v>-1.0</v>
      </c>
      <c r="B167" s="188" t="s">
        <v>5713</v>
      </c>
      <c r="C167" s="58" t="s">
        <v>509</v>
      </c>
      <c r="D167" s="72" t="s">
        <v>163</v>
      </c>
      <c r="E167" s="73"/>
      <c r="F167" s="10"/>
      <c r="G167" s="10"/>
      <c r="H167" s="10"/>
      <c r="I167" s="10"/>
      <c r="J167" s="10"/>
      <c r="K167" s="10"/>
      <c r="L167" s="10"/>
      <c r="M167" s="10"/>
      <c r="N167" s="10"/>
      <c r="O167" s="10"/>
      <c r="P167" s="10"/>
      <c r="Q167" s="10"/>
      <c r="R167" s="10"/>
      <c r="S167" s="10"/>
      <c r="T167" s="10"/>
      <c r="U167" s="10"/>
    </row>
    <row r="168" ht="15.75" customHeight="1">
      <c r="A168" s="58">
        <v>-2.0</v>
      </c>
      <c r="B168" s="188" t="s">
        <v>5695</v>
      </c>
      <c r="C168" s="58" t="s">
        <v>228</v>
      </c>
      <c r="D168" s="72" t="s">
        <v>163</v>
      </c>
      <c r="E168" s="10"/>
      <c r="F168" s="189"/>
      <c r="G168" s="10"/>
      <c r="H168" s="10"/>
      <c r="I168" s="10"/>
      <c r="J168" s="10"/>
      <c r="K168" s="10"/>
      <c r="L168" s="10"/>
      <c r="M168" s="10"/>
      <c r="N168" s="10"/>
      <c r="O168" s="10"/>
      <c r="P168" s="10"/>
      <c r="Q168" s="10"/>
      <c r="R168" s="10"/>
      <c r="S168" s="10"/>
      <c r="T168" s="10"/>
      <c r="U168" s="10"/>
    </row>
    <row r="169" ht="15.75" hidden="1" customHeight="1">
      <c r="A169" s="58">
        <v>0.0</v>
      </c>
      <c r="B169" s="58"/>
      <c r="C169" s="58" t="s">
        <v>1501</v>
      </c>
      <c r="D169" s="72" t="s">
        <v>901</v>
      </c>
      <c r="E169" s="73"/>
      <c r="F169" s="10"/>
      <c r="G169" s="10"/>
      <c r="H169" s="10"/>
      <c r="I169" s="10"/>
      <c r="J169" s="10"/>
      <c r="K169" s="10"/>
      <c r="L169" s="10"/>
      <c r="M169" s="10"/>
      <c r="N169" s="10"/>
      <c r="O169" s="10"/>
      <c r="P169" s="10"/>
      <c r="Q169" s="10"/>
      <c r="R169" s="10"/>
      <c r="S169" s="10"/>
      <c r="T169" s="10"/>
      <c r="U169" s="10"/>
    </row>
    <row r="170" ht="15.75" customHeight="1">
      <c r="A170" s="58">
        <v>0.0</v>
      </c>
      <c r="B170" s="188" t="s">
        <v>5673</v>
      </c>
      <c r="C170" s="58" t="s">
        <v>1352</v>
      </c>
      <c r="D170" s="72" t="s">
        <v>187</v>
      </c>
      <c r="E170" s="73"/>
      <c r="F170" s="10"/>
      <c r="G170" s="10"/>
      <c r="H170" s="10"/>
      <c r="I170" s="10"/>
      <c r="J170" s="10"/>
      <c r="K170" s="10"/>
      <c r="L170" s="10"/>
      <c r="M170" s="10"/>
      <c r="N170" s="10"/>
      <c r="O170" s="10"/>
      <c r="P170" s="10"/>
      <c r="Q170" s="10"/>
      <c r="R170" s="10"/>
      <c r="S170" s="10"/>
      <c r="T170" s="10"/>
      <c r="U170" s="10"/>
    </row>
    <row r="171" ht="15.75" customHeight="1">
      <c r="A171" s="58">
        <v>-1.0</v>
      </c>
      <c r="B171" s="188" t="s">
        <v>5714</v>
      </c>
      <c r="C171" s="58" t="s">
        <v>5751</v>
      </c>
      <c r="D171" s="72" t="s">
        <v>561</v>
      </c>
      <c r="E171" s="73"/>
      <c r="F171" s="10"/>
      <c r="G171" s="10"/>
      <c r="H171" s="10"/>
      <c r="I171" s="10"/>
      <c r="J171" s="10"/>
      <c r="K171" s="10"/>
      <c r="L171" s="10"/>
      <c r="M171" s="10"/>
      <c r="N171" s="10"/>
      <c r="O171" s="10"/>
      <c r="P171" s="10"/>
      <c r="Q171" s="10"/>
      <c r="R171" s="10"/>
      <c r="S171" s="10"/>
      <c r="T171" s="10"/>
      <c r="U171" s="10"/>
    </row>
    <row r="172" ht="15.75" hidden="1" customHeight="1">
      <c r="A172" s="58">
        <v>0.0</v>
      </c>
      <c r="B172" s="58"/>
      <c r="C172" s="58" t="s">
        <v>5752</v>
      </c>
      <c r="D172" s="72" t="s">
        <v>901</v>
      </c>
      <c r="E172" s="73"/>
      <c r="F172" s="10"/>
      <c r="G172" s="10"/>
      <c r="H172" s="10"/>
      <c r="I172" s="10"/>
      <c r="J172" s="10"/>
      <c r="K172" s="10"/>
      <c r="L172" s="10"/>
      <c r="M172" s="10"/>
      <c r="N172" s="10"/>
      <c r="O172" s="10"/>
      <c r="P172" s="10"/>
      <c r="Q172" s="10"/>
      <c r="R172" s="10"/>
      <c r="S172" s="10"/>
      <c r="T172" s="10"/>
      <c r="U172" s="10"/>
    </row>
    <row r="173" ht="15.75" customHeight="1">
      <c r="A173" s="58">
        <v>-2.0</v>
      </c>
      <c r="B173" s="188" t="s">
        <v>5712</v>
      </c>
      <c r="C173" s="58" t="s">
        <v>5753</v>
      </c>
      <c r="D173" s="72" t="s">
        <v>171</v>
      </c>
      <c r="E173" s="73"/>
      <c r="F173" s="189"/>
      <c r="G173" s="10"/>
      <c r="H173" s="10"/>
      <c r="I173" s="10"/>
      <c r="J173" s="10"/>
      <c r="K173" s="10"/>
      <c r="L173" s="10"/>
      <c r="M173" s="10"/>
      <c r="N173" s="10"/>
      <c r="O173" s="10"/>
      <c r="P173" s="10"/>
      <c r="Q173" s="10"/>
      <c r="R173" s="10"/>
      <c r="S173" s="10"/>
      <c r="T173" s="10"/>
      <c r="U173" s="10"/>
    </row>
    <row r="174" ht="15.75" customHeight="1">
      <c r="A174" s="58">
        <v>0.0</v>
      </c>
      <c r="B174" s="188" t="s">
        <v>5672</v>
      </c>
      <c r="C174" s="58" t="s">
        <v>5754</v>
      </c>
      <c r="D174" s="72" t="s">
        <v>155</v>
      </c>
      <c r="E174" s="73"/>
      <c r="F174" s="10"/>
      <c r="G174" s="10"/>
      <c r="H174" s="10"/>
      <c r="I174" s="10"/>
      <c r="J174" s="10"/>
      <c r="K174" s="10"/>
      <c r="L174" s="10"/>
      <c r="M174" s="10"/>
      <c r="N174" s="10"/>
      <c r="O174" s="10"/>
      <c r="P174" s="10"/>
      <c r="Q174" s="10"/>
      <c r="R174" s="10"/>
      <c r="S174" s="10"/>
      <c r="T174" s="10"/>
      <c r="U174" s="10"/>
    </row>
    <row r="175" ht="15.75" customHeight="1">
      <c r="A175" s="58">
        <v>0.0</v>
      </c>
      <c r="B175" s="188" t="s">
        <v>5712</v>
      </c>
      <c r="C175" s="58" t="s">
        <v>1319</v>
      </c>
      <c r="D175" s="72" t="s">
        <v>70</v>
      </c>
      <c r="E175" s="73"/>
      <c r="F175" s="10"/>
      <c r="G175" s="10"/>
      <c r="H175" s="10"/>
      <c r="I175" s="10"/>
      <c r="J175" s="10"/>
      <c r="K175" s="10"/>
      <c r="L175" s="10"/>
      <c r="M175" s="10"/>
      <c r="N175" s="10"/>
      <c r="O175" s="10"/>
      <c r="P175" s="10"/>
      <c r="Q175" s="10"/>
      <c r="R175" s="10"/>
      <c r="S175" s="10"/>
      <c r="T175" s="10"/>
      <c r="U175" s="10"/>
    </row>
    <row r="176" ht="15.75" customHeight="1">
      <c r="A176" s="58">
        <v>-2.0</v>
      </c>
      <c r="B176" s="188" t="s">
        <v>5700</v>
      </c>
      <c r="C176" s="58" t="s">
        <v>5755</v>
      </c>
      <c r="D176" s="72" t="s">
        <v>171</v>
      </c>
      <c r="E176" s="73"/>
      <c r="F176" s="189"/>
      <c r="G176" s="10"/>
      <c r="H176" s="10"/>
      <c r="I176" s="10"/>
      <c r="J176" s="10"/>
      <c r="K176" s="10"/>
      <c r="L176" s="10"/>
      <c r="M176" s="10"/>
      <c r="N176" s="10"/>
      <c r="O176" s="10"/>
      <c r="P176" s="10"/>
      <c r="Q176" s="10"/>
      <c r="R176" s="10"/>
      <c r="S176" s="10"/>
      <c r="T176" s="10"/>
      <c r="U176" s="10"/>
    </row>
    <row r="177" ht="15.75" customHeight="1">
      <c r="A177" s="58">
        <v>-2.0</v>
      </c>
      <c r="B177" s="188" t="s">
        <v>5728</v>
      </c>
      <c r="C177" s="58" t="s">
        <v>5756</v>
      </c>
      <c r="D177" s="72" t="s">
        <v>171</v>
      </c>
      <c r="E177" s="73"/>
      <c r="F177" s="189"/>
      <c r="G177" s="10"/>
      <c r="H177" s="10"/>
      <c r="I177" s="10"/>
      <c r="J177" s="10"/>
      <c r="K177" s="10"/>
      <c r="L177" s="10"/>
      <c r="M177" s="10"/>
      <c r="N177" s="10"/>
      <c r="O177" s="10"/>
      <c r="P177" s="10"/>
      <c r="Q177" s="10"/>
      <c r="R177" s="10"/>
      <c r="S177" s="10"/>
      <c r="T177" s="10"/>
      <c r="U177" s="10"/>
    </row>
    <row r="178" ht="15.75" customHeight="1">
      <c r="A178" s="58">
        <v>-3.0</v>
      </c>
      <c r="B178" s="188" t="s">
        <v>5690</v>
      </c>
      <c r="C178" s="58" t="s">
        <v>5757</v>
      </c>
      <c r="D178" s="72" t="s">
        <v>44</v>
      </c>
      <c r="E178" s="73"/>
      <c r="F178" s="189"/>
      <c r="G178" s="10"/>
      <c r="H178" s="10"/>
      <c r="I178" s="10"/>
      <c r="J178" s="10"/>
      <c r="K178" s="10"/>
      <c r="L178" s="10"/>
      <c r="M178" s="10"/>
      <c r="N178" s="10"/>
      <c r="O178" s="10"/>
      <c r="P178" s="10"/>
      <c r="Q178" s="10"/>
      <c r="R178" s="10"/>
      <c r="S178" s="10"/>
      <c r="T178" s="10"/>
      <c r="U178" s="10"/>
    </row>
    <row r="179" ht="15.75" customHeight="1">
      <c r="A179" s="58">
        <v>1.0</v>
      </c>
      <c r="B179" s="188" t="s">
        <v>5681</v>
      </c>
      <c r="C179" s="58" t="s">
        <v>2266</v>
      </c>
      <c r="D179" s="58" t="s">
        <v>187</v>
      </c>
      <c r="E179" s="10"/>
      <c r="F179" s="10"/>
      <c r="G179" s="10"/>
      <c r="H179" s="10"/>
      <c r="I179" s="10"/>
      <c r="J179" s="10"/>
      <c r="K179" s="10"/>
      <c r="L179" s="10"/>
      <c r="M179" s="10"/>
      <c r="N179" s="10"/>
      <c r="O179" s="10"/>
      <c r="P179" s="10"/>
      <c r="Q179" s="10"/>
      <c r="R179" s="10"/>
      <c r="S179" s="10"/>
      <c r="T179" s="10"/>
      <c r="U179" s="10"/>
    </row>
    <row r="180" ht="15.75" customHeight="1">
      <c r="A180" s="58">
        <v>0.0</v>
      </c>
      <c r="B180" s="188" t="s">
        <v>5739</v>
      </c>
      <c r="C180" s="58" t="s">
        <v>1201</v>
      </c>
      <c r="D180" s="72" t="s">
        <v>155</v>
      </c>
      <c r="E180" s="73"/>
      <c r="F180" s="10"/>
      <c r="G180" s="10"/>
      <c r="H180" s="10"/>
      <c r="I180" s="10"/>
      <c r="J180" s="10"/>
      <c r="K180" s="10"/>
      <c r="L180" s="10"/>
      <c r="M180" s="10"/>
      <c r="N180" s="10"/>
      <c r="O180" s="10"/>
      <c r="P180" s="10"/>
      <c r="Q180" s="10"/>
      <c r="R180" s="10"/>
      <c r="S180" s="10"/>
      <c r="T180" s="10"/>
      <c r="U180" s="10"/>
    </row>
    <row r="181" ht="15.75" hidden="1" customHeight="1">
      <c r="A181" s="58">
        <v>-1.0</v>
      </c>
      <c r="B181" s="58"/>
      <c r="C181" s="58" t="s">
        <v>920</v>
      </c>
      <c r="D181" s="72" t="s">
        <v>901</v>
      </c>
      <c r="E181" s="73"/>
      <c r="F181" s="10"/>
      <c r="G181" s="10"/>
      <c r="H181" s="10"/>
      <c r="I181" s="10"/>
      <c r="J181" s="10"/>
      <c r="K181" s="10"/>
      <c r="L181" s="10"/>
      <c r="M181" s="10"/>
      <c r="N181" s="10"/>
      <c r="O181" s="10"/>
      <c r="P181" s="10"/>
      <c r="Q181" s="10"/>
      <c r="R181" s="10"/>
      <c r="S181" s="10"/>
      <c r="T181" s="10"/>
      <c r="U181" s="10"/>
    </row>
    <row r="182" ht="15.75" customHeight="1">
      <c r="A182" s="58">
        <v>-1.0</v>
      </c>
      <c r="B182" s="188" t="s">
        <v>5701</v>
      </c>
      <c r="C182" s="58" t="s">
        <v>2249</v>
      </c>
      <c r="D182" s="72" t="s">
        <v>561</v>
      </c>
      <c r="E182" s="73"/>
      <c r="F182" s="10"/>
      <c r="G182" s="10"/>
      <c r="H182" s="10"/>
      <c r="I182" s="10"/>
      <c r="J182" s="10"/>
      <c r="K182" s="10"/>
      <c r="L182" s="10"/>
      <c r="M182" s="10"/>
      <c r="N182" s="10"/>
      <c r="O182" s="10"/>
      <c r="P182" s="10"/>
      <c r="Q182" s="10"/>
      <c r="R182" s="10"/>
      <c r="S182" s="10"/>
      <c r="T182" s="10"/>
      <c r="U182" s="10"/>
    </row>
    <row r="183" ht="15.75" hidden="1" customHeight="1">
      <c r="A183" s="58">
        <v>0.0</v>
      </c>
      <c r="B183" s="58"/>
      <c r="C183" s="58" t="s">
        <v>1515</v>
      </c>
      <c r="D183" s="72" t="s">
        <v>901</v>
      </c>
      <c r="E183" s="73"/>
      <c r="F183" s="10"/>
      <c r="G183" s="10"/>
      <c r="H183" s="10"/>
      <c r="I183" s="10"/>
      <c r="J183" s="10"/>
      <c r="K183" s="10"/>
      <c r="L183" s="10"/>
      <c r="M183" s="10"/>
      <c r="N183" s="10"/>
      <c r="O183" s="10"/>
      <c r="P183" s="10"/>
      <c r="Q183" s="10"/>
      <c r="R183" s="10"/>
      <c r="S183" s="10"/>
      <c r="T183" s="10"/>
      <c r="U183" s="10"/>
    </row>
    <row r="184" ht="15.75" customHeight="1">
      <c r="A184" s="58">
        <v>-1.0</v>
      </c>
      <c r="B184" s="188" t="s">
        <v>5712</v>
      </c>
      <c r="C184" s="58" t="s">
        <v>794</v>
      </c>
      <c r="D184" s="72" t="s">
        <v>70</v>
      </c>
      <c r="E184" s="73"/>
      <c r="F184" s="10"/>
      <c r="G184" s="10"/>
      <c r="H184" s="10"/>
      <c r="I184" s="10"/>
      <c r="J184" s="10"/>
      <c r="K184" s="10"/>
      <c r="L184" s="10"/>
      <c r="M184" s="10"/>
      <c r="N184" s="10"/>
      <c r="O184" s="10"/>
      <c r="P184" s="10"/>
      <c r="Q184" s="10"/>
      <c r="R184" s="10"/>
      <c r="S184" s="10"/>
      <c r="T184" s="10"/>
      <c r="U184" s="10"/>
    </row>
    <row r="185" ht="15.75" customHeight="1">
      <c r="A185" s="58">
        <v>0.0</v>
      </c>
      <c r="B185" s="188" t="s">
        <v>5673</v>
      </c>
      <c r="C185" s="58" t="s">
        <v>1256</v>
      </c>
      <c r="D185" s="72" t="s">
        <v>179</v>
      </c>
      <c r="E185" s="73"/>
      <c r="F185" s="10"/>
      <c r="G185" s="10"/>
      <c r="H185" s="10"/>
      <c r="I185" s="10"/>
      <c r="J185" s="10"/>
      <c r="K185" s="10"/>
      <c r="L185" s="10"/>
      <c r="M185" s="10"/>
      <c r="N185" s="10"/>
      <c r="O185" s="10"/>
      <c r="P185" s="10"/>
      <c r="Q185" s="10"/>
      <c r="R185" s="10"/>
      <c r="S185" s="10"/>
      <c r="T185" s="10"/>
      <c r="U185" s="10"/>
    </row>
    <row r="186" ht="15.75" hidden="1" customHeight="1">
      <c r="A186" s="58">
        <v>-1.0</v>
      </c>
      <c r="B186" s="58"/>
      <c r="C186" s="58" t="s">
        <v>5758</v>
      </c>
      <c r="D186" s="72" t="s">
        <v>901</v>
      </c>
      <c r="E186" s="73"/>
      <c r="F186" s="10"/>
      <c r="G186" s="10"/>
      <c r="H186" s="10"/>
      <c r="I186" s="10"/>
      <c r="J186" s="10"/>
      <c r="K186" s="10"/>
      <c r="L186" s="10"/>
      <c r="M186" s="10"/>
      <c r="N186" s="10"/>
      <c r="O186" s="10"/>
      <c r="P186" s="10"/>
      <c r="Q186" s="10"/>
      <c r="R186" s="10"/>
      <c r="S186" s="10"/>
      <c r="T186" s="10"/>
      <c r="U186" s="10"/>
    </row>
    <row r="187" ht="15.75" customHeight="1">
      <c r="A187" s="58">
        <v>0.0</v>
      </c>
      <c r="B187" s="188" t="s">
        <v>5759</v>
      </c>
      <c r="C187" s="58" t="s">
        <v>2020</v>
      </c>
      <c r="D187" s="72" t="s">
        <v>187</v>
      </c>
      <c r="E187" s="73"/>
      <c r="F187" s="10"/>
      <c r="G187" s="10"/>
      <c r="H187" s="10"/>
      <c r="I187" s="10"/>
      <c r="J187" s="10"/>
      <c r="K187" s="10"/>
      <c r="L187" s="10"/>
      <c r="M187" s="10"/>
      <c r="N187" s="10"/>
      <c r="O187" s="10"/>
      <c r="P187" s="10"/>
      <c r="Q187" s="10"/>
      <c r="R187" s="10"/>
      <c r="S187" s="10"/>
      <c r="T187" s="10"/>
      <c r="U187" s="10"/>
    </row>
    <row r="188" ht="15.75" customHeight="1">
      <c r="A188" s="58">
        <v>-1.0</v>
      </c>
      <c r="B188" s="188" t="s">
        <v>5684</v>
      </c>
      <c r="C188" s="58" t="s">
        <v>771</v>
      </c>
      <c r="D188" s="72" t="s">
        <v>163</v>
      </c>
      <c r="E188" s="73"/>
      <c r="F188" s="10"/>
      <c r="G188" s="10"/>
      <c r="H188" s="10"/>
      <c r="I188" s="10"/>
      <c r="J188" s="10"/>
      <c r="K188" s="10"/>
      <c r="L188" s="10"/>
      <c r="M188" s="10"/>
      <c r="N188" s="10"/>
      <c r="O188" s="10"/>
      <c r="P188" s="10"/>
      <c r="Q188" s="10"/>
      <c r="R188" s="10"/>
      <c r="S188" s="10"/>
      <c r="T188" s="10"/>
      <c r="U188" s="10"/>
    </row>
    <row r="189" ht="15.75" hidden="1" customHeight="1">
      <c r="A189" s="58">
        <v>0.0</v>
      </c>
      <c r="B189" s="58"/>
      <c r="C189" s="58" t="s">
        <v>5486</v>
      </c>
      <c r="D189" s="72" t="s">
        <v>901</v>
      </c>
      <c r="E189" s="73"/>
      <c r="F189" s="10"/>
      <c r="G189" s="10"/>
      <c r="H189" s="10"/>
      <c r="I189" s="10"/>
      <c r="J189" s="10"/>
      <c r="K189" s="10"/>
      <c r="L189" s="10"/>
      <c r="M189" s="10"/>
      <c r="N189" s="10"/>
      <c r="O189" s="10"/>
      <c r="P189" s="10"/>
      <c r="Q189" s="10"/>
      <c r="R189" s="10"/>
      <c r="S189" s="10"/>
      <c r="T189" s="10"/>
      <c r="U189" s="10"/>
    </row>
    <row r="190" ht="15.75" customHeight="1">
      <c r="A190" s="58">
        <v>0.0</v>
      </c>
      <c r="B190" s="188" t="s">
        <v>5728</v>
      </c>
      <c r="C190" s="58" t="s">
        <v>5760</v>
      </c>
      <c r="D190" s="72" t="s">
        <v>163</v>
      </c>
      <c r="E190" s="73"/>
      <c r="F190" s="10"/>
      <c r="G190" s="10"/>
      <c r="H190" s="10"/>
      <c r="I190" s="10"/>
      <c r="J190" s="10"/>
      <c r="K190" s="10"/>
      <c r="L190" s="10"/>
      <c r="M190" s="10"/>
      <c r="N190" s="10"/>
      <c r="O190" s="10"/>
      <c r="P190" s="10"/>
      <c r="Q190" s="10"/>
      <c r="R190" s="10"/>
      <c r="S190" s="10"/>
      <c r="T190" s="10"/>
      <c r="U190" s="10"/>
    </row>
    <row r="191" ht="15.75" customHeight="1">
      <c r="A191" s="58">
        <v>0.0</v>
      </c>
      <c r="B191" s="188" t="s">
        <v>5673</v>
      </c>
      <c r="C191" s="58" t="s">
        <v>1355</v>
      </c>
      <c r="D191" s="72" t="s">
        <v>187</v>
      </c>
      <c r="E191" s="73"/>
      <c r="F191" s="10"/>
      <c r="G191" s="10"/>
      <c r="H191" s="10"/>
      <c r="I191" s="10"/>
      <c r="J191" s="10"/>
      <c r="K191" s="10"/>
      <c r="L191" s="10"/>
      <c r="M191" s="10"/>
      <c r="N191" s="10"/>
      <c r="O191" s="10"/>
      <c r="P191" s="10"/>
      <c r="Q191" s="10"/>
      <c r="R191" s="10"/>
      <c r="S191" s="10"/>
      <c r="T191" s="10"/>
      <c r="U191" s="10"/>
    </row>
    <row r="192" ht="15.75" customHeight="1">
      <c r="A192" s="58">
        <v>-3.0</v>
      </c>
      <c r="B192" s="188" t="s">
        <v>5690</v>
      </c>
      <c r="C192" s="58" t="s">
        <v>46</v>
      </c>
      <c r="D192" s="72" t="s">
        <v>24</v>
      </c>
      <c r="E192" s="73"/>
      <c r="F192" s="189"/>
      <c r="G192" s="10"/>
      <c r="H192" s="10"/>
      <c r="I192" s="10"/>
      <c r="J192" s="10"/>
      <c r="K192" s="10"/>
      <c r="L192" s="10"/>
      <c r="M192" s="10"/>
      <c r="N192" s="10"/>
      <c r="O192" s="10"/>
      <c r="P192" s="10"/>
      <c r="Q192" s="10"/>
      <c r="R192" s="10"/>
      <c r="S192" s="10"/>
      <c r="T192" s="10"/>
      <c r="U192" s="10"/>
    </row>
    <row r="193" ht="15.75" hidden="1" customHeight="1">
      <c r="A193" s="58">
        <v>0.0</v>
      </c>
      <c r="B193" s="58"/>
      <c r="C193" s="58" t="s">
        <v>1516</v>
      </c>
      <c r="D193" s="72" t="s">
        <v>901</v>
      </c>
      <c r="E193" s="73"/>
      <c r="F193" s="10"/>
      <c r="G193" s="10"/>
      <c r="H193" s="10"/>
      <c r="I193" s="10"/>
      <c r="J193" s="10"/>
      <c r="K193" s="10"/>
      <c r="L193" s="10"/>
      <c r="M193" s="10"/>
      <c r="N193" s="10"/>
      <c r="O193" s="10"/>
      <c r="P193" s="10"/>
      <c r="Q193" s="10"/>
      <c r="R193" s="10"/>
      <c r="S193" s="10"/>
      <c r="T193" s="10"/>
      <c r="U193" s="10"/>
    </row>
    <row r="194" ht="15.75" customHeight="1">
      <c r="A194" s="58">
        <v>1.0</v>
      </c>
      <c r="B194" s="188" t="s">
        <v>5761</v>
      </c>
      <c r="C194" s="58" t="s">
        <v>1530</v>
      </c>
      <c r="D194" s="72" t="s">
        <v>125</v>
      </c>
      <c r="E194" s="73"/>
      <c r="F194" s="10"/>
      <c r="G194" s="10"/>
      <c r="H194" s="10"/>
      <c r="I194" s="10"/>
      <c r="J194" s="10"/>
      <c r="K194" s="10"/>
      <c r="L194" s="10"/>
      <c r="M194" s="10"/>
      <c r="N194" s="10"/>
      <c r="O194" s="10"/>
      <c r="P194" s="10"/>
      <c r="Q194" s="10"/>
      <c r="R194" s="10"/>
      <c r="S194" s="10"/>
      <c r="T194" s="10"/>
      <c r="U194" s="10"/>
    </row>
    <row r="195" ht="15.75" hidden="1" customHeight="1">
      <c r="A195" s="58">
        <v>0.0</v>
      </c>
      <c r="B195" s="58"/>
      <c r="C195" s="58" t="s">
        <v>5762</v>
      </c>
      <c r="D195" s="72" t="s">
        <v>901</v>
      </c>
      <c r="E195" s="73"/>
      <c r="F195" s="10"/>
      <c r="G195" s="10"/>
      <c r="H195" s="10"/>
      <c r="I195" s="10"/>
      <c r="J195" s="10"/>
      <c r="K195" s="10"/>
      <c r="L195" s="10"/>
      <c r="M195" s="10"/>
      <c r="N195" s="10"/>
      <c r="O195" s="10"/>
      <c r="P195" s="10"/>
      <c r="Q195" s="10"/>
      <c r="R195" s="10"/>
      <c r="S195" s="10"/>
      <c r="T195" s="10"/>
      <c r="U195" s="10"/>
    </row>
    <row r="196" ht="15.75" customHeight="1">
      <c r="A196" s="58">
        <v>0.0</v>
      </c>
      <c r="B196" s="188" t="s">
        <v>5673</v>
      </c>
      <c r="C196" s="58" t="s">
        <v>1357</v>
      </c>
      <c r="D196" s="72" t="s">
        <v>187</v>
      </c>
      <c r="E196" s="73"/>
      <c r="F196" s="10"/>
      <c r="G196" s="10"/>
      <c r="H196" s="10"/>
      <c r="I196" s="10"/>
      <c r="J196" s="10"/>
      <c r="K196" s="10"/>
      <c r="L196" s="10"/>
      <c r="M196" s="10"/>
      <c r="N196" s="10"/>
      <c r="O196" s="10"/>
      <c r="P196" s="10"/>
      <c r="Q196" s="10"/>
      <c r="R196" s="10"/>
      <c r="S196" s="10"/>
      <c r="T196" s="10"/>
      <c r="U196" s="10"/>
    </row>
    <row r="197" ht="15.75" customHeight="1">
      <c r="A197" s="58">
        <v>0.0</v>
      </c>
      <c r="B197" s="188" t="s">
        <v>5684</v>
      </c>
      <c r="C197" s="58" t="s">
        <v>1278</v>
      </c>
      <c r="D197" s="72" t="s">
        <v>163</v>
      </c>
      <c r="E197" s="73"/>
      <c r="F197" s="10"/>
      <c r="G197" s="10"/>
      <c r="H197" s="10"/>
      <c r="I197" s="10"/>
      <c r="J197" s="10"/>
      <c r="K197" s="10"/>
      <c r="L197" s="10"/>
      <c r="M197" s="10"/>
      <c r="N197" s="10"/>
      <c r="O197" s="10"/>
      <c r="P197" s="10"/>
      <c r="Q197" s="10"/>
      <c r="R197" s="10"/>
      <c r="S197" s="10"/>
      <c r="T197" s="10"/>
      <c r="U197" s="10"/>
    </row>
    <row r="198" ht="15.75" customHeight="1">
      <c r="A198" s="58">
        <v>0.0</v>
      </c>
      <c r="B198" s="188" t="s">
        <v>5673</v>
      </c>
      <c r="C198" s="58" t="s">
        <v>1359</v>
      </c>
      <c r="D198" s="72" t="s">
        <v>187</v>
      </c>
      <c r="E198" s="73"/>
      <c r="F198" s="10"/>
      <c r="G198" s="10"/>
      <c r="H198" s="10"/>
      <c r="I198" s="10"/>
      <c r="J198" s="10"/>
      <c r="K198" s="10"/>
      <c r="L198" s="10"/>
      <c r="M198" s="10"/>
      <c r="N198" s="10"/>
      <c r="O198" s="10"/>
      <c r="P198" s="10"/>
      <c r="Q198" s="10"/>
      <c r="R198" s="10"/>
      <c r="S198" s="10"/>
      <c r="T198" s="10"/>
      <c r="U198" s="10"/>
    </row>
    <row r="199" ht="15.75" customHeight="1">
      <c r="A199" s="58">
        <v>-2.0</v>
      </c>
      <c r="B199" s="188" t="s">
        <v>5712</v>
      </c>
      <c r="C199" s="58" t="s">
        <v>1998</v>
      </c>
      <c r="D199" s="58" t="s">
        <v>155</v>
      </c>
      <c r="E199" s="10"/>
      <c r="F199" s="16"/>
      <c r="G199" s="10"/>
      <c r="H199" s="10"/>
      <c r="I199" s="15"/>
      <c r="J199" s="10"/>
      <c r="K199" s="10"/>
      <c r="L199" s="10"/>
      <c r="M199" s="16"/>
      <c r="N199" s="10"/>
      <c r="O199" s="10"/>
      <c r="P199" s="10"/>
      <c r="Q199" s="10"/>
      <c r="R199" s="10"/>
      <c r="S199" s="10"/>
      <c r="T199" s="10"/>
      <c r="U199" s="10"/>
    </row>
    <row r="200" ht="15.75" customHeight="1">
      <c r="A200" s="58">
        <v>-2.0</v>
      </c>
      <c r="B200" s="188" t="s">
        <v>5681</v>
      </c>
      <c r="C200" s="58" t="s">
        <v>309</v>
      </c>
      <c r="D200" s="72" t="s">
        <v>70</v>
      </c>
      <c r="E200" s="73"/>
      <c r="F200" s="189"/>
      <c r="G200" s="10"/>
      <c r="H200" s="10"/>
      <c r="I200" s="10"/>
      <c r="J200" s="10"/>
      <c r="K200" s="10"/>
      <c r="L200" s="10"/>
      <c r="M200" s="10"/>
      <c r="N200" s="10"/>
      <c r="O200" s="10"/>
      <c r="P200" s="10"/>
      <c r="Q200" s="10"/>
      <c r="R200" s="10"/>
      <c r="S200" s="10"/>
      <c r="T200" s="10"/>
      <c r="U200" s="10"/>
    </row>
    <row r="201" ht="15.75" customHeight="1">
      <c r="A201" s="58">
        <v>-1.0</v>
      </c>
      <c r="B201" s="188" t="s">
        <v>5689</v>
      </c>
      <c r="C201" s="58" t="s">
        <v>716</v>
      </c>
      <c r="D201" s="72" t="s">
        <v>163</v>
      </c>
      <c r="E201" s="73"/>
      <c r="F201" s="10"/>
      <c r="G201" s="10"/>
      <c r="H201" s="10"/>
      <c r="I201" s="10"/>
      <c r="J201" s="10"/>
      <c r="K201" s="10"/>
      <c r="L201" s="10"/>
      <c r="M201" s="10"/>
      <c r="N201" s="10"/>
      <c r="O201" s="10"/>
      <c r="P201" s="10"/>
      <c r="Q201" s="10"/>
      <c r="R201" s="10"/>
      <c r="S201" s="10"/>
      <c r="T201" s="10"/>
      <c r="U201" s="10"/>
    </row>
    <row r="202" ht="15.75" customHeight="1">
      <c r="A202" s="58">
        <v>1.0</v>
      </c>
      <c r="B202" s="188" t="s">
        <v>5739</v>
      </c>
      <c r="C202" s="58" t="s">
        <v>1536</v>
      </c>
      <c r="D202" s="72" t="s">
        <v>1392</v>
      </c>
      <c r="E202" s="73"/>
      <c r="F202" s="10"/>
      <c r="G202" s="10"/>
      <c r="H202" s="10"/>
      <c r="I202" s="10"/>
      <c r="J202" s="10"/>
      <c r="K202" s="10"/>
      <c r="L202" s="10"/>
      <c r="M202" s="10"/>
      <c r="N202" s="10"/>
      <c r="O202" s="10"/>
      <c r="P202" s="10"/>
      <c r="Q202" s="10"/>
      <c r="R202" s="10"/>
      <c r="S202" s="10"/>
      <c r="T202" s="10"/>
      <c r="U202" s="10"/>
    </row>
    <row r="203" ht="15.75" hidden="1" customHeight="1">
      <c r="A203" s="58">
        <v>-1.0</v>
      </c>
      <c r="B203" s="58"/>
      <c r="C203" s="58" t="s">
        <v>5763</v>
      </c>
      <c r="D203" s="72" t="s">
        <v>901</v>
      </c>
      <c r="E203" s="73"/>
      <c r="F203" s="10"/>
      <c r="G203" s="10"/>
      <c r="H203" s="10"/>
      <c r="I203" s="10"/>
      <c r="J203" s="10"/>
      <c r="K203" s="10"/>
      <c r="L203" s="10"/>
      <c r="M203" s="10"/>
      <c r="N203" s="10"/>
      <c r="O203" s="10"/>
      <c r="P203" s="10"/>
      <c r="Q203" s="10"/>
      <c r="R203" s="10"/>
      <c r="S203" s="10"/>
      <c r="T203" s="10"/>
      <c r="U203" s="10"/>
    </row>
    <row r="204" ht="15.75" hidden="1" customHeight="1">
      <c r="A204" s="58">
        <v>0.0</v>
      </c>
      <c r="B204" s="58"/>
      <c r="C204" s="58" t="s">
        <v>5764</v>
      </c>
      <c r="D204" s="72" t="s">
        <v>901</v>
      </c>
      <c r="E204" s="73"/>
      <c r="F204" s="10"/>
      <c r="G204" s="10"/>
      <c r="H204" s="10"/>
      <c r="I204" s="10"/>
      <c r="J204" s="10"/>
      <c r="K204" s="10"/>
      <c r="L204" s="10"/>
      <c r="M204" s="10"/>
      <c r="N204" s="10"/>
      <c r="O204" s="10"/>
      <c r="P204" s="10"/>
      <c r="Q204" s="10"/>
      <c r="R204" s="10"/>
      <c r="S204" s="10"/>
      <c r="T204" s="10"/>
      <c r="U204" s="10"/>
    </row>
    <row r="205" ht="15.75" customHeight="1">
      <c r="A205" s="58">
        <v>-2.0</v>
      </c>
      <c r="B205" s="188" t="s">
        <v>5696</v>
      </c>
      <c r="C205" s="58" t="s">
        <v>315</v>
      </c>
      <c r="D205" s="72" t="s">
        <v>163</v>
      </c>
      <c r="E205" s="73"/>
      <c r="F205" s="189"/>
      <c r="G205" s="10"/>
      <c r="H205" s="10"/>
      <c r="I205" s="10"/>
      <c r="J205" s="10"/>
      <c r="K205" s="10"/>
      <c r="L205" s="10"/>
      <c r="M205" s="10"/>
      <c r="N205" s="10"/>
      <c r="O205" s="10"/>
      <c r="P205" s="10"/>
      <c r="Q205" s="10"/>
      <c r="R205" s="10"/>
      <c r="S205" s="10"/>
      <c r="T205" s="10"/>
      <c r="U205" s="10"/>
    </row>
    <row r="206" ht="15.75" customHeight="1">
      <c r="A206" s="58">
        <v>-1.0</v>
      </c>
      <c r="B206" s="188" t="s">
        <v>5698</v>
      </c>
      <c r="C206" s="58" t="s">
        <v>788</v>
      </c>
      <c r="D206" s="72" t="s">
        <v>163</v>
      </c>
      <c r="E206" s="73"/>
      <c r="F206" s="10"/>
      <c r="G206" s="10"/>
      <c r="H206" s="10"/>
      <c r="I206" s="10"/>
      <c r="J206" s="10"/>
      <c r="K206" s="10"/>
      <c r="L206" s="10"/>
      <c r="M206" s="10"/>
      <c r="N206" s="10"/>
      <c r="O206" s="10"/>
      <c r="P206" s="10"/>
      <c r="Q206" s="10"/>
      <c r="R206" s="10"/>
      <c r="S206" s="10"/>
      <c r="T206" s="10"/>
      <c r="U206" s="10"/>
    </row>
    <row r="207" ht="15.75" customHeight="1">
      <c r="A207" s="58">
        <v>-1.0</v>
      </c>
      <c r="B207" s="188" t="s">
        <v>5740</v>
      </c>
      <c r="C207" s="58" t="s">
        <v>5765</v>
      </c>
      <c r="D207" s="72" t="s">
        <v>187</v>
      </c>
      <c r="E207" s="73"/>
      <c r="F207" s="10"/>
      <c r="G207" s="10"/>
      <c r="H207" s="10"/>
      <c r="I207" s="10"/>
      <c r="J207" s="10"/>
      <c r="K207" s="10"/>
      <c r="L207" s="10"/>
      <c r="M207" s="10"/>
      <c r="N207" s="10"/>
      <c r="O207" s="10"/>
      <c r="P207" s="10"/>
      <c r="Q207" s="10"/>
      <c r="R207" s="10"/>
      <c r="S207" s="10"/>
      <c r="T207" s="10"/>
      <c r="U207" s="10"/>
    </row>
    <row r="208" ht="15.75" customHeight="1">
      <c r="A208" s="58">
        <v>1.0</v>
      </c>
      <c r="B208" s="188" t="s">
        <v>5712</v>
      </c>
      <c r="C208" s="58" t="s">
        <v>2051</v>
      </c>
      <c r="D208" s="58" t="s">
        <v>187</v>
      </c>
      <c r="E208" s="10"/>
      <c r="F208" s="10"/>
      <c r="G208" s="10"/>
      <c r="H208" s="10"/>
      <c r="I208" s="10"/>
      <c r="J208" s="10"/>
      <c r="K208" s="10"/>
      <c r="L208" s="10"/>
      <c r="M208" s="10"/>
      <c r="N208" s="10"/>
      <c r="O208" s="10"/>
      <c r="P208" s="10"/>
      <c r="Q208" s="10"/>
      <c r="R208" s="10"/>
      <c r="S208" s="10"/>
      <c r="T208" s="10"/>
      <c r="U208" s="10"/>
    </row>
    <row r="209" ht="15.75" customHeight="1">
      <c r="A209" s="58">
        <v>-2.0</v>
      </c>
      <c r="B209" s="188" t="s">
        <v>5684</v>
      </c>
      <c r="C209" s="58" t="s">
        <v>326</v>
      </c>
      <c r="D209" s="72" t="s">
        <v>163</v>
      </c>
      <c r="E209" s="73"/>
      <c r="F209" s="189"/>
      <c r="G209" s="10"/>
      <c r="H209" s="10"/>
      <c r="I209" s="10"/>
      <c r="J209" s="10"/>
      <c r="K209" s="10"/>
      <c r="L209" s="10"/>
      <c r="M209" s="10"/>
      <c r="N209" s="10"/>
      <c r="O209" s="10"/>
      <c r="P209" s="10"/>
      <c r="Q209" s="10"/>
      <c r="R209" s="10"/>
      <c r="S209" s="10"/>
      <c r="T209" s="10"/>
      <c r="U209" s="10"/>
    </row>
    <row r="210" ht="15.75" customHeight="1">
      <c r="A210" s="58">
        <v>-2.0</v>
      </c>
      <c r="B210" s="188" t="s">
        <v>5675</v>
      </c>
      <c r="C210" s="58" t="s">
        <v>216</v>
      </c>
      <c r="D210" s="72" t="s">
        <v>163</v>
      </c>
      <c r="E210" s="73"/>
      <c r="F210" s="189"/>
      <c r="G210" s="10"/>
      <c r="H210" s="10"/>
      <c r="I210" s="10"/>
      <c r="J210" s="10"/>
      <c r="K210" s="10"/>
      <c r="L210" s="10"/>
      <c r="M210" s="10"/>
      <c r="N210" s="10"/>
      <c r="O210" s="10"/>
      <c r="P210" s="10"/>
      <c r="Q210" s="10"/>
      <c r="R210" s="10"/>
      <c r="S210" s="10"/>
      <c r="T210" s="10"/>
      <c r="U210" s="10"/>
    </row>
    <row r="211" ht="15.75" hidden="1" customHeight="1">
      <c r="A211" s="58">
        <v>0.0</v>
      </c>
      <c r="B211" s="58"/>
      <c r="C211" s="58" t="s">
        <v>1468</v>
      </c>
      <c r="D211" s="72" t="s">
        <v>901</v>
      </c>
      <c r="E211" s="73"/>
      <c r="F211" s="10"/>
      <c r="G211" s="10"/>
      <c r="H211" s="10"/>
      <c r="I211" s="10"/>
      <c r="J211" s="10"/>
      <c r="K211" s="10"/>
      <c r="L211" s="10"/>
      <c r="M211" s="10"/>
      <c r="N211" s="10"/>
      <c r="O211" s="10"/>
      <c r="P211" s="10"/>
      <c r="Q211" s="10"/>
      <c r="R211" s="10"/>
      <c r="S211" s="10"/>
      <c r="T211" s="10"/>
      <c r="U211" s="10"/>
    </row>
    <row r="212" ht="15.75" customHeight="1">
      <c r="A212" s="58">
        <v>-1.0</v>
      </c>
      <c r="B212" s="188" t="s">
        <v>5700</v>
      </c>
      <c r="C212" s="58" t="s">
        <v>630</v>
      </c>
      <c r="D212" s="72" t="s">
        <v>561</v>
      </c>
      <c r="E212" s="73"/>
      <c r="F212" s="10"/>
      <c r="G212" s="10"/>
      <c r="H212" s="10"/>
      <c r="I212" s="10"/>
      <c r="J212" s="10"/>
      <c r="K212" s="10"/>
      <c r="L212" s="10"/>
      <c r="M212" s="10"/>
      <c r="N212" s="10"/>
      <c r="O212" s="10"/>
      <c r="P212" s="10"/>
      <c r="Q212" s="10"/>
      <c r="R212" s="10"/>
      <c r="S212" s="10"/>
      <c r="T212" s="10"/>
      <c r="U212" s="10"/>
    </row>
    <row r="213" ht="15.75" hidden="1" customHeight="1">
      <c r="A213" s="58">
        <v>0.0</v>
      </c>
      <c r="B213" s="58"/>
      <c r="C213" s="58" t="s">
        <v>1517</v>
      </c>
      <c r="D213" s="72" t="s">
        <v>901</v>
      </c>
      <c r="E213" s="73"/>
      <c r="F213" s="10"/>
      <c r="G213" s="10"/>
      <c r="H213" s="10"/>
      <c r="I213" s="10"/>
      <c r="J213" s="10"/>
      <c r="K213" s="10"/>
      <c r="L213" s="10"/>
      <c r="M213" s="10"/>
      <c r="N213" s="10"/>
      <c r="O213" s="10"/>
      <c r="P213" s="10"/>
      <c r="Q213" s="10"/>
      <c r="R213" s="10"/>
      <c r="S213" s="10"/>
      <c r="T213" s="10"/>
      <c r="U213" s="10"/>
    </row>
    <row r="214" ht="15.75" customHeight="1">
      <c r="A214" s="58">
        <v>1.0</v>
      </c>
      <c r="B214" s="188" t="s">
        <v>5728</v>
      </c>
      <c r="C214" s="58" t="s">
        <v>2277</v>
      </c>
      <c r="D214" s="72" t="s">
        <v>70</v>
      </c>
      <c r="E214" s="73"/>
      <c r="F214" s="10"/>
      <c r="G214" s="10"/>
      <c r="H214" s="10"/>
      <c r="I214" s="10"/>
      <c r="J214" s="10"/>
      <c r="K214" s="10"/>
      <c r="L214" s="10"/>
      <c r="M214" s="10"/>
      <c r="N214" s="10"/>
      <c r="O214" s="10"/>
      <c r="P214" s="10"/>
      <c r="Q214" s="10"/>
      <c r="R214" s="10"/>
      <c r="S214" s="10"/>
      <c r="T214" s="10"/>
      <c r="U214" s="10"/>
    </row>
    <row r="215" ht="15.75" customHeight="1">
      <c r="A215" s="58">
        <v>0.0</v>
      </c>
      <c r="B215" s="188" t="s">
        <v>5672</v>
      </c>
      <c r="C215" s="58" t="s">
        <v>1228</v>
      </c>
      <c r="D215" s="72" t="s">
        <v>155</v>
      </c>
      <c r="E215" s="73"/>
      <c r="F215" s="10"/>
      <c r="G215" s="10"/>
      <c r="H215" s="10"/>
      <c r="I215" s="10"/>
      <c r="J215" s="10"/>
      <c r="K215" s="10"/>
      <c r="L215" s="10"/>
      <c r="M215" s="10"/>
      <c r="N215" s="10"/>
      <c r="O215" s="10"/>
      <c r="P215" s="10"/>
      <c r="Q215" s="10"/>
      <c r="R215" s="10"/>
      <c r="S215" s="10"/>
      <c r="T215" s="10"/>
      <c r="U215" s="10"/>
    </row>
    <row r="216" ht="15.75" customHeight="1">
      <c r="A216" s="58">
        <v>0.0</v>
      </c>
      <c r="B216" s="188" t="s">
        <v>5686</v>
      </c>
      <c r="C216" s="58" t="s">
        <v>5766</v>
      </c>
      <c r="D216" s="72" t="s">
        <v>163</v>
      </c>
      <c r="E216" s="73"/>
      <c r="F216" s="10"/>
      <c r="G216" s="10"/>
      <c r="H216" s="10"/>
      <c r="I216" s="10"/>
      <c r="J216" s="10"/>
      <c r="K216" s="10"/>
      <c r="L216" s="10"/>
      <c r="M216" s="10"/>
      <c r="N216" s="10"/>
      <c r="O216" s="10"/>
      <c r="P216" s="10"/>
      <c r="Q216" s="10"/>
      <c r="R216" s="10"/>
      <c r="S216" s="10"/>
      <c r="T216" s="10"/>
      <c r="U216" s="10"/>
    </row>
    <row r="217" ht="15.75" hidden="1" customHeight="1">
      <c r="A217" s="58">
        <v>0.0</v>
      </c>
      <c r="B217" s="58"/>
      <c r="C217" s="58" t="s">
        <v>5767</v>
      </c>
      <c r="D217" s="72" t="s">
        <v>901</v>
      </c>
      <c r="E217" s="73"/>
      <c r="F217" s="10"/>
      <c r="G217" s="10"/>
      <c r="H217" s="10"/>
      <c r="I217" s="10"/>
      <c r="J217" s="10"/>
      <c r="K217" s="10"/>
      <c r="L217" s="10"/>
      <c r="M217" s="10"/>
      <c r="N217" s="10"/>
      <c r="O217" s="10"/>
      <c r="P217" s="10"/>
      <c r="Q217" s="10"/>
      <c r="R217" s="10"/>
      <c r="S217" s="10"/>
      <c r="T217" s="10"/>
      <c r="U217" s="10"/>
    </row>
    <row r="218" ht="15.75" customHeight="1">
      <c r="A218" s="58">
        <v>1.0</v>
      </c>
      <c r="B218" s="188" t="s">
        <v>5681</v>
      </c>
      <c r="C218" s="58" t="s">
        <v>1560</v>
      </c>
      <c r="D218" s="72" t="s">
        <v>92</v>
      </c>
      <c r="E218" s="73"/>
      <c r="F218" s="10"/>
      <c r="G218" s="10"/>
      <c r="H218" s="10"/>
      <c r="I218" s="10"/>
      <c r="J218" s="10"/>
      <c r="K218" s="10"/>
      <c r="L218" s="10"/>
      <c r="M218" s="10"/>
      <c r="N218" s="10"/>
      <c r="O218" s="10"/>
      <c r="P218" s="10"/>
      <c r="Q218" s="10"/>
      <c r="R218" s="10"/>
      <c r="S218" s="10"/>
      <c r="T218" s="10"/>
      <c r="U218" s="10"/>
    </row>
    <row r="219" ht="15.75" hidden="1" customHeight="1">
      <c r="A219" s="58">
        <v>-1.0</v>
      </c>
      <c r="B219" s="58"/>
      <c r="C219" s="58" t="s">
        <v>5531</v>
      </c>
      <c r="D219" s="72" t="s">
        <v>901</v>
      </c>
      <c r="E219" s="73"/>
      <c r="F219" s="10"/>
      <c r="G219" s="10"/>
      <c r="H219" s="10"/>
      <c r="I219" s="10"/>
      <c r="J219" s="10"/>
      <c r="K219" s="10"/>
      <c r="L219" s="10"/>
      <c r="M219" s="10"/>
      <c r="N219" s="10"/>
      <c r="O219" s="10"/>
      <c r="P219" s="10"/>
      <c r="Q219" s="10"/>
      <c r="R219" s="10"/>
      <c r="S219" s="10"/>
      <c r="T219" s="10"/>
      <c r="U219" s="10"/>
    </row>
    <row r="220" ht="15.75" hidden="1" customHeight="1">
      <c r="A220" s="58">
        <v>0.0</v>
      </c>
      <c r="B220" s="58"/>
      <c r="C220" s="58" t="s">
        <v>1503</v>
      </c>
      <c r="D220" s="72" t="s">
        <v>901</v>
      </c>
      <c r="E220" s="73"/>
      <c r="F220" s="10"/>
      <c r="G220" s="10"/>
      <c r="H220" s="10"/>
      <c r="I220" s="10"/>
      <c r="J220" s="10"/>
      <c r="K220" s="10"/>
      <c r="L220" s="10"/>
      <c r="M220" s="10"/>
      <c r="N220" s="10"/>
      <c r="O220" s="10"/>
      <c r="P220" s="10"/>
      <c r="Q220" s="10"/>
      <c r="R220" s="10"/>
      <c r="S220" s="10"/>
      <c r="T220" s="10"/>
      <c r="U220" s="10"/>
    </row>
    <row r="221" ht="15.75" customHeight="1">
      <c r="A221" s="58">
        <v>0.0</v>
      </c>
      <c r="B221" s="188" t="s">
        <v>5728</v>
      </c>
      <c r="C221" s="58" t="s">
        <v>1331</v>
      </c>
      <c r="D221" s="72" t="s">
        <v>163</v>
      </c>
      <c r="E221" s="73"/>
      <c r="F221" s="10"/>
      <c r="G221" s="10"/>
      <c r="H221" s="10"/>
      <c r="I221" s="10"/>
      <c r="J221" s="10"/>
      <c r="K221" s="10"/>
      <c r="L221" s="10"/>
      <c r="M221" s="10"/>
      <c r="N221" s="10"/>
      <c r="O221" s="10"/>
      <c r="P221" s="10"/>
      <c r="Q221" s="10"/>
      <c r="R221" s="10"/>
      <c r="S221" s="10"/>
      <c r="T221" s="10"/>
      <c r="U221" s="10"/>
    </row>
    <row r="222" ht="15.75" customHeight="1">
      <c r="A222" s="58">
        <v>1.0</v>
      </c>
      <c r="B222" s="188" t="s">
        <v>5684</v>
      </c>
      <c r="C222" s="58" t="s">
        <v>5768</v>
      </c>
      <c r="D222" s="58" t="s">
        <v>187</v>
      </c>
      <c r="E222" s="10"/>
      <c r="F222" s="10"/>
      <c r="G222" s="10"/>
      <c r="H222" s="10"/>
      <c r="I222" s="10"/>
      <c r="J222" s="10"/>
      <c r="K222" s="10"/>
      <c r="L222" s="10"/>
      <c r="M222" s="10"/>
      <c r="N222" s="10"/>
      <c r="O222" s="10"/>
      <c r="P222" s="10"/>
      <c r="Q222" s="10"/>
      <c r="R222" s="10"/>
      <c r="S222" s="10"/>
      <c r="T222" s="10"/>
      <c r="U222" s="10"/>
    </row>
    <row r="223" ht="15.75" customHeight="1">
      <c r="A223" s="58">
        <v>-2.0</v>
      </c>
      <c r="B223" s="188" t="s">
        <v>5681</v>
      </c>
      <c r="C223" s="58" t="s">
        <v>5769</v>
      </c>
      <c r="D223" s="72" t="s">
        <v>179</v>
      </c>
      <c r="E223" s="73"/>
      <c r="F223" s="189"/>
      <c r="G223" s="10"/>
      <c r="H223" s="10"/>
      <c r="I223" s="10"/>
      <c r="J223" s="10"/>
      <c r="K223" s="10"/>
      <c r="L223" s="10"/>
      <c r="M223" s="10"/>
      <c r="N223" s="10"/>
      <c r="O223" s="10"/>
      <c r="P223" s="10"/>
      <c r="Q223" s="10"/>
      <c r="R223" s="10"/>
      <c r="S223" s="10"/>
      <c r="T223" s="10"/>
      <c r="U223" s="10"/>
    </row>
    <row r="224" ht="15.75" customHeight="1">
      <c r="A224" s="58">
        <v>-1.0</v>
      </c>
      <c r="B224" s="188" t="s">
        <v>5677</v>
      </c>
      <c r="C224" s="58" t="s">
        <v>746</v>
      </c>
      <c r="D224" s="72" t="s">
        <v>179</v>
      </c>
      <c r="E224" s="73"/>
      <c r="F224" s="10"/>
      <c r="G224" s="10"/>
      <c r="H224" s="10"/>
      <c r="I224" s="10"/>
      <c r="J224" s="10"/>
      <c r="K224" s="10"/>
      <c r="L224" s="10"/>
      <c r="M224" s="10"/>
      <c r="N224" s="10"/>
      <c r="O224" s="10"/>
      <c r="P224" s="10"/>
      <c r="Q224" s="10"/>
      <c r="R224" s="10"/>
      <c r="S224" s="10"/>
      <c r="T224" s="10"/>
      <c r="U224" s="10"/>
    </row>
    <row r="225" ht="15.75" customHeight="1">
      <c r="A225" s="58">
        <v>0.0</v>
      </c>
      <c r="B225" s="188" t="s">
        <v>5695</v>
      </c>
      <c r="C225" s="58" t="s">
        <v>1159</v>
      </c>
      <c r="D225" s="72" t="s">
        <v>163</v>
      </c>
      <c r="E225" s="73"/>
      <c r="F225" s="10"/>
      <c r="G225" s="10"/>
      <c r="H225" s="10"/>
      <c r="I225" s="10"/>
      <c r="J225" s="10"/>
      <c r="K225" s="10"/>
      <c r="L225" s="10"/>
      <c r="M225" s="10"/>
      <c r="N225" s="10"/>
      <c r="O225" s="10"/>
      <c r="P225" s="10"/>
      <c r="Q225" s="10"/>
      <c r="R225" s="10"/>
      <c r="S225" s="10"/>
      <c r="T225" s="10"/>
      <c r="U225" s="10"/>
    </row>
    <row r="226" ht="15.75" customHeight="1">
      <c r="A226" s="58">
        <v>0.0</v>
      </c>
      <c r="B226" s="188" t="s">
        <v>5677</v>
      </c>
      <c r="C226" s="58" t="s">
        <v>5770</v>
      </c>
      <c r="D226" s="72" t="s">
        <v>163</v>
      </c>
      <c r="E226" s="73"/>
      <c r="F226" s="10"/>
      <c r="G226" s="10"/>
      <c r="H226" s="10"/>
      <c r="I226" s="10"/>
      <c r="J226" s="10"/>
      <c r="K226" s="10"/>
      <c r="L226" s="10"/>
      <c r="M226" s="10"/>
      <c r="N226" s="10"/>
      <c r="O226" s="10"/>
      <c r="P226" s="10"/>
      <c r="Q226" s="10"/>
      <c r="R226" s="10"/>
      <c r="S226" s="10"/>
      <c r="T226" s="10"/>
      <c r="U226" s="10"/>
    </row>
    <row r="227" ht="15.75" customHeight="1">
      <c r="A227" s="58">
        <v>-1.0</v>
      </c>
      <c r="B227" s="188" t="s">
        <v>5689</v>
      </c>
      <c r="C227" s="58" t="s">
        <v>5771</v>
      </c>
      <c r="D227" s="72" t="s">
        <v>155</v>
      </c>
      <c r="E227" s="73"/>
      <c r="F227" s="10"/>
      <c r="G227" s="10"/>
      <c r="H227" s="10"/>
      <c r="I227" s="10"/>
      <c r="J227" s="10"/>
      <c r="K227" s="10"/>
      <c r="L227" s="10"/>
      <c r="M227" s="10"/>
      <c r="N227" s="10"/>
      <c r="O227" s="10"/>
      <c r="P227" s="10"/>
      <c r="Q227" s="10"/>
      <c r="R227" s="10"/>
      <c r="S227" s="10"/>
      <c r="T227" s="10"/>
      <c r="U227" s="10"/>
    </row>
    <row r="228" ht="15.75" customHeight="1">
      <c r="A228" s="58">
        <v>0.0</v>
      </c>
      <c r="B228" s="188" t="s">
        <v>5675</v>
      </c>
      <c r="C228" s="58" t="s">
        <v>1141</v>
      </c>
      <c r="D228" s="72" t="s">
        <v>187</v>
      </c>
      <c r="E228" s="73"/>
      <c r="F228" s="10"/>
      <c r="G228" s="10"/>
      <c r="H228" s="10"/>
      <c r="I228" s="10"/>
      <c r="J228" s="10"/>
      <c r="K228" s="10"/>
      <c r="L228" s="10"/>
      <c r="M228" s="10"/>
      <c r="N228" s="10"/>
      <c r="O228" s="10"/>
      <c r="P228" s="10"/>
      <c r="Q228" s="10"/>
      <c r="R228" s="10"/>
      <c r="S228" s="10"/>
      <c r="T228" s="10"/>
      <c r="U228" s="10"/>
    </row>
    <row r="229" ht="15.75" customHeight="1">
      <c r="A229" s="58">
        <v>-1.0</v>
      </c>
      <c r="B229" s="188" t="s">
        <v>5694</v>
      </c>
      <c r="C229" s="58" t="s">
        <v>5772</v>
      </c>
      <c r="D229" s="72" t="s">
        <v>179</v>
      </c>
      <c r="E229" s="73"/>
      <c r="F229" s="10"/>
      <c r="G229" s="10"/>
      <c r="H229" s="10"/>
      <c r="I229" s="10"/>
      <c r="J229" s="10"/>
      <c r="K229" s="10"/>
      <c r="L229" s="10"/>
      <c r="M229" s="10"/>
      <c r="N229" s="10"/>
      <c r="O229" s="10"/>
      <c r="P229" s="10"/>
      <c r="Q229" s="10"/>
      <c r="R229" s="10"/>
      <c r="S229" s="10"/>
      <c r="T229" s="10"/>
      <c r="U229" s="10"/>
    </row>
    <row r="230" ht="15.75" customHeight="1">
      <c r="A230" s="58">
        <v>-1.0</v>
      </c>
      <c r="B230" s="188" t="s">
        <v>5681</v>
      </c>
      <c r="C230" s="58" t="s">
        <v>759</v>
      </c>
      <c r="D230" s="72" t="s">
        <v>163</v>
      </c>
      <c r="E230" s="73"/>
      <c r="F230" s="10"/>
      <c r="G230" s="10"/>
      <c r="H230" s="10"/>
      <c r="I230" s="10"/>
      <c r="J230" s="10"/>
      <c r="K230" s="10"/>
      <c r="L230" s="10"/>
      <c r="M230" s="10"/>
      <c r="N230" s="10"/>
      <c r="O230" s="10"/>
      <c r="P230" s="10"/>
      <c r="Q230" s="10"/>
      <c r="R230" s="10"/>
      <c r="S230" s="10"/>
      <c r="T230" s="10"/>
      <c r="U230" s="10"/>
    </row>
    <row r="231" ht="15.75" customHeight="1">
      <c r="A231" s="58">
        <v>0.0</v>
      </c>
      <c r="B231" s="188" t="s">
        <v>5701</v>
      </c>
      <c r="C231" s="58" t="s">
        <v>1380</v>
      </c>
      <c r="D231" s="72" t="s">
        <v>187</v>
      </c>
      <c r="E231" s="73"/>
      <c r="F231" s="10"/>
      <c r="G231" s="10"/>
      <c r="H231" s="10"/>
      <c r="I231" s="10"/>
      <c r="J231" s="10"/>
      <c r="K231" s="10"/>
      <c r="L231" s="10"/>
      <c r="M231" s="10"/>
      <c r="N231" s="10"/>
      <c r="O231" s="10"/>
      <c r="P231" s="10"/>
      <c r="Q231" s="10"/>
      <c r="R231" s="10"/>
      <c r="S231" s="10"/>
      <c r="T231" s="10"/>
      <c r="U231" s="10"/>
    </row>
    <row r="232" ht="15.75" customHeight="1">
      <c r="A232" s="58">
        <v>-1.0</v>
      </c>
      <c r="B232" s="188" t="s">
        <v>5675</v>
      </c>
      <c r="C232" s="58" t="s">
        <v>5773</v>
      </c>
      <c r="D232" s="72" t="s">
        <v>163</v>
      </c>
      <c r="E232" s="73"/>
      <c r="F232" s="10"/>
      <c r="G232" s="10"/>
      <c r="H232" s="10"/>
      <c r="I232" s="10"/>
      <c r="J232" s="10"/>
      <c r="K232" s="10"/>
      <c r="L232" s="10"/>
      <c r="M232" s="10"/>
      <c r="N232" s="10"/>
      <c r="O232" s="10"/>
      <c r="P232" s="10"/>
      <c r="Q232" s="10"/>
      <c r="R232" s="10"/>
      <c r="S232" s="10"/>
      <c r="T232" s="10"/>
      <c r="U232" s="10"/>
    </row>
    <row r="233" ht="15.75" customHeight="1">
      <c r="A233" s="58">
        <v>-2.0</v>
      </c>
      <c r="B233" s="188" t="s">
        <v>5674</v>
      </c>
      <c r="C233" s="58" t="s">
        <v>5774</v>
      </c>
      <c r="D233" s="72" t="s">
        <v>163</v>
      </c>
      <c r="E233" s="73"/>
      <c r="F233" s="189"/>
      <c r="G233" s="10"/>
      <c r="H233" s="10"/>
      <c r="I233" s="10"/>
      <c r="J233" s="10"/>
      <c r="K233" s="10"/>
      <c r="L233" s="10"/>
      <c r="M233" s="10"/>
      <c r="N233" s="10"/>
      <c r="O233" s="10"/>
      <c r="P233" s="10"/>
      <c r="Q233" s="10"/>
      <c r="R233" s="10"/>
      <c r="S233" s="10"/>
      <c r="T233" s="10"/>
      <c r="U233" s="10"/>
    </row>
    <row r="234" ht="15.75" customHeight="1">
      <c r="A234" s="58">
        <v>-1.0</v>
      </c>
      <c r="B234" s="188" t="s">
        <v>5698</v>
      </c>
      <c r="C234" s="58" t="s">
        <v>5775</v>
      </c>
      <c r="D234" s="72" t="s">
        <v>163</v>
      </c>
      <c r="E234" s="73"/>
      <c r="F234" s="10"/>
      <c r="G234" s="10"/>
      <c r="H234" s="10"/>
      <c r="I234" s="10"/>
      <c r="J234" s="10"/>
      <c r="K234" s="10"/>
      <c r="L234" s="10"/>
      <c r="M234" s="10"/>
      <c r="N234" s="10"/>
      <c r="O234" s="10"/>
      <c r="P234" s="10"/>
      <c r="Q234" s="10"/>
      <c r="R234" s="10"/>
      <c r="S234" s="10"/>
      <c r="T234" s="10"/>
      <c r="U234" s="10"/>
    </row>
    <row r="235" ht="15.75" customHeight="1">
      <c r="A235" s="58">
        <v>-2.0</v>
      </c>
      <c r="B235" s="188" t="s">
        <v>5698</v>
      </c>
      <c r="C235" s="58" t="s">
        <v>2394</v>
      </c>
      <c r="D235" s="72" t="s">
        <v>163</v>
      </c>
      <c r="E235" s="73"/>
      <c r="F235" s="189"/>
      <c r="G235" s="10"/>
      <c r="H235" s="10"/>
      <c r="I235" s="10"/>
      <c r="J235" s="10"/>
      <c r="K235" s="10"/>
      <c r="L235" s="10"/>
      <c r="M235" s="10"/>
      <c r="N235" s="10"/>
      <c r="O235" s="10"/>
      <c r="P235" s="10"/>
      <c r="Q235" s="10"/>
      <c r="R235" s="10"/>
      <c r="S235" s="10"/>
      <c r="T235" s="10"/>
      <c r="U235" s="10"/>
    </row>
    <row r="236" ht="15.75" hidden="1" customHeight="1">
      <c r="A236" s="58">
        <v>0.0</v>
      </c>
      <c r="B236" s="58"/>
      <c r="C236" s="58" t="s">
        <v>5776</v>
      </c>
      <c r="D236" s="72" t="s">
        <v>901</v>
      </c>
      <c r="E236" s="73"/>
      <c r="F236" s="10"/>
      <c r="G236" s="10"/>
      <c r="H236" s="10"/>
      <c r="I236" s="10"/>
      <c r="J236" s="10"/>
      <c r="K236" s="10"/>
      <c r="L236" s="10"/>
      <c r="M236" s="10"/>
      <c r="N236" s="10"/>
      <c r="O236" s="10"/>
      <c r="P236" s="10"/>
      <c r="Q236" s="10"/>
      <c r="R236" s="10"/>
      <c r="S236" s="10"/>
      <c r="T236" s="10"/>
      <c r="U236" s="10"/>
    </row>
    <row r="237" ht="15.75" customHeight="1">
      <c r="A237" s="58">
        <v>-1.0</v>
      </c>
      <c r="B237" s="188" t="s">
        <v>5696</v>
      </c>
      <c r="C237" s="58" t="s">
        <v>5777</v>
      </c>
      <c r="D237" s="72" t="s">
        <v>163</v>
      </c>
      <c r="E237" s="73"/>
      <c r="F237" s="10"/>
      <c r="G237" s="10"/>
      <c r="H237" s="10"/>
      <c r="I237" s="10"/>
      <c r="J237" s="10"/>
      <c r="K237" s="10"/>
      <c r="L237" s="10"/>
      <c r="M237" s="10"/>
      <c r="N237" s="10"/>
      <c r="O237" s="10"/>
      <c r="P237" s="10"/>
      <c r="Q237" s="10"/>
      <c r="R237" s="10"/>
      <c r="S237" s="10"/>
      <c r="T237" s="10"/>
      <c r="U237" s="10"/>
    </row>
    <row r="238" ht="15.75" hidden="1" customHeight="1">
      <c r="A238" s="58">
        <v>-1.0</v>
      </c>
      <c r="B238" s="58"/>
      <c r="C238" s="58" t="s">
        <v>5778</v>
      </c>
      <c r="D238" s="72" t="s">
        <v>901</v>
      </c>
      <c r="E238" s="73"/>
      <c r="F238" s="10"/>
      <c r="G238" s="10"/>
      <c r="H238" s="10"/>
      <c r="I238" s="10"/>
      <c r="J238" s="10"/>
      <c r="K238" s="10"/>
      <c r="L238" s="10"/>
      <c r="M238" s="10"/>
      <c r="N238" s="10"/>
      <c r="O238" s="10"/>
      <c r="P238" s="10"/>
      <c r="Q238" s="10"/>
      <c r="R238" s="10"/>
      <c r="S238" s="10"/>
      <c r="T238" s="10"/>
      <c r="U238" s="10"/>
    </row>
    <row r="239" ht="15.75" hidden="1" customHeight="1">
      <c r="A239" s="58">
        <v>0.0</v>
      </c>
      <c r="B239" s="58"/>
      <c r="C239" s="58" t="s">
        <v>5779</v>
      </c>
      <c r="D239" s="72" t="s">
        <v>901</v>
      </c>
      <c r="E239" s="73"/>
      <c r="F239" s="10"/>
      <c r="G239" s="10"/>
      <c r="H239" s="10"/>
      <c r="I239" s="10"/>
      <c r="J239" s="10"/>
      <c r="K239" s="10"/>
      <c r="L239" s="10"/>
      <c r="M239" s="10"/>
      <c r="N239" s="10"/>
      <c r="O239" s="10"/>
      <c r="P239" s="10"/>
      <c r="Q239" s="10"/>
      <c r="R239" s="10"/>
      <c r="S239" s="10"/>
      <c r="T239" s="10"/>
      <c r="U239" s="10"/>
    </row>
    <row r="240" ht="15.75" customHeight="1">
      <c r="A240" s="58">
        <v>-2.0</v>
      </c>
      <c r="B240" s="188" t="s">
        <v>5673</v>
      </c>
      <c r="C240" s="58" t="s">
        <v>5780</v>
      </c>
      <c r="D240" s="72" t="s">
        <v>70</v>
      </c>
      <c r="E240" s="10"/>
      <c r="F240" s="16"/>
      <c r="G240" s="10"/>
      <c r="H240" s="10"/>
      <c r="I240" s="15"/>
      <c r="J240" s="10"/>
      <c r="K240" s="10"/>
      <c r="L240" s="10"/>
      <c r="M240" s="16"/>
      <c r="N240" s="10"/>
      <c r="O240" s="10"/>
      <c r="P240" s="10"/>
      <c r="Q240" s="10"/>
      <c r="R240" s="10"/>
      <c r="S240" s="10"/>
      <c r="T240" s="10"/>
      <c r="U240" s="10"/>
    </row>
    <row r="241" ht="15.75" customHeight="1">
      <c r="A241" s="58">
        <v>-3.0</v>
      </c>
      <c r="B241" s="188" t="s">
        <v>5690</v>
      </c>
      <c r="C241" s="58" t="s">
        <v>5781</v>
      </c>
      <c r="D241" s="72" t="s">
        <v>24</v>
      </c>
      <c r="E241" s="73"/>
      <c r="F241" s="189"/>
      <c r="G241" s="10"/>
      <c r="H241" s="10"/>
      <c r="I241" s="10"/>
      <c r="J241" s="10"/>
      <c r="K241" s="10"/>
      <c r="L241" s="10"/>
      <c r="M241" s="10"/>
      <c r="N241" s="10"/>
      <c r="O241" s="10"/>
      <c r="P241" s="10"/>
      <c r="Q241" s="10"/>
      <c r="R241" s="10"/>
      <c r="S241" s="10"/>
      <c r="T241" s="10"/>
      <c r="U241" s="10"/>
    </row>
    <row r="242" ht="15.75" customHeight="1">
      <c r="A242" s="58">
        <v>-3.0</v>
      </c>
      <c r="B242" s="188" t="s">
        <v>5694</v>
      </c>
      <c r="C242" s="58" t="s">
        <v>2271</v>
      </c>
      <c r="D242" s="72" t="s">
        <v>459</v>
      </c>
      <c r="E242" s="73"/>
      <c r="F242" s="189"/>
      <c r="G242" s="10"/>
      <c r="H242" s="10"/>
      <c r="I242" s="10"/>
      <c r="J242" s="10"/>
      <c r="K242" s="10"/>
      <c r="L242" s="10"/>
      <c r="M242" s="10"/>
      <c r="N242" s="10"/>
      <c r="O242" s="10"/>
      <c r="P242" s="10"/>
      <c r="Q242" s="10"/>
      <c r="R242" s="10"/>
      <c r="S242" s="10"/>
      <c r="T242" s="10"/>
      <c r="U242" s="10"/>
    </row>
    <row r="243" ht="15.75" customHeight="1">
      <c r="A243" s="58">
        <v>0.0</v>
      </c>
      <c r="B243" s="188" t="s">
        <v>5704</v>
      </c>
      <c r="C243" s="58" t="s">
        <v>1400</v>
      </c>
      <c r="D243" s="72" t="s">
        <v>44</v>
      </c>
      <c r="E243" s="73"/>
      <c r="F243" s="10"/>
      <c r="G243" s="10"/>
      <c r="H243" s="10"/>
      <c r="I243" s="10"/>
      <c r="J243" s="10"/>
      <c r="K243" s="10"/>
      <c r="L243" s="10"/>
      <c r="M243" s="10"/>
      <c r="N243" s="10"/>
      <c r="O243" s="10"/>
      <c r="P243" s="10"/>
      <c r="Q243" s="10"/>
      <c r="R243" s="10"/>
      <c r="S243" s="10"/>
      <c r="T243" s="10"/>
      <c r="U243" s="10"/>
    </row>
    <row r="244" ht="15.75" customHeight="1">
      <c r="A244" s="58">
        <v>0.0</v>
      </c>
      <c r="B244" s="188" t="s">
        <v>5685</v>
      </c>
      <c r="C244" s="58" t="s">
        <v>1296</v>
      </c>
      <c r="D244" s="72" t="s">
        <v>187</v>
      </c>
      <c r="E244" s="73"/>
      <c r="F244" s="10"/>
      <c r="G244" s="10"/>
      <c r="H244" s="10"/>
      <c r="I244" s="10"/>
      <c r="J244" s="10"/>
      <c r="K244" s="10"/>
      <c r="L244" s="10"/>
      <c r="M244" s="10"/>
      <c r="N244" s="10"/>
      <c r="O244" s="10"/>
      <c r="P244" s="10"/>
      <c r="Q244" s="10"/>
      <c r="R244" s="10"/>
      <c r="S244" s="10"/>
      <c r="T244" s="10"/>
      <c r="U244" s="10"/>
    </row>
    <row r="245" ht="15.75" customHeight="1">
      <c r="A245" s="58">
        <v>1.0</v>
      </c>
      <c r="B245" s="188" t="s">
        <v>5673</v>
      </c>
      <c r="C245" s="58" t="s">
        <v>1554</v>
      </c>
      <c r="D245" s="72" t="s">
        <v>125</v>
      </c>
      <c r="E245" s="73"/>
      <c r="F245" s="10"/>
      <c r="G245" s="10"/>
      <c r="H245" s="10"/>
      <c r="I245" s="10"/>
      <c r="J245" s="10"/>
      <c r="K245" s="10"/>
      <c r="L245" s="10"/>
      <c r="M245" s="10"/>
      <c r="N245" s="10"/>
      <c r="O245" s="10"/>
      <c r="P245" s="10"/>
      <c r="Q245" s="10"/>
      <c r="R245" s="10"/>
      <c r="S245" s="10"/>
      <c r="T245" s="10"/>
      <c r="U245" s="10"/>
    </row>
    <row r="246" ht="15.75" hidden="1" customHeight="1">
      <c r="A246" s="58">
        <v>0.0</v>
      </c>
      <c r="B246" s="58"/>
      <c r="C246" s="58" t="s">
        <v>5782</v>
      </c>
      <c r="D246" s="72" t="s">
        <v>901</v>
      </c>
      <c r="E246" s="73"/>
      <c r="F246" s="10"/>
      <c r="G246" s="10"/>
      <c r="H246" s="10"/>
      <c r="I246" s="10"/>
      <c r="J246" s="10"/>
      <c r="K246" s="10"/>
      <c r="L246" s="10"/>
      <c r="M246" s="10"/>
      <c r="N246" s="10"/>
      <c r="O246" s="10"/>
      <c r="P246" s="10"/>
      <c r="Q246" s="10"/>
      <c r="R246" s="10"/>
      <c r="S246" s="10"/>
      <c r="T246" s="10"/>
      <c r="U246" s="10"/>
    </row>
    <row r="247" ht="15.75" customHeight="1">
      <c r="A247" s="58">
        <v>-1.0</v>
      </c>
      <c r="B247" s="188" t="s">
        <v>5735</v>
      </c>
      <c r="C247" s="58" t="s">
        <v>424</v>
      </c>
      <c r="D247" s="72" t="s">
        <v>155</v>
      </c>
      <c r="E247" s="73"/>
      <c r="F247" s="10"/>
      <c r="G247" s="10"/>
      <c r="H247" s="10"/>
      <c r="I247" s="10"/>
      <c r="J247" s="10"/>
      <c r="K247" s="10"/>
      <c r="L247" s="10"/>
      <c r="M247" s="10"/>
      <c r="N247" s="10"/>
      <c r="O247" s="10"/>
      <c r="P247" s="10"/>
      <c r="Q247" s="10"/>
      <c r="R247" s="10"/>
      <c r="S247" s="10"/>
      <c r="T247" s="10"/>
      <c r="U247" s="10"/>
    </row>
    <row r="248" ht="15.75" customHeight="1">
      <c r="A248" s="58">
        <v>1.0</v>
      </c>
      <c r="B248" s="188" t="s">
        <v>5698</v>
      </c>
      <c r="C248" s="58" t="s">
        <v>119</v>
      </c>
      <c r="D248" s="72" t="s">
        <v>125</v>
      </c>
      <c r="E248" s="73"/>
      <c r="F248" s="10"/>
      <c r="G248" s="10"/>
      <c r="H248" s="10"/>
      <c r="I248" s="10"/>
      <c r="J248" s="10"/>
      <c r="K248" s="10"/>
      <c r="L248" s="10"/>
      <c r="M248" s="10"/>
      <c r="N248" s="10"/>
      <c r="O248" s="10"/>
      <c r="P248" s="10"/>
      <c r="Q248" s="10"/>
      <c r="R248" s="10"/>
      <c r="S248" s="10"/>
      <c r="T248" s="10"/>
      <c r="U248" s="10"/>
    </row>
    <row r="249" ht="15.75" customHeight="1">
      <c r="A249" s="58">
        <v>-2.0</v>
      </c>
      <c r="B249" s="188" t="s">
        <v>5672</v>
      </c>
      <c r="C249" s="58" t="s">
        <v>261</v>
      </c>
      <c r="D249" s="72" t="s">
        <v>163</v>
      </c>
      <c r="E249" s="10"/>
      <c r="F249" s="189"/>
      <c r="G249" s="10"/>
      <c r="H249" s="10"/>
      <c r="I249" s="10"/>
      <c r="J249" s="10"/>
      <c r="K249" s="10"/>
      <c r="L249" s="10"/>
      <c r="M249" s="10"/>
      <c r="N249" s="10"/>
      <c r="O249" s="10"/>
      <c r="P249" s="10"/>
      <c r="Q249" s="10"/>
      <c r="R249" s="10"/>
      <c r="S249" s="10"/>
      <c r="T249" s="10"/>
      <c r="U249" s="10"/>
    </row>
    <row r="250" ht="15.75" customHeight="1">
      <c r="A250" s="58">
        <v>-2.0</v>
      </c>
      <c r="B250" s="188" t="s">
        <v>5677</v>
      </c>
      <c r="C250" s="58" t="s">
        <v>273</v>
      </c>
      <c r="D250" s="72" t="s">
        <v>163</v>
      </c>
      <c r="E250" s="73"/>
      <c r="F250" s="189"/>
      <c r="G250" s="10"/>
      <c r="H250" s="10"/>
      <c r="I250" s="10"/>
      <c r="J250" s="10"/>
      <c r="K250" s="10"/>
      <c r="L250" s="10"/>
      <c r="M250" s="10"/>
      <c r="N250" s="10"/>
      <c r="O250" s="10"/>
      <c r="P250" s="10"/>
      <c r="Q250" s="10"/>
      <c r="R250" s="10"/>
      <c r="S250" s="10"/>
      <c r="T250" s="10"/>
      <c r="U250" s="10"/>
    </row>
    <row r="251" ht="15.75" hidden="1" customHeight="1">
      <c r="A251" s="58">
        <v>0.0</v>
      </c>
      <c r="B251" s="58"/>
      <c r="C251" s="58" t="s">
        <v>5783</v>
      </c>
      <c r="D251" s="131" t="s">
        <v>901</v>
      </c>
      <c r="E251" s="73"/>
      <c r="F251" s="189"/>
      <c r="G251" s="10"/>
      <c r="H251" s="10"/>
      <c r="I251" s="10"/>
      <c r="J251" s="10"/>
      <c r="K251" s="10"/>
      <c r="L251" s="10"/>
      <c r="M251" s="10"/>
      <c r="N251" s="10"/>
      <c r="O251" s="10"/>
      <c r="P251" s="10"/>
      <c r="Q251" s="10"/>
      <c r="R251" s="10"/>
      <c r="S251" s="10"/>
      <c r="T251" s="10"/>
      <c r="U251" s="10"/>
    </row>
    <row r="252" ht="15.75" customHeight="1">
      <c r="A252" s="58">
        <v>-1.0</v>
      </c>
      <c r="B252" s="188" t="s">
        <v>5722</v>
      </c>
      <c r="C252" s="58" t="s">
        <v>597</v>
      </c>
      <c r="D252" s="72" t="s">
        <v>561</v>
      </c>
      <c r="E252" s="73"/>
      <c r="F252" s="10"/>
      <c r="G252" s="10"/>
      <c r="H252" s="10"/>
      <c r="I252" s="10"/>
      <c r="J252" s="10"/>
      <c r="K252" s="10"/>
      <c r="L252" s="10"/>
      <c r="M252" s="10"/>
      <c r="N252" s="10"/>
      <c r="O252" s="10"/>
      <c r="P252" s="10"/>
      <c r="Q252" s="10"/>
      <c r="R252" s="10"/>
      <c r="S252" s="10"/>
      <c r="T252" s="10"/>
      <c r="U252" s="10"/>
    </row>
    <row r="253" ht="15.75" customHeight="1">
      <c r="A253" s="58">
        <v>-1.0</v>
      </c>
      <c r="B253" s="188" t="s">
        <v>5689</v>
      </c>
      <c r="C253" s="58" t="s">
        <v>711</v>
      </c>
      <c r="D253" s="72" t="s">
        <v>163</v>
      </c>
      <c r="E253" s="73"/>
      <c r="F253" s="10"/>
      <c r="G253" s="10"/>
      <c r="H253" s="10"/>
      <c r="I253" s="10"/>
      <c r="J253" s="10"/>
      <c r="K253" s="10"/>
      <c r="L253" s="10"/>
      <c r="M253" s="10"/>
      <c r="N253" s="10"/>
      <c r="O253" s="10"/>
      <c r="P253" s="10"/>
      <c r="Q253" s="10"/>
      <c r="R253" s="10"/>
      <c r="S253" s="10"/>
      <c r="T253" s="10"/>
      <c r="U253" s="10"/>
    </row>
    <row r="254" ht="15.75" customHeight="1">
      <c r="A254" s="58">
        <v>0.0</v>
      </c>
      <c r="B254" s="188" t="s">
        <v>5687</v>
      </c>
      <c r="C254" s="58" t="s">
        <v>5784</v>
      </c>
      <c r="D254" s="72" t="s">
        <v>187</v>
      </c>
      <c r="E254" s="73"/>
      <c r="F254" s="10"/>
      <c r="G254" s="10"/>
      <c r="H254" s="10"/>
      <c r="I254" s="10"/>
      <c r="J254" s="10"/>
      <c r="K254" s="10"/>
      <c r="L254" s="10"/>
      <c r="M254" s="10"/>
      <c r="N254" s="10"/>
      <c r="O254" s="10"/>
      <c r="P254" s="10"/>
      <c r="Q254" s="10"/>
      <c r="R254" s="10"/>
      <c r="S254" s="10"/>
      <c r="T254" s="10"/>
      <c r="U254" s="10"/>
    </row>
    <row r="255" ht="15.75" customHeight="1">
      <c r="A255" s="58">
        <v>-1.0</v>
      </c>
      <c r="B255" s="188" t="s">
        <v>5701</v>
      </c>
      <c r="C255" s="58" t="s">
        <v>2003</v>
      </c>
      <c r="D255" s="72" t="s">
        <v>561</v>
      </c>
      <c r="E255" s="73"/>
      <c r="F255" s="10"/>
      <c r="G255" s="10"/>
      <c r="H255" s="10"/>
      <c r="I255" s="10"/>
      <c r="J255" s="10"/>
      <c r="K255" s="10"/>
      <c r="L255" s="10"/>
      <c r="M255" s="10"/>
      <c r="N255" s="10"/>
      <c r="O255" s="10"/>
      <c r="P255" s="10"/>
      <c r="Q255" s="10"/>
      <c r="R255" s="10"/>
      <c r="S255" s="10"/>
      <c r="T255" s="10"/>
      <c r="U255" s="10"/>
    </row>
    <row r="256" ht="15.75" customHeight="1">
      <c r="A256" s="58">
        <v>-1.0</v>
      </c>
      <c r="B256" s="188" t="s">
        <v>5713</v>
      </c>
      <c r="C256" s="58" t="s">
        <v>503</v>
      </c>
      <c r="D256" s="72" t="s">
        <v>187</v>
      </c>
      <c r="E256" s="73"/>
      <c r="F256" s="10"/>
      <c r="G256" s="10"/>
      <c r="H256" s="10"/>
      <c r="I256" s="10"/>
      <c r="J256" s="10"/>
      <c r="K256" s="10"/>
      <c r="L256" s="10"/>
      <c r="M256" s="10"/>
      <c r="N256" s="10"/>
      <c r="O256" s="10"/>
      <c r="P256" s="10"/>
      <c r="Q256" s="10"/>
      <c r="R256" s="10"/>
      <c r="S256" s="10"/>
      <c r="T256" s="10"/>
      <c r="U256" s="10"/>
    </row>
    <row r="257" ht="15.75" customHeight="1">
      <c r="A257" s="58">
        <v>0.0</v>
      </c>
      <c r="B257" s="188" t="s">
        <v>5703</v>
      </c>
      <c r="C257" s="58" t="s">
        <v>1153</v>
      </c>
      <c r="D257" s="72" t="s">
        <v>155</v>
      </c>
      <c r="E257" s="73"/>
      <c r="F257" s="10"/>
      <c r="G257" s="10"/>
      <c r="H257" s="10"/>
      <c r="I257" s="10"/>
      <c r="J257" s="10"/>
      <c r="K257" s="10"/>
      <c r="L257" s="10"/>
      <c r="M257" s="10"/>
      <c r="N257" s="10"/>
      <c r="O257" s="10"/>
      <c r="P257" s="10"/>
      <c r="Q257" s="10"/>
      <c r="R257" s="10"/>
      <c r="S257" s="10"/>
      <c r="T257" s="10"/>
      <c r="U257" s="10"/>
    </row>
    <row r="258" ht="15.75" customHeight="1">
      <c r="A258" s="58">
        <v>-1.0</v>
      </c>
      <c r="B258" s="188" t="s">
        <v>5702</v>
      </c>
      <c r="C258" s="58" t="s">
        <v>563</v>
      </c>
      <c r="D258" s="72" t="s">
        <v>561</v>
      </c>
      <c r="E258" s="73"/>
      <c r="F258" s="10"/>
      <c r="G258" s="10"/>
      <c r="H258" s="10"/>
      <c r="I258" s="10"/>
      <c r="J258" s="10"/>
      <c r="K258" s="10"/>
      <c r="L258" s="10"/>
      <c r="M258" s="10"/>
      <c r="N258" s="10"/>
      <c r="O258" s="10"/>
      <c r="P258" s="10"/>
      <c r="Q258" s="10"/>
      <c r="R258" s="10"/>
      <c r="S258" s="10"/>
      <c r="T258" s="10"/>
      <c r="U258" s="10"/>
    </row>
    <row r="259" ht="15.75" hidden="1" customHeight="1">
      <c r="A259" s="58">
        <v>0.0</v>
      </c>
      <c r="B259" s="58"/>
      <c r="C259" s="58" t="s">
        <v>1520</v>
      </c>
      <c r="D259" s="72" t="s">
        <v>901</v>
      </c>
      <c r="E259" s="73"/>
      <c r="F259" s="10"/>
      <c r="G259" s="10"/>
      <c r="H259" s="10"/>
      <c r="I259" s="10"/>
      <c r="J259" s="10"/>
      <c r="K259" s="10"/>
      <c r="L259" s="10"/>
      <c r="M259" s="10"/>
      <c r="N259" s="10"/>
      <c r="O259" s="10"/>
      <c r="P259" s="10"/>
      <c r="Q259" s="10"/>
      <c r="R259" s="10"/>
      <c r="S259" s="10"/>
      <c r="T259" s="10"/>
      <c r="U259" s="10"/>
    </row>
    <row r="260" ht="15.75" customHeight="1">
      <c r="A260" s="58">
        <v>0.0</v>
      </c>
      <c r="B260" s="188" t="s">
        <v>5674</v>
      </c>
      <c r="C260" s="58" t="s">
        <v>1112</v>
      </c>
      <c r="D260" s="72" t="s">
        <v>163</v>
      </c>
      <c r="E260" s="73"/>
      <c r="F260" s="10"/>
      <c r="G260" s="10"/>
      <c r="H260" s="10"/>
      <c r="I260" s="10"/>
      <c r="J260" s="10"/>
      <c r="K260" s="10"/>
      <c r="L260" s="10"/>
      <c r="M260" s="10"/>
      <c r="N260" s="10"/>
      <c r="O260" s="10"/>
      <c r="P260" s="10"/>
      <c r="Q260" s="10"/>
      <c r="R260" s="10"/>
      <c r="S260" s="10"/>
      <c r="T260" s="10"/>
      <c r="U260" s="10"/>
    </row>
    <row r="261" ht="15.75" customHeight="1">
      <c r="A261" s="58">
        <v>-2.0</v>
      </c>
      <c r="B261" s="188" t="s">
        <v>5698</v>
      </c>
      <c r="C261" s="58" t="s">
        <v>5785</v>
      </c>
      <c r="D261" s="58" t="s">
        <v>155</v>
      </c>
      <c r="E261" s="10"/>
      <c r="F261" s="16"/>
      <c r="G261" s="10"/>
      <c r="H261" s="10"/>
      <c r="I261" s="15"/>
      <c r="J261" s="10"/>
      <c r="K261" s="10"/>
      <c r="L261" s="10"/>
      <c r="M261" s="16"/>
      <c r="N261" s="10"/>
      <c r="O261" s="10"/>
      <c r="P261" s="10"/>
      <c r="Q261" s="10"/>
      <c r="R261" s="10"/>
      <c r="S261" s="10"/>
      <c r="T261" s="10"/>
      <c r="U261" s="10"/>
    </row>
    <row r="262" ht="15.75" hidden="1" customHeight="1">
      <c r="A262" s="58">
        <v>0.0</v>
      </c>
      <c r="B262" s="58"/>
      <c r="C262" s="58" t="s">
        <v>1476</v>
      </c>
      <c r="D262" s="72" t="s">
        <v>901</v>
      </c>
      <c r="E262" s="73"/>
      <c r="F262" s="10"/>
      <c r="G262" s="10"/>
      <c r="H262" s="10"/>
      <c r="I262" s="10"/>
      <c r="J262" s="10"/>
      <c r="K262" s="10"/>
      <c r="L262" s="10"/>
      <c r="M262" s="10"/>
      <c r="N262" s="10"/>
      <c r="O262" s="10"/>
      <c r="P262" s="10"/>
      <c r="Q262" s="10"/>
      <c r="R262" s="10"/>
      <c r="S262" s="10"/>
      <c r="T262" s="10"/>
      <c r="U262" s="10"/>
    </row>
    <row r="263" ht="15.75" hidden="1" customHeight="1">
      <c r="A263" s="58">
        <v>0.0</v>
      </c>
      <c r="B263" s="58"/>
      <c r="C263" s="58" t="s">
        <v>5786</v>
      </c>
      <c r="D263" s="72" t="s">
        <v>901</v>
      </c>
      <c r="E263" s="73"/>
      <c r="F263" s="10"/>
      <c r="G263" s="10"/>
      <c r="H263" s="10"/>
      <c r="I263" s="10"/>
      <c r="J263" s="10"/>
      <c r="K263" s="10"/>
      <c r="L263" s="10"/>
      <c r="M263" s="10"/>
      <c r="N263" s="10"/>
      <c r="O263" s="10"/>
      <c r="P263" s="10"/>
      <c r="Q263" s="10"/>
      <c r="R263" s="10"/>
      <c r="S263" s="10"/>
      <c r="T263" s="10"/>
      <c r="U263" s="10"/>
    </row>
    <row r="264" ht="15.75" hidden="1" customHeight="1">
      <c r="A264" s="58">
        <v>0.0</v>
      </c>
      <c r="B264" s="58"/>
      <c r="C264" s="58" t="s">
        <v>1505</v>
      </c>
      <c r="D264" s="72" t="s">
        <v>901</v>
      </c>
      <c r="E264" s="73"/>
      <c r="F264" s="10"/>
      <c r="G264" s="10"/>
      <c r="H264" s="10"/>
      <c r="I264" s="10"/>
      <c r="J264" s="10"/>
      <c r="K264" s="10"/>
      <c r="L264" s="10"/>
      <c r="M264" s="10"/>
      <c r="N264" s="10"/>
      <c r="O264" s="10"/>
      <c r="P264" s="10"/>
      <c r="Q264" s="10"/>
      <c r="R264" s="10"/>
      <c r="S264" s="10"/>
      <c r="T264" s="10"/>
      <c r="U264" s="10"/>
    </row>
    <row r="265" ht="15.75" customHeight="1">
      <c r="A265" s="58">
        <v>0.0</v>
      </c>
      <c r="B265" s="188" t="s">
        <v>5735</v>
      </c>
      <c r="C265" s="58" t="s">
        <v>5787</v>
      </c>
      <c r="D265" s="72" t="s">
        <v>187</v>
      </c>
      <c r="E265" s="73"/>
      <c r="F265" s="10"/>
      <c r="G265" s="10"/>
      <c r="H265" s="10"/>
      <c r="I265" s="10"/>
      <c r="J265" s="10"/>
      <c r="K265" s="10"/>
      <c r="L265" s="10"/>
      <c r="M265" s="10"/>
      <c r="N265" s="10"/>
      <c r="O265" s="10"/>
      <c r="P265" s="10"/>
      <c r="Q265" s="10"/>
      <c r="R265" s="10"/>
      <c r="S265" s="10"/>
      <c r="T265" s="10"/>
      <c r="U265" s="10"/>
    </row>
    <row r="266" ht="15.75" customHeight="1">
      <c r="A266" s="58">
        <v>0.0</v>
      </c>
      <c r="B266" s="188" t="s">
        <v>5679</v>
      </c>
      <c r="C266" s="58" t="s">
        <v>5788</v>
      </c>
      <c r="D266" s="72" t="s">
        <v>459</v>
      </c>
      <c r="E266" s="73"/>
      <c r="F266" s="10"/>
      <c r="G266" s="10"/>
      <c r="H266" s="10"/>
      <c r="I266" s="10"/>
      <c r="J266" s="10"/>
      <c r="K266" s="10"/>
      <c r="L266" s="10"/>
      <c r="M266" s="10"/>
      <c r="N266" s="10"/>
      <c r="O266" s="10"/>
      <c r="P266" s="10"/>
      <c r="Q266" s="10"/>
      <c r="R266" s="10"/>
      <c r="S266" s="10"/>
      <c r="T266" s="10"/>
      <c r="U266" s="10"/>
    </row>
    <row r="267" ht="15.75" hidden="1" customHeight="1">
      <c r="A267" s="58">
        <v>-1.0</v>
      </c>
      <c r="B267" s="58"/>
      <c r="C267" s="58" t="s">
        <v>5789</v>
      </c>
      <c r="D267" s="72" t="s">
        <v>901</v>
      </c>
      <c r="E267" s="73"/>
      <c r="F267" s="10"/>
      <c r="G267" s="10"/>
      <c r="H267" s="10"/>
      <c r="I267" s="10"/>
      <c r="J267" s="10"/>
      <c r="K267" s="10"/>
      <c r="L267" s="10"/>
      <c r="M267" s="10"/>
      <c r="N267" s="10"/>
      <c r="O267" s="10"/>
      <c r="P267" s="10"/>
      <c r="Q267" s="10"/>
      <c r="R267" s="10"/>
      <c r="S267" s="10"/>
      <c r="T267" s="10"/>
      <c r="U267" s="10"/>
    </row>
    <row r="268" ht="15.75" customHeight="1">
      <c r="A268" s="58">
        <v>0.0</v>
      </c>
      <c r="B268" s="188" t="s">
        <v>5673</v>
      </c>
      <c r="C268" s="58" t="s">
        <v>1345</v>
      </c>
      <c r="D268" s="72"/>
      <c r="E268" s="73"/>
      <c r="F268" s="10"/>
      <c r="G268" s="10"/>
      <c r="H268" s="10"/>
      <c r="I268" s="10"/>
      <c r="J268" s="10"/>
      <c r="K268" s="10"/>
      <c r="L268" s="10"/>
      <c r="M268" s="10"/>
      <c r="N268" s="10"/>
      <c r="O268" s="10"/>
      <c r="P268" s="10"/>
      <c r="Q268" s="10"/>
      <c r="R268" s="10"/>
      <c r="S268" s="10"/>
      <c r="T268" s="10"/>
      <c r="U268" s="10"/>
    </row>
    <row r="269" ht="15.75" customHeight="1">
      <c r="A269" s="58">
        <v>0.0</v>
      </c>
      <c r="B269" s="188" t="s">
        <v>5698</v>
      </c>
      <c r="C269" s="58" t="s">
        <v>5790</v>
      </c>
      <c r="D269" s="72" t="s">
        <v>187</v>
      </c>
      <c r="E269" s="73"/>
      <c r="F269" s="10"/>
      <c r="G269" s="10"/>
      <c r="H269" s="10"/>
      <c r="I269" s="10"/>
      <c r="J269" s="10"/>
      <c r="K269" s="10"/>
      <c r="L269" s="10"/>
      <c r="M269" s="10"/>
      <c r="N269" s="10"/>
      <c r="O269" s="10"/>
      <c r="P269" s="10"/>
      <c r="Q269" s="10"/>
      <c r="R269" s="10"/>
      <c r="S269" s="10"/>
      <c r="T269" s="10"/>
      <c r="U269" s="10"/>
    </row>
    <row r="270" ht="15.75" customHeight="1">
      <c r="A270" s="58">
        <v>0.0</v>
      </c>
      <c r="B270" s="188" t="s">
        <v>5673</v>
      </c>
      <c r="C270" s="58" t="s">
        <v>1361</v>
      </c>
      <c r="D270" s="72" t="s">
        <v>70</v>
      </c>
      <c r="E270" s="73"/>
      <c r="F270" s="10"/>
      <c r="G270" s="10"/>
      <c r="H270" s="10"/>
      <c r="I270" s="10"/>
      <c r="J270" s="10"/>
      <c r="K270" s="10"/>
      <c r="L270" s="10"/>
      <c r="M270" s="10"/>
      <c r="N270" s="10"/>
      <c r="O270" s="10"/>
      <c r="P270" s="10"/>
      <c r="Q270" s="10"/>
      <c r="R270" s="10"/>
      <c r="S270" s="10"/>
      <c r="T270" s="10"/>
      <c r="U270" s="10"/>
    </row>
    <row r="271" ht="15.75" customHeight="1">
      <c r="A271" s="58">
        <v>-1.0</v>
      </c>
      <c r="B271" s="188" t="s">
        <v>5672</v>
      </c>
      <c r="C271" s="58" t="s">
        <v>722</v>
      </c>
      <c r="D271" s="72" t="s">
        <v>163</v>
      </c>
      <c r="E271" s="73"/>
      <c r="F271" s="10"/>
      <c r="G271" s="10"/>
      <c r="H271" s="10"/>
      <c r="I271" s="10"/>
      <c r="J271" s="10"/>
      <c r="K271" s="10"/>
      <c r="L271" s="10"/>
      <c r="M271" s="10"/>
      <c r="N271" s="10"/>
      <c r="O271" s="10"/>
      <c r="P271" s="10"/>
      <c r="Q271" s="10"/>
      <c r="R271" s="10"/>
      <c r="S271" s="10"/>
      <c r="T271" s="10"/>
      <c r="U271" s="10"/>
    </row>
    <row r="272" ht="15.75" customHeight="1">
      <c r="A272" s="58">
        <v>-1.0</v>
      </c>
      <c r="B272" s="188" t="s">
        <v>5728</v>
      </c>
      <c r="C272" s="58" t="s">
        <v>806</v>
      </c>
      <c r="D272" s="72" t="s">
        <v>44</v>
      </c>
      <c r="E272" s="73"/>
      <c r="F272" s="10"/>
      <c r="G272" s="10"/>
      <c r="H272" s="10"/>
      <c r="I272" s="10"/>
      <c r="J272" s="10"/>
      <c r="K272" s="10"/>
      <c r="L272" s="10"/>
      <c r="M272" s="10"/>
      <c r="N272" s="10"/>
      <c r="O272" s="10"/>
      <c r="P272" s="10"/>
      <c r="Q272" s="10"/>
      <c r="R272" s="10"/>
      <c r="S272" s="10"/>
      <c r="T272" s="10"/>
      <c r="U272" s="10"/>
    </row>
    <row r="273" ht="15.75" customHeight="1">
      <c r="A273" s="58">
        <v>1.0</v>
      </c>
      <c r="B273" s="188" t="s">
        <v>5673</v>
      </c>
      <c r="C273" s="58" t="s">
        <v>2108</v>
      </c>
      <c r="D273" s="58" t="s">
        <v>125</v>
      </c>
      <c r="E273" s="10"/>
      <c r="F273" s="10"/>
      <c r="G273" s="10"/>
      <c r="H273" s="10"/>
      <c r="I273" s="10"/>
      <c r="J273" s="10"/>
      <c r="K273" s="10"/>
      <c r="L273" s="10"/>
      <c r="M273" s="10"/>
      <c r="N273" s="10"/>
      <c r="O273" s="10"/>
      <c r="P273" s="10"/>
      <c r="Q273" s="10"/>
      <c r="R273" s="10"/>
      <c r="S273" s="10"/>
      <c r="T273" s="10"/>
      <c r="U273" s="10"/>
    </row>
    <row r="274" ht="15.75" customHeight="1">
      <c r="A274" s="58">
        <v>0.0</v>
      </c>
      <c r="B274" s="188" t="s">
        <v>5714</v>
      </c>
      <c r="C274" s="58" t="s">
        <v>5791</v>
      </c>
      <c r="D274" s="72" t="s">
        <v>163</v>
      </c>
      <c r="E274" s="73"/>
      <c r="F274" s="10"/>
      <c r="G274" s="10"/>
      <c r="H274" s="10"/>
      <c r="I274" s="10"/>
      <c r="J274" s="10"/>
      <c r="K274" s="10"/>
      <c r="L274" s="10"/>
      <c r="M274" s="10"/>
      <c r="N274" s="10"/>
      <c r="O274" s="10"/>
      <c r="P274" s="10"/>
      <c r="Q274" s="10"/>
      <c r="R274" s="10"/>
      <c r="S274" s="10"/>
      <c r="T274" s="10"/>
      <c r="U274" s="10"/>
    </row>
    <row r="275" ht="15.75" customHeight="1">
      <c r="A275" s="58">
        <v>0.0</v>
      </c>
      <c r="B275" s="188" t="s">
        <v>5673</v>
      </c>
      <c r="C275" s="58" t="s">
        <v>5792</v>
      </c>
      <c r="D275" s="72" t="s">
        <v>187</v>
      </c>
      <c r="E275" s="73"/>
      <c r="F275" s="10"/>
      <c r="G275" s="10"/>
      <c r="H275" s="10"/>
      <c r="I275" s="10"/>
      <c r="J275" s="10"/>
      <c r="K275" s="10"/>
      <c r="L275" s="10"/>
      <c r="M275" s="10"/>
      <c r="N275" s="10"/>
      <c r="O275" s="10"/>
      <c r="P275" s="10"/>
      <c r="Q275" s="10"/>
      <c r="R275" s="10"/>
      <c r="S275" s="10"/>
      <c r="T275" s="10"/>
      <c r="U275" s="10"/>
    </row>
    <row r="276" ht="15.75" customHeight="1">
      <c r="A276" s="58">
        <v>-3.0</v>
      </c>
      <c r="B276" s="188" t="s">
        <v>5728</v>
      </c>
      <c r="C276" s="58" t="s">
        <v>64</v>
      </c>
      <c r="D276" s="72" t="s">
        <v>70</v>
      </c>
      <c r="E276" s="73"/>
      <c r="F276" s="189"/>
      <c r="G276" s="10"/>
      <c r="H276" s="10"/>
      <c r="I276" s="10"/>
      <c r="J276" s="10"/>
      <c r="K276" s="10"/>
      <c r="L276" s="10"/>
      <c r="M276" s="10"/>
      <c r="N276" s="10"/>
      <c r="O276" s="10"/>
      <c r="P276" s="10"/>
      <c r="Q276" s="10"/>
      <c r="R276" s="10"/>
      <c r="S276" s="10"/>
      <c r="T276" s="10"/>
      <c r="U276" s="10"/>
    </row>
    <row r="277" ht="15.75" customHeight="1">
      <c r="A277" s="58">
        <v>0.0</v>
      </c>
      <c r="B277" s="188" t="s">
        <v>5677</v>
      </c>
      <c r="C277" s="58" t="s">
        <v>1189</v>
      </c>
      <c r="D277" s="72" t="s">
        <v>155</v>
      </c>
      <c r="E277" s="73"/>
      <c r="F277" s="10"/>
      <c r="G277" s="10"/>
      <c r="H277" s="10"/>
      <c r="I277" s="10"/>
      <c r="J277" s="10"/>
      <c r="K277" s="10"/>
      <c r="L277" s="10"/>
      <c r="M277" s="10"/>
      <c r="N277" s="10"/>
      <c r="O277" s="10"/>
      <c r="P277" s="10"/>
      <c r="Q277" s="10"/>
      <c r="R277" s="10"/>
      <c r="S277" s="10"/>
      <c r="T277" s="10"/>
      <c r="U277" s="10"/>
    </row>
    <row r="278" ht="15.75" hidden="1" customHeight="1">
      <c r="A278" s="58">
        <v>-1.0</v>
      </c>
      <c r="B278" s="58"/>
      <c r="C278" s="58" t="s">
        <v>933</v>
      </c>
      <c r="D278" s="72" t="s">
        <v>901</v>
      </c>
      <c r="E278" s="73"/>
      <c r="F278" s="10"/>
      <c r="G278" s="10"/>
      <c r="H278" s="10"/>
      <c r="I278" s="10"/>
      <c r="J278" s="10"/>
      <c r="K278" s="10"/>
      <c r="L278" s="10"/>
      <c r="M278" s="10"/>
      <c r="N278" s="10"/>
      <c r="O278" s="10"/>
      <c r="P278" s="10"/>
      <c r="Q278" s="10"/>
      <c r="R278" s="10"/>
      <c r="S278" s="10"/>
      <c r="T278" s="10"/>
      <c r="U278" s="10"/>
    </row>
    <row r="279" ht="15.75" hidden="1" customHeight="1">
      <c r="A279" s="58">
        <v>0.0</v>
      </c>
      <c r="B279" s="58"/>
      <c r="C279" s="58" t="s">
        <v>1484</v>
      </c>
      <c r="D279" s="72" t="s">
        <v>901</v>
      </c>
      <c r="E279" s="73"/>
      <c r="F279" s="10"/>
      <c r="G279" s="10"/>
      <c r="H279" s="10"/>
      <c r="I279" s="10"/>
      <c r="J279" s="10"/>
      <c r="K279" s="10"/>
      <c r="L279" s="10"/>
      <c r="M279" s="10"/>
      <c r="N279" s="10"/>
      <c r="O279" s="10"/>
      <c r="P279" s="10"/>
      <c r="Q279" s="10"/>
      <c r="R279" s="10"/>
      <c r="S279" s="10"/>
      <c r="T279" s="10"/>
      <c r="U279" s="10"/>
    </row>
    <row r="280" ht="15.75" customHeight="1">
      <c r="A280" s="58">
        <v>-2.0</v>
      </c>
      <c r="B280" s="188" t="s">
        <v>5685</v>
      </c>
      <c r="C280" s="58" t="s">
        <v>2392</v>
      </c>
      <c r="D280" s="72" t="s">
        <v>155</v>
      </c>
      <c r="E280" s="73"/>
      <c r="F280" s="189"/>
      <c r="G280" s="10"/>
      <c r="H280" s="10"/>
      <c r="I280" s="10"/>
      <c r="J280" s="10"/>
      <c r="K280" s="10"/>
      <c r="L280" s="10"/>
      <c r="M280" s="10"/>
      <c r="N280" s="10"/>
      <c r="O280" s="10"/>
      <c r="P280" s="10"/>
      <c r="Q280" s="10"/>
      <c r="R280" s="10"/>
      <c r="S280" s="10"/>
      <c r="T280" s="10"/>
      <c r="U280" s="10"/>
    </row>
    <row r="281" ht="15.75" customHeight="1">
      <c r="A281" s="58">
        <v>0.0</v>
      </c>
      <c r="B281" s="188" t="s">
        <v>5673</v>
      </c>
      <c r="C281" s="58" t="s">
        <v>1364</v>
      </c>
      <c r="D281" s="72" t="s">
        <v>24</v>
      </c>
      <c r="E281" s="73"/>
      <c r="F281" s="10"/>
      <c r="G281" s="10"/>
      <c r="H281" s="10"/>
      <c r="I281" s="10"/>
      <c r="J281" s="10"/>
      <c r="K281" s="10"/>
      <c r="L281" s="10"/>
      <c r="M281" s="10"/>
      <c r="N281" s="10"/>
      <c r="O281" s="10"/>
      <c r="P281" s="10"/>
      <c r="Q281" s="10"/>
      <c r="R281" s="10"/>
      <c r="S281" s="10"/>
      <c r="T281" s="10"/>
      <c r="U281" s="10"/>
    </row>
    <row r="282" ht="15.75" hidden="1" customHeight="1">
      <c r="A282" s="58">
        <v>-1.0</v>
      </c>
      <c r="B282" s="58"/>
      <c r="C282" s="58" t="s">
        <v>5793</v>
      </c>
      <c r="D282" s="72" t="s">
        <v>901</v>
      </c>
      <c r="E282" s="73"/>
      <c r="F282" s="10"/>
      <c r="G282" s="10"/>
      <c r="H282" s="10"/>
      <c r="I282" s="10"/>
      <c r="J282" s="10"/>
      <c r="K282" s="10"/>
      <c r="L282" s="10"/>
      <c r="M282" s="10"/>
      <c r="N282" s="10"/>
      <c r="O282" s="10"/>
      <c r="P282" s="10"/>
      <c r="Q282" s="10"/>
      <c r="R282" s="10"/>
      <c r="S282" s="10"/>
      <c r="T282" s="10"/>
      <c r="U282" s="10"/>
    </row>
    <row r="283" ht="15.75" customHeight="1">
      <c r="A283" s="58">
        <v>0.0</v>
      </c>
      <c r="B283" s="188" t="s">
        <v>5710</v>
      </c>
      <c r="C283" s="58" t="s">
        <v>2065</v>
      </c>
      <c r="D283" s="72" t="s">
        <v>163</v>
      </c>
      <c r="E283" s="73"/>
      <c r="F283" s="10"/>
      <c r="G283" s="10"/>
      <c r="H283" s="10"/>
      <c r="I283" s="10"/>
      <c r="J283" s="10"/>
      <c r="K283" s="10"/>
      <c r="L283" s="10"/>
      <c r="M283" s="10"/>
      <c r="N283" s="10"/>
      <c r="O283" s="10"/>
      <c r="P283" s="10"/>
      <c r="Q283" s="10"/>
      <c r="R283" s="10"/>
      <c r="S283" s="10"/>
      <c r="T283" s="10"/>
      <c r="U283" s="10"/>
    </row>
    <row r="284" ht="15.75" customHeight="1">
      <c r="A284" s="58">
        <v>0.0</v>
      </c>
      <c r="B284" s="188" t="s">
        <v>5725</v>
      </c>
      <c r="C284" s="58" t="s">
        <v>1082</v>
      </c>
      <c r="D284" s="72" t="s">
        <v>187</v>
      </c>
      <c r="E284" s="73"/>
      <c r="F284" s="10"/>
      <c r="G284" s="10"/>
      <c r="H284" s="10"/>
      <c r="I284" s="10"/>
      <c r="J284" s="10"/>
      <c r="K284" s="10"/>
      <c r="L284" s="10"/>
      <c r="M284" s="10"/>
      <c r="N284" s="10"/>
      <c r="O284" s="10"/>
      <c r="P284" s="10"/>
      <c r="Q284" s="10"/>
      <c r="R284" s="10"/>
      <c r="S284" s="10"/>
      <c r="T284" s="10"/>
      <c r="U284" s="10"/>
    </row>
    <row r="285" ht="15.75" customHeight="1">
      <c r="A285" s="58">
        <v>-1.0</v>
      </c>
      <c r="B285" s="188" t="s">
        <v>5700</v>
      </c>
      <c r="C285" s="58" t="s">
        <v>5794</v>
      </c>
      <c r="D285" s="72" t="s">
        <v>561</v>
      </c>
      <c r="E285" s="73"/>
      <c r="F285" s="10"/>
      <c r="G285" s="10"/>
      <c r="H285" s="10"/>
      <c r="I285" s="10"/>
      <c r="J285" s="10"/>
      <c r="K285" s="10"/>
      <c r="L285" s="10"/>
      <c r="M285" s="10"/>
      <c r="N285" s="10"/>
      <c r="O285" s="10"/>
      <c r="P285" s="10"/>
      <c r="Q285" s="10"/>
      <c r="R285" s="10"/>
      <c r="S285" s="10"/>
      <c r="T285" s="10"/>
      <c r="U285" s="10"/>
    </row>
    <row r="286" ht="15.75" hidden="1" customHeight="1">
      <c r="A286" s="58">
        <v>0.0</v>
      </c>
      <c r="B286" s="58"/>
      <c r="C286" s="58" t="s">
        <v>5795</v>
      </c>
      <c r="D286" s="72" t="s">
        <v>901</v>
      </c>
      <c r="E286" s="73"/>
      <c r="F286" s="10"/>
      <c r="G286" s="10"/>
      <c r="H286" s="10"/>
      <c r="I286" s="10"/>
      <c r="J286" s="10"/>
      <c r="K286" s="10"/>
      <c r="L286" s="10"/>
      <c r="M286" s="10"/>
      <c r="N286" s="10"/>
      <c r="O286" s="10"/>
      <c r="P286" s="10"/>
      <c r="Q286" s="10"/>
      <c r="R286" s="10"/>
      <c r="S286" s="10"/>
      <c r="T286" s="10"/>
      <c r="U286" s="10"/>
    </row>
    <row r="287" ht="15.75" customHeight="1">
      <c r="A287" s="58">
        <v>-1.0</v>
      </c>
      <c r="B287" s="188" t="s">
        <v>5710</v>
      </c>
      <c r="C287" s="58" t="s">
        <v>5796</v>
      </c>
      <c r="D287" s="72" t="s">
        <v>561</v>
      </c>
      <c r="E287" s="73"/>
      <c r="F287" s="10"/>
      <c r="G287" s="10"/>
      <c r="H287" s="10"/>
      <c r="I287" s="10"/>
      <c r="J287" s="10"/>
      <c r="K287" s="10"/>
      <c r="L287" s="10"/>
      <c r="M287" s="10"/>
      <c r="N287" s="10"/>
      <c r="O287" s="10"/>
      <c r="P287" s="10"/>
      <c r="Q287" s="10"/>
      <c r="R287" s="10"/>
      <c r="S287" s="10"/>
      <c r="T287" s="10"/>
      <c r="U287" s="10"/>
    </row>
    <row r="288" ht="15.75" customHeight="1">
      <c r="A288" s="58">
        <v>0.0</v>
      </c>
      <c r="B288" s="188" t="s">
        <v>5681</v>
      </c>
      <c r="C288" s="58" t="s">
        <v>1177</v>
      </c>
      <c r="D288" s="72" t="s">
        <v>155</v>
      </c>
      <c r="E288" s="73"/>
      <c r="F288" s="10"/>
      <c r="G288" s="10"/>
      <c r="H288" s="10"/>
      <c r="I288" s="10"/>
      <c r="J288" s="10"/>
      <c r="K288" s="10"/>
      <c r="L288" s="10"/>
      <c r="M288" s="10"/>
      <c r="N288" s="10"/>
      <c r="O288" s="10"/>
      <c r="P288" s="10"/>
      <c r="Q288" s="10"/>
      <c r="R288" s="10"/>
      <c r="S288" s="10"/>
      <c r="T288" s="10"/>
      <c r="U288" s="10"/>
    </row>
    <row r="289" ht="15.75" customHeight="1">
      <c r="A289" s="58">
        <v>-1.0</v>
      </c>
      <c r="B289" s="188" t="s">
        <v>5740</v>
      </c>
      <c r="C289" s="58" t="s">
        <v>533</v>
      </c>
      <c r="D289" s="72" t="s">
        <v>70</v>
      </c>
      <c r="E289" s="73"/>
      <c r="F289" s="10"/>
      <c r="G289" s="10"/>
      <c r="H289" s="10"/>
      <c r="I289" s="10"/>
      <c r="J289" s="10"/>
      <c r="K289" s="10"/>
      <c r="L289" s="10"/>
      <c r="M289" s="10"/>
      <c r="N289" s="10"/>
      <c r="O289" s="10"/>
      <c r="P289" s="10"/>
      <c r="Q289" s="10"/>
      <c r="R289" s="10"/>
      <c r="S289" s="10"/>
      <c r="T289" s="10"/>
      <c r="U289" s="10"/>
    </row>
    <row r="290" ht="15.75" customHeight="1">
      <c r="A290" s="58">
        <v>-1.0</v>
      </c>
      <c r="B290" s="188" t="s">
        <v>5740</v>
      </c>
      <c r="C290" s="58" t="s">
        <v>5797</v>
      </c>
      <c r="D290" s="72" t="s">
        <v>163</v>
      </c>
      <c r="E290" s="73"/>
      <c r="F290" s="10"/>
      <c r="G290" s="10"/>
      <c r="H290" s="10"/>
      <c r="I290" s="10"/>
      <c r="J290" s="10"/>
      <c r="K290" s="10"/>
      <c r="L290" s="10"/>
      <c r="M290" s="10"/>
      <c r="N290" s="10"/>
      <c r="O290" s="10"/>
      <c r="P290" s="10"/>
      <c r="Q290" s="10"/>
      <c r="R290" s="10"/>
      <c r="S290" s="10"/>
      <c r="T290" s="10"/>
      <c r="U290" s="10"/>
    </row>
    <row r="291" ht="15.75" customHeight="1">
      <c r="A291" s="58">
        <v>0.0</v>
      </c>
      <c r="B291" s="188" t="s">
        <v>5739</v>
      </c>
      <c r="C291" s="58" t="s">
        <v>1195</v>
      </c>
      <c r="D291" s="72" t="s">
        <v>125</v>
      </c>
      <c r="E291" s="73"/>
      <c r="F291" s="10"/>
      <c r="G291" s="10"/>
      <c r="H291" s="10"/>
      <c r="I291" s="10"/>
      <c r="J291" s="10"/>
      <c r="K291" s="10"/>
      <c r="L291" s="10"/>
      <c r="M291" s="10"/>
      <c r="N291" s="10"/>
      <c r="O291" s="10"/>
      <c r="P291" s="10"/>
      <c r="Q291" s="10"/>
      <c r="R291" s="10"/>
      <c r="S291" s="10"/>
      <c r="T291" s="10"/>
      <c r="U291" s="10"/>
    </row>
    <row r="292" ht="15.75" customHeight="1">
      <c r="A292" s="58">
        <v>-2.0</v>
      </c>
      <c r="B292" s="188" t="s">
        <v>5689</v>
      </c>
      <c r="C292" s="58" t="s">
        <v>5798</v>
      </c>
      <c r="D292" s="58" t="s">
        <v>70</v>
      </c>
      <c r="E292" s="10"/>
      <c r="F292" s="16"/>
      <c r="G292" s="10"/>
      <c r="H292" s="10"/>
      <c r="I292" s="15"/>
      <c r="J292" s="10"/>
      <c r="K292" s="10"/>
      <c r="L292" s="10"/>
      <c r="M292" s="16"/>
      <c r="N292" s="10"/>
      <c r="O292" s="10"/>
      <c r="P292" s="10"/>
      <c r="Q292" s="10"/>
      <c r="R292" s="10"/>
      <c r="S292" s="10"/>
      <c r="T292" s="10"/>
      <c r="U292" s="10"/>
    </row>
    <row r="293" ht="15.75" hidden="1" customHeight="1">
      <c r="A293" s="58">
        <v>0.0</v>
      </c>
      <c r="B293" s="58"/>
      <c r="C293" s="58" t="s">
        <v>5799</v>
      </c>
      <c r="D293" s="72" t="s">
        <v>901</v>
      </c>
      <c r="E293" s="73"/>
      <c r="F293" s="10"/>
      <c r="G293" s="10"/>
      <c r="H293" s="10"/>
      <c r="I293" s="10"/>
      <c r="J293" s="10"/>
      <c r="K293" s="10"/>
      <c r="L293" s="10"/>
      <c r="M293" s="10"/>
      <c r="N293" s="10"/>
      <c r="O293" s="10"/>
      <c r="P293" s="10"/>
      <c r="Q293" s="10"/>
      <c r="R293" s="10"/>
      <c r="S293" s="10"/>
      <c r="T293" s="10"/>
      <c r="U293" s="10"/>
    </row>
    <row r="294" ht="15.75" customHeight="1">
      <c r="A294" s="58">
        <v>-1.0</v>
      </c>
      <c r="B294" s="188" t="s">
        <v>5674</v>
      </c>
      <c r="C294" s="58" t="s">
        <v>640</v>
      </c>
      <c r="D294" s="72" t="s">
        <v>561</v>
      </c>
      <c r="E294" s="73"/>
      <c r="F294" s="10"/>
      <c r="G294" s="10"/>
      <c r="H294" s="10"/>
      <c r="I294" s="10"/>
      <c r="J294" s="10"/>
      <c r="K294" s="10"/>
      <c r="L294" s="10"/>
      <c r="M294" s="10"/>
      <c r="N294" s="10"/>
      <c r="O294" s="10"/>
      <c r="P294" s="10"/>
      <c r="Q294" s="10"/>
      <c r="R294" s="10"/>
      <c r="S294" s="10"/>
      <c r="T294" s="10"/>
      <c r="U294" s="10"/>
    </row>
    <row r="295" ht="15.75" customHeight="1">
      <c r="A295" s="58">
        <v>0.0</v>
      </c>
      <c r="B295" s="188" t="s">
        <v>5681</v>
      </c>
      <c r="C295" s="58" t="s">
        <v>1266</v>
      </c>
      <c r="D295" s="72" t="s">
        <v>155</v>
      </c>
      <c r="E295" s="73"/>
      <c r="F295" s="10"/>
      <c r="G295" s="10"/>
      <c r="H295" s="10"/>
      <c r="I295" s="10"/>
      <c r="J295" s="10"/>
      <c r="K295" s="10"/>
      <c r="L295" s="10"/>
      <c r="M295" s="10"/>
      <c r="N295" s="10"/>
      <c r="O295" s="10"/>
      <c r="P295" s="10"/>
      <c r="Q295" s="10"/>
      <c r="R295" s="10"/>
      <c r="S295" s="10"/>
      <c r="T295" s="10"/>
      <c r="U295" s="10"/>
    </row>
    <row r="296" ht="15.75" customHeight="1">
      <c r="A296" s="58">
        <v>-2.0</v>
      </c>
      <c r="B296" s="188" t="s">
        <v>5701</v>
      </c>
      <c r="C296" s="58" t="s">
        <v>181</v>
      </c>
      <c r="D296" s="72" t="s">
        <v>187</v>
      </c>
      <c r="E296" s="73"/>
      <c r="F296" s="189"/>
      <c r="G296" s="10"/>
      <c r="H296" s="10"/>
      <c r="I296" s="10"/>
      <c r="J296" s="10"/>
      <c r="K296" s="10"/>
      <c r="L296" s="10"/>
      <c r="M296" s="10"/>
      <c r="N296" s="10"/>
      <c r="O296" s="10"/>
      <c r="P296" s="10"/>
      <c r="Q296" s="10"/>
      <c r="R296" s="10"/>
      <c r="S296" s="10"/>
      <c r="T296" s="10"/>
      <c r="U296" s="10"/>
    </row>
    <row r="297" ht="15.75" customHeight="1">
      <c r="A297" s="58">
        <v>0.0</v>
      </c>
      <c r="B297" s="188" t="s">
        <v>5710</v>
      </c>
      <c r="C297" s="58" t="s">
        <v>5800</v>
      </c>
      <c r="D297" s="72" t="s">
        <v>163</v>
      </c>
      <c r="E297" s="73"/>
      <c r="F297" s="10"/>
      <c r="G297" s="10"/>
      <c r="H297" s="10"/>
      <c r="I297" s="10"/>
      <c r="J297" s="10"/>
      <c r="K297" s="10"/>
      <c r="L297" s="10"/>
      <c r="M297" s="10"/>
      <c r="N297" s="10"/>
      <c r="O297" s="10"/>
      <c r="P297" s="10"/>
      <c r="Q297" s="10"/>
      <c r="R297" s="10"/>
      <c r="S297" s="10"/>
      <c r="T297" s="10"/>
      <c r="U297" s="10"/>
    </row>
    <row r="298" ht="15.75" customHeight="1">
      <c r="A298" s="58">
        <v>0.0</v>
      </c>
      <c r="B298" s="188" t="s">
        <v>5725</v>
      </c>
      <c r="C298" s="58" t="s">
        <v>1118</v>
      </c>
      <c r="D298" s="72" t="s">
        <v>24</v>
      </c>
      <c r="E298" s="73"/>
      <c r="F298" s="10"/>
      <c r="G298" s="10"/>
      <c r="H298" s="10"/>
      <c r="I298" s="10"/>
      <c r="J298" s="10"/>
      <c r="K298" s="10"/>
      <c r="L298" s="10"/>
      <c r="M298" s="10"/>
      <c r="N298" s="10"/>
      <c r="O298" s="10"/>
      <c r="P298" s="10"/>
      <c r="Q298" s="10"/>
      <c r="R298" s="10"/>
      <c r="S298" s="10"/>
      <c r="T298" s="10"/>
      <c r="U298" s="10"/>
    </row>
    <row r="299" ht="15.75" hidden="1" customHeight="1">
      <c r="A299" s="58">
        <v>0.0</v>
      </c>
      <c r="B299" s="58"/>
      <c r="C299" s="58" t="s">
        <v>5801</v>
      </c>
      <c r="D299" s="72" t="s">
        <v>901</v>
      </c>
      <c r="E299" s="190"/>
      <c r="F299" s="10"/>
      <c r="G299" s="10"/>
      <c r="H299" s="10"/>
      <c r="I299" s="10"/>
      <c r="J299" s="10"/>
      <c r="K299" s="10"/>
      <c r="L299" s="10"/>
      <c r="M299" s="10"/>
      <c r="N299" s="10"/>
      <c r="O299" s="10"/>
      <c r="P299" s="10"/>
      <c r="Q299" s="10"/>
      <c r="R299" s="10"/>
      <c r="S299" s="10"/>
      <c r="T299" s="10"/>
      <c r="U299" s="10"/>
    </row>
    <row r="300" ht="15.75" customHeight="1">
      <c r="A300" s="58">
        <v>-1.0</v>
      </c>
      <c r="B300" s="188" t="s">
        <v>5716</v>
      </c>
      <c r="C300" s="58" t="s">
        <v>5802</v>
      </c>
      <c r="D300" s="72" t="s">
        <v>163</v>
      </c>
      <c r="E300" s="73"/>
      <c r="F300" s="10"/>
      <c r="G300" s="10"/>
      <c r="H300" s="10"/>
      <c r="I300" s="10"/>
      <c r="J300" s="10"/>
      <c r="K300" s="10"/>
      <c r="L300" s="10"/>
      <c r="M300" s="10"/>
      <c r="N300" s="10"/>
      <c r="O300" s="10"/>
      <c r="P300" s="10"/>
      <c r="Q300" s="10"/>
      <c r="R300" s="10"/>
      <c r="S300" s="10"/>
      <c r="T300" s="10"/>
      <c r="U300" s="10"/>
    </row>
    <row r="301" ht="15.75" customHeight="1">
      <c r="A301" s="58">
        <v>-2.0</v>
      </c>
      <c r="B301" s="188" t="s">
        <v>5685</v>
      </c>
      <c r="C301" s="58" t="s">
        <v>5803</v>
      </c>
      <c r="D301" s="72" t="s">
        <v>179</v>
      </c>
      <c r="E301" s="73"/>
      <c r="F301" s="189"/>
      <c r="G301" s="10"/>
      <c r="H301" s="10"/>
      <c r="I301" s="10"/>
      <c r="J301" s="10"/>
      <c r="K301" s="10"/>
      <c r="L301" s="10"/>
      <c r="M301" s="10"/>
      <c r="N301" s="10"/>
      <c r="O301" s="10"/>
      <c r="P301" s="10"/>
      <c r="Q301" s="10"/>
      <c r="R301" s="10"/>
      <c r="S301" s="10"/>
      <c r="T301" s="10"/>
      <c r="U301" s="10"/>
    </row>
    <row r="302" ht="15.75" customHeight="1">
      <c r="A302" s="58">
        <v>0.0</v>
      </c>
      <c r="B302" s="188" t="s">
        <v>5735</v>
      </c>
      <c r="C302" s="58" t="s">
        <v>1076</v>
      </c>
      <c r="D302" s="72" t="s">
        <v>187</v>
      </c>
      <c r="E302" s="73"/>
      <c r="F302" s="10"/>
      <c r="G302" s="10"/>
      <c r="H302" s="10"/>
      <c r="I302" s="10"/>
      <c r="J302" s="10"/>
      <c r="K302" s="10"/>
      <c r="L302" s="10"/>
      <c r="M302" s="10"/>
      <c r="N302" s="10"/>
      <c r="O302" s="10"/>
      <c r="P302" s="10"/>
      <c r="Q302" s="10"/>
      <c r="R302" s="10"/>
      <c r="S302" s="10"/>
      <c r="T302" s="10"/>
      <c r="U302" s="10"/>
    </row>
    <row r="303" ht="15.75" customHeight="1">
      <c r="A303" s="58">
        <v>-1.0</v>
      </c>
      <c r="B303" s="188" t="s">
        <v>5694</v>
      </c>
      <c r="C303" s="58" t="s">
        <v>812</v>
      </c>
      <c r="D303" s="72" t="s">
        <v>155</v>
      </c>
      <c r="E303" s="73"/>
      <c r="F303" s="10"/>
      <c r="G303" s="10"/>
      <c r="H303" s="10"/>
      <c r="I303" s="10"/>
      <c r="J303" s="10"/>
      <c r="K303" s="10"/>
      <c r="L303" s="10"/>
      <c r="M303" s="10"/>
      <c r="N303" s="10"/>
      <c r="O303" s="10"/>
      <c r="P303" s="10"/>
      <c r="Q303" s="10"/>
      <c r="R303" s="10"/>
      <c r="S303" s="10"/>
      <c r="T303" s="10"/>
      <c r="U303" s="10"/>
    </row>
    <row r="304" ht="15.75" customHeight="1">
      <c r="A304" s="58">
        <v>-2.0</v>
      </c>
      <c r="B304" s="188" t="s">
        <v>5714</v>
      </c>
      <c r="C304" s="58" t="s">
        <v>165</v>
      </c>
      <c r="D304" s="72" t="s">
        <v>171</v>
      </c>
      <c r="E304" s="73"/>
      <c r="F304" s="189"/>
      <c r="G304" s="10"/>
      <c r="H304" s="10"/>
      <c r="I304" s="10"/>
      <c r="J304" s="10"/>
      <c r="K304" s="10"/>
      <c r="L304" s="10"/>
      <c r="M304" s="10"/>
      <c r="N304" s="10"/>
      <c r="O304" s="10"/>
      <c r="P304" s="10"/>
      <c r="Q304" s="10"/>
      <c r="R304" s="10"/>
      <c r="S304" s="10"/>
      <c r="T304" s="10"/>
      <c r="U304" s="10"/>
    </row>
    <row r="305" ht="15.75" customHeight="1">
      <c r="A305" s="58">
        <v>-1.0</v>
      </c>
      <c r="B305" s="188" t="s">
        <v>5689</v>
      </c>
      <c r="C305" s="58" t="s">
        <v>5804</v>
      </c>
      <c r="D305" s="72" t="s">
        <v>459</v>
      </c>
      <c r="E305" s="73"/>
      <c r="F305" s="10"/>
      <c r="G305" s="10"/>
      <c r="H305" s="10"/>
      <c r="I305" s="10"/>
      <c r="J305" s="10"/>
      <c r="K305" s="10"/>
      <c r="L305" s="10"/>
      <c r="M305" s="10"/>
      <c r="N305" s="10"/>
      <c r="O305" s="10"/>
      <c r="P305" s="10"/>
      <c r="Q305" s="10"/>
      <c r="R305" s="10"/>
      <c r="S305" s="10"/>
      <c r="T305" s="10"/>
      <c r="U305" s="10"/>
    </row>
    <row r="306" ht="15.75" customHeight="1">
      <c r="A306" s="58">
        <v>0.0</v>
      </c>
      <c r="B306" s="188" t="s">
        <v>5679</v>
      </c>
      <c r="C306" s="58" t="s">
        <v>5805</v>
      </c>
      <c r="D306" s="72" t="s">
        <v>459</v>
      </c>
      <c r="E306" s="73"/>
      <c r="F306" s="10"/>
      <c r="G306" s="10"/>
      <c r="H306" s="10"/>
      <c r="I306" s="10"/>
      <c r="J306" s="10"/>
      <c r="K306" s="10"/>
      <c r="L306" s="10"/>
      <c r="M306" s="10"/>
      <c r="N306" s="10"/>
      <c r="O306" s="10"/>
      <c r="P306" s="10"/>
      <c r="Q306" s="10"/>
      <c r="R306" s="10"/>
      <c r="S306" s="10"/>
      <c r="T306" s="10"/>
      <c r="U306" s="10"/>
    </row>
    <row r="307" ht="15.75" hidden="1" customHeight="1">
      <c r="A307" s="58">
        <v>-1.0</v>
      </c>
      <c r="B307" s="58"/>
      <c r="C307" s="58" t="s">
        <v>5806</v>
      </c>
      <c r="D307" s="72" t="s">
        <v>901</v>
      </c>
      <c r="E307" s="73"/>
      <c r="F307" s="10"/>
      <c r="G307" s="10"/>
      <c r="H307" s="10"/>
      <c r="I307" s="10"/>
      <c r="J307" s="10"/>
      <c r="K307" s="10"/>
      <c r="L307" s="10"/>
      <c r="M307" s="10"/>
      <c r="N307" s="10"/>
      <c r="O307" s="10"/>
      <c r="P307" s="10"/>
      <c r="Q307" s="10"/>
      <c r="R307" s="10"/>
      <c r="S307" s="10"/>
      <c r="T307" s="10"/>
      <c r="U307" s="10"/>
    </row>
    <row r="308" ht="15.75" customHeight="1">
      <c r="A308" s="58">
        <v>0.0</v>
      </c>
      <c r="B308" s="188" t="s">
        <v>5696</v>
      </c>
      <c r="C308" s="58" t="s">
        <v>2428</v>
      </c>
      <c r="D308" s="72" t="s">
        <v>155</v>
      </c>
      <c r="E308" s="73"/>
      <c r="F308" s="10"/>
      <c r="G308" s="10"/>
      <c r="H308" s="10"/>
      <c r="I308" s="10"/>
      <c r="J308" s="10"/>
      <c r="K308" s="10"/>
      <c r="L308" s="10"/>
      <c r="M308" s="10"/>
      <c r="N308" s="10"/>
      <c r="O308" s="10"/>
      <c r="P308" s="10"/>
      <c r="Q308" s="10"/>
      <c r="R308" s="10"/>
      <c r="S308" s="10"/>
      <c r="T308" s="10"/>
      <c r="U308" s="10"/>
    </row>
    <row r="309" ht="15.75" customHeight="1">
      <c r="A309" s="58">
        <v>-1.0</v>
      </c>
      <c r="B309" s="188" t="s">
        <v>5714</v>
      </c>
      <c r="C309" s="58" t="s">
        <v>497</v>
      </c>
      <c r="D309" s="72" t="s">
        <v>24</v>
      </c>
      <c r="E309" s="73"/>
      <c r="F309" s="10"/>
      <c r="G309" s="10"/>
      <c r="H309" s="10"/>
      <c r="I309" s="10"/>
      <c r="J309" s="10"/>
      <c r="K309" s="10"/>
      <c r="L309" s="10"/>
      <c r="M309" s="10"/>
      <c r="N309" s="10"/>
      <c r="O309" s="10"/>
      <c r="P309" s="10"/>
      <c r="Q309" s="10"/>
      <c r="R309" s="10"/>
      <c r="S309" s="10"/>
      <c r="T309" s="10"/>
      <c r="U309" s="10"/>
    </row>
    <row r="310" ht="15.75" customHeight="1">
      <c r="A310" s="58">
        <v>-1.0</v>
      </c>
      <c r="B310" s="188" t="s">
        <v>5695</v>
      </c>
      <c r="C310" s="58" t="s">
        <v>676</v>
      </c>
      <c r="D310" s="72" t="s">
        <v>163</v>
      </c>
      <c r="E310" s="73"/>
      <c r="F310" s="10"/>
      <c r="G310" s="10"/>
      <c r="H310" s="10"/>
      <c r="I310" s="10"/>
      <c r="J310" s="10"/>
      <c r="K310" s="10"/>
      <c r="L310" s="10"/>
      <c r="M310" s="10"/>
      <c r="N310" s="10"/>
      <c r="O310" s="10"/>
      <c r="P310" s="10"/>
      <c r="Q310" s="10"/>
      <c r="R310" s="10"/>
      <c r="S310" s="10"/>
      <c r="T310" s="10"/>
      <c r="U310" s="10"/>
    </row>
    <row r="311" ht="15.75" hidden="1" customHeight="1">
      <c r="A311" s="58">
        <v>0.0</v>
      </c>
      <c r="B311" s="58"/>
      <c r="C311" s="58" t="s">
        <v>1521</v>
      </c>
      <c r="D311" s="72" t="s">
        <v>901</v>
      </c>
      <c r="E311" s="73"/>
      <c r="F311" s="10"/>
      <c r="G311" s="10"/>
      <c r="H311" s="10"/>
      <c r="I311" s="10"/>
      <c r="J311" s="10"/>
      <c r="K311" s="10"/>
      <c r="L311" s="10"/>
      <c r="M311" s="10"/>
      <c r="N311" s="10"/>
      <c r="O311" s="10"/>
      <c r="P311" s="10"/>
      <c r="Q311" s="10"/>
      <c r="R311" s="10"/>
      <c r="S311" s="10"/>
      <c r="T311" s="10"/>
      <c r="U311" s="10"/>
    </row>
    <row r="312" ht="15.75" customHeight="1">
      <c r="A312" s="58">
        <v>0.0</v>
      </c>
      <c r="B312" s="188" t="s">
        <v>5701</v>
      </c>
      <c r="C312" s="58" t="s">
        <v>5807</v>
      </c>
      <c r="D312" s="72" t="s">
        <v>163</v>
      </c>
      <c r="E312" s="73"/>
      <c r="F312" s="10"/>
      <c r="G312" s="10"/>
      <c r="H312" s="10"/>
      <c r="I312" s="10"/>
      <c r="J312" s="10"/>
      <c r="K312" s="10"/>
      <c r="L312" s="10"/>
      <c r="M312" s="10"/>
      <c r="N312" s="10"/>
      <c r="O312" s="10"/>
      <c r="P312" s="10"/>
      <c r="Q312" s="10"/>
      <c r="R312" s="10"/>
      <c r="S312" s="10"/>
      <c r="T312" s="10"/>
      <c r="U312" s="10"/>
    </row>
    <row r="313" ht="15.75" customHeight="1">
      <c r="A313" s="58">
        <v>1.0</v>
      </c>
      <c r="B313" s="188" t="s">
        <v>5672</v>
      </c>
      <c r="C313" s="58" t="s">
        <v>5808</v>
      </c>
      <c r="D313" s="72" t="s">
        <v>171</v>
      </c>
      <c r="E313" s="73"/>
      <c r="F313" s="10"/>
      <c r="G313" s="10"/>
      <c r="H313" s="10"/>
      <c r="I313" s="10"/>
      <c r="J313" s="10"/>
      <c r="K313" s="10"/>
      <c r="L313" s="10"/>
      <c r="M313" s="10"/>
      <c r="N313" s="10"/>
      <c r="O313" s="10"/>
      <c r="P313" s="10"/>
      <c r="Q313" s="10"/>
      <c r="R313" s="10"/>
      <c r="S313" s="10"/>
      <c r="T313" s="10"/>
      <c r="U313" s="10"/>
    </row>
    <row r="314" ht="15.75" hidden="1" customHeight="1">
      <c r="A314" s="58">
        <v>-1.0</v>
      </c>
      <c r="B314" s="58"/>
      <c r="C314" s="58" t="s">
        <v>5809</v>
      </c>
      <c r="D314" s="72" t="s">
        <v>901</v>
      </c>
      <c r="E314" s="73"/>
      <c r="F314" s="10"/>
      <c r="G314" s="10"/>
      <c r="H314" s="10"/>
      <c r="I314" s="10"/>
      <c r="J314" s="10"/>
      <c r="K314" s="10"/>
      <c r="L314" s="10"/>
      <c r="M314" s="10"/>
      <c r="N314" s="10"/>
      <c r="O314" s="10"/>
      <c r="P314" s="10"/>
      <c r="Q314" s="10"/>
      <c r="R314" s="10"/>
      <c r="S314" s="10"/>
      <c r="T314" s="10"/>
      <c r="U314" s="10"/>
    </row>
    <row r="315" ht="15.75" hidden="1" customHeight="1">
      <c r="A315" s="58">
        <v>0.0</v>
      </c>
      <c r="B315" s="58"/>
      <c r="C315" s="58" t="s">
        <v>1507</v>
      </c>
      <c r="D315" s="72" t="s">
        <v>901</v>
      </c>
      <c r="E315" s="73"/>
      <c r="F315" s="10"/>
      <c r="G315" s="10"/>
      <c r="H315" s="10"/>
      <c r="I315" s="10"/>
      <c r="J315" s="10"/>
      <c r="K315" s="10"/>
      <c r="L315" s="10"/>
      <c r="M315" s="10"/>
      <c r="N315" s="10"/>
      <c r="O315" s="10"/>
      <c r="P315" s="10"/>
      <c r="Q315" s="10"/>
      <c r="R315" s="10"/>
      <c r="S315" s="10"/>
      <c r="T315" s="10"/>
      <c r="U315" s="10"/>
    </row>
    <row r="316" ht="15.75" hidden="1" customHeight="1">
      <c r="A316" s="58">
        <v>-1.0</v>
      </c>
      <c r="B316" s="58"/>
      <c r="C316" s="58" t="s">
        <v>5810</v>
      </c>
      <c r="D316" s="72" t="s">
        <v>901</v>
      </c>
      <c r="E316" s="73"/>
      <c r="F316" s="10"/>
      <c r="G316" s="10"/>
      <c r="H316" s="10"/>
      <c r="I316" s="10"/>
      <c r="J316" s="10"/>
      <c r="K316" s="10"/>
      <c r="L316" s="10"/>
      <c r="M316" s="10"/>
      <c r="N316" s="10"/>
      <c r="O316" s="10"/>
      <c r="P316" s="10"/>
      <c r="Q316" s="10"/>
      <c r="R316" s="10"/>
      <c r="S316" s="10"/>
      <c r="T316" s="10"/>
      <c r="U316" s="10"/>
    </row>
    <row r="317" ht="15.75" customHeight="1">
      <c r="A317" s="58">
        <v>-1.0</v>
      </c>
      <c r="B317" s="188" t="s">
        <v>5735</v>
      </c>
      <c r="C317" s="58" t="s">
        <v>491</v>
      </c>
      <c r="D317" s="72" t="s">
        <v>24</v>
      </c>
      <c r="E317" s="73"/>
      <c r="F317" s="10"/>
      <c r="G317" s="10"/>
      <c r="H317" s="10"/>
      <c r="I317" s="10"/>
      <c r="J317" s="10"/>
      <c r="K317" s="10"/>
      <c r="L317" s="10"/>
      <c r="M317" s="10"/>
      <c r="N317" s="10"/>
      <c r="O317" s="10"/>
      <c r="P317" s="10"/>
      <c r="Q317" s="10"/>
      <c r="R317" s="10"/>
      <c r="S317" s="10"/>
      <c r="T317" s="10"/>
      <c r="U317" s="10"/>
    </row>
    <row r="318" ht="15.75" customHeight="1">
      <c r="A318" s="58">
        <v>0.0</v>
      </c>
      <c r="B318" s="188" t="s">
        <v>5679</v>
      </c>
      <c r="C318" s="58" t="s">
        <v>5811</v>
      </c>
      <c r="D318" s="72" t="s">
        <v>459</v>
      </c>
      <c r="E318" s="73"/>
      <c r="F318" s="10"/>
      <c r="G318" s="10"/>
      <c r="H318" s="10"/>
      <c r="I318" s="10"/>
      <c r="J318" s="10"/>
      <c r="K318" s="10"/>
      <c r="L318" s="10"/>
      <c r="M318" s="10"/>
      <c r="N318" s="10"/>
      <c r="O318" s="10"/>
      <c r="P318" s="10"/>
      <c r="Q318" s="10"/>
      <c r="R318" s="10"/>
      <c r="S318" s="10"/>
      <c r="T318" s="10"/>
      <c r="U318" s="10"/>
    </row>
    <row r="319" ht="15.75" hidden="1" customHeight="1">
      <c r="A319" s="58">
        <v>-1.0</v>
      </c>
      <c r="B319" s="58"/>
      <c r="C319" s="58" t="s">
        <v>5812</v>
      </c>
      <c r="D319" s="72" t="s">
        <v>901</v>
      </c>
      <c r="E319" s="73"/>
      <c r="F319" s="10"/>
      <c r="G319" s="10"/>
      <c r="H319" s="10"/>
      <c r="I319" s="10"/>
      <c r="J319" s="10"/>
      <c r="K319" s="10"/>
      <c r="L319" s="10"/>
      <c r="M319" s="10"/>
      <c r="N319" s="10"/>
      <c r="O319" s="10"/>
      <c r="P319" s="10"/>
      <c r="Q319" s="10"/>
      <c r="R319" s="10"/>
      <c r="S319" s="10"/>
      <c r="T319" s="10"/>
      <c r="U319" s="10"/>
    </row>
    <row r="320" ht="15.75" hidden="1" customHeight="1">
      <c r="A320" s="58">
        <v>0.0</v>
      </c>
      <c r="B320" s="58"/>
      <c r="C320" s="58" t="s">
        <v>1508</v>
      </c>
      <c r="D320" s="72" t="s">
        <v>901</v>
      </c>
      <c r="E320" s="73"/>
      <c r="F320" s="10"/>
      <c r="G320" s="10"/>
      <c r="H320" s="10"/>
      <c r="I320" s="10"/>
      <c r="J320" s="10"/>
      <c r="K320" s="10"/>
      <c r="L320" s="10"/>
      <c r="M320" s="10"/>
      <c r="N320" s="10"/>
      <c r="O320" s="10"/>
      <c r="P320" s="10"/>
      <c r="Q320" s="10"/>
      <c r="R320" s="10"/>
      <c r="S320" s="10"/>
      <c r="T320" s="10"/>
      <c r="U320" s="10"/>
    </row>
    <row r="321" ht="15.75" customHeight="1">
      <c r="A321" s="58">
        <v>-2.0</v>
      </c>
      <c r="B321" s="188" t="s">
        <v>5677</v>
      </c>
      <c r="C321" s="58" t="s">
        <v>279</v>
      </c>
      <c r="D321" s="72" t="s">
        <v>163</v>
      </c>
      <c r="E321" s="73"/>
      <c r="F321" s="189"/>
      <c r="G321" s="10"/>
      <c r="H321" s="10"/>
      <c r="I321" s="10"/>
      <c r="J321" s="10"/>
      <c r="K321" s="10"/>
      <c r="L321" s="10"/>
      <c r="M321" s="10"/>
      <c r="N321" s="10"/>
      <c r="O321" s="10"/>
      <c r="P321" s="10"/>
      <c r="Q321" s="10"/>
      <c r="R321" s="10"/>
      <c r="S321" s="10"/>
      <c r="T321" s="10"/>
      <c r="U321" s="10"/>
    </row>
    <row r="322" ht="15.75" customHeight="1">
      <c r="A322" s="58">
        <v>-2.0</v>
      </c>
      <c r="B322" s="188" t="s">
        <v>5700</v>
      </c>
      <c r="C322" s="58" t="s">
        <v>199</v>
      </c>
      <c r="D322" s="72" t="s">
        <v>163</v>
      </c>
      <c r="E322" s="73"/>
      <c r="F322" s="189"/>
      <c r="G322" s="10"/>
      <c r="H322" s="10"/>
      <c r="I322" s="10"/>
      <c r="J322" s="10"/>
      <c r="K322" s="10"/>
      <c r="L322" s="10"/>
      <c r="M322" s="10"/>
      <c r="N322" s="10"/>
      <c r="O322" s="10"/>
      <c r="P322" s="10"/>
      <c r="Q322" s="10"/>
      <c r="R322" s="10"/>
      <c r="S322" s="10"/>
      <c r="T322" s="10"/>
      <c r="U322" s="10"/>
    </row>
    <row r="323" ht="15.75" hidden="1" customHeight="1">
      <c r="A323" s="58">
        <v>-1.0</v>
      </c>
      <c r="B323" s="58"/>
      <c r="C323" s="58" t="s">
        <v>937</v>
      </c>
      <c r="D323" s="72" t="s">
        <v>901</v>
      </c>
      <c r="E323" s="73"/>
      <c r="F323" s="10"/>
      <c r="G323" s="10"/>
      <c r="H323" s="10"/>
      <c r="I323" s="10"/>
      <c r="J323" s="10"/>
      <c r="K323" s="10"/>
      <c r="L323" s="10"/>
      <c r="M323" s="10"/>
      <c r="N323" s="10"/>
      <c r="O323" s="10"/>
      <c r="P323" s="10"/>
      <c r="Q323" s="10"/>
      <c r="R323" s="10"/>
      <c r="S323" s="10"/>
      <c r="T323" s="10"/>
      <c r="U323" s="10"/>
    </row>
    <row r="324" ht="15.75" customHeight="1">
      <c r="A324" s="58">
        <v>0.0</v>
      </c>
      <c r="B324" s="188" t="s">
        <v>5739</v>
      </c>
      <c r="C324" s="58" t="s">
        <v>1234</v>
      </c>
      <c r="D324" s="72" t="s">
        <v>155</v>
      </c>
      <c r="E324" s="73"/>
      <c r="F324" s="10"/>
      <c r="G324" s="10"/>
      <c r="H324" s="10"/>
      <c r="I324" s="10"/>
      <c r="J324" s="10"/>
      <c r="K324" s="10"/>
      <c r="L324" s="10"/>
      <c r="M324" s="10"/>
      <c r="N324" s="10"/>
      <c r="O324" s="10"/>
      <c r="P324" s="10"/>
      <c r="Q324" s="10"/>
      <c r="R324" s="10"/>
      <c r="S324" s="10"/>
      <c r="T324" s="10"/>
      <c r="U324" s="10"/>
    </row>
    <row r="325" ht="15.75" customHeight="1">
      <c r="A325" s="58">
        <v>-2.0</v>
      </c>
      <c r="B325" s="188" t="s">
        <v>5703</v>
      </c>
      <c r="C325" s="58" t="s">
        <v>320</v>
      </c>
      <c r="D325" s="72" t="s">
        <v>163</v>
      </c>
      <c r="E325" s="73"/>
      <c r="F325" s="189"/>
      <c r="G325" s="10"/>
      <c r="H325" s="10"/>
      <c r="I325" s="10"/>
      <c r="J325" s="10"/>
      <c r="K325" s="10"/>
      <c r="L325" s="10"/>
      <c r="M325" s="10"/>
      <c r="N325" s="10"/>
      <c r="O325" s="10"/>
      <c r="P325" s="10"/>
      <c r="Q325" s="10"/>
      <c r="R325" s="10"/>
      <c r="S325" s="10"/>
      <c r="T325" s="10"/>
      <c r="U325" s="10"/>
    </row>
    <row r="326" ht="15.75" customHeight="1">
      <c r="A326" s="58">
        <v>0.0</v>
      </c>
      <c r="B326" s="188" t="s">
        <v>5679</v>
      </c>
      <c r="C326" s="58" t="s">
        <v>5813</v>
      </c>
      <c r="D326" s="72" t="s">
        <v>459</v>
      </c>
      <c r="E326" s="73"/>
      <c r="F326" s="10"/>
      <c r="G326" s="10"/>
      <c r="H326" s="10"/>
      <c r="I326" s="10"/>
      <c r="J326" s="10"/>
      <c r="K326" s="10"/>
      <c r="L326" s="10"/>
      <c r="M326" s="10"/>
      <c r="N326" s="10"/>
      <c r="O326" s="10"/>
      <c r="P326" s="10"/>
      <c r="Q326" s="10"/>
      <c r="R326" s="10"/>
      <c r="S326" s="10"/>
      <c r="T326" s="10"/>
      <c r="U326" s="10"/>
    </row>
    <row r="327" ht="15.75" customHeight="1">
      <c r="A327" s="58">
        <v>0.0</v>
      </c>
      <c r="B327" s="188" t="s">
        <v>5722</v>
      </c>
      <c r="C327" s="58" t="s">
        <v>1020</v>
      </c>
      <c r="D327" s="72" t="s">
        <v>163</v>
      </c>
      <c r="E327" s="73"/>
      <c r="F327" s="10"/>
      <c r="G327" s="10"/>
      <c r="H327" s="10"/>
      <c r="I327" s="10"/>
      <c r="J327" s="10"/>
      <c r="K327" s="10"/>
      <c r="L327" s="10"/>
      <c r="M327" s="10"/>
      <c r="N327" s="10"/>
      <c r="O327" s="10"/>
      <c r="P327" s="10"/>
      <c r="Q327" s="10"/>
      <c r="R327" s="10"/>
      <c r="S327" s="10"/>
      <c r="T327" s="10"/>
      <c r="U327" s="10"/>
    </row>
    <row r="328" ht="15.75" customHeight="1">
      <c r="A328" s="58">
        <v>1.0</v>
      </c>
      <c r="B328" s="188" t="s">
        <v>5677</v>
      </c>
      <c r="C328" s="58" t="s">
        <v>1678</v>
      </c>
      <c r="D328" s="58" t="s">
        <v>125</v>
      </c>
      <c r="E328" s="10"/>
      <c r="F328" s="10"/>
      <c r="G328" s="10"/>
      <c r="H328" s="10"/>
      <c r="I328" s="10"/>
      <c r="J328" s="10"/>
      <c r="K328" s="10"/>
      <c r="L328" s="10"/>
      <c r="M328" s="10"/>
      <c r="N328" s="10"/>
      <c r="O328" s="10"/>
      <c r="P328" s="10"/>
      <c r="Q328" s="10"/>
      <c r="R328" s="10"/>
      <c r="S328" s="10"/>
      <c r="T328" s="10"/>
      <c r="U328" s="10"/>
    </row>
    <row r="329" ht="15.75" customHeight="1">
      <c r="A329" s="58">
        <v>0.0</v>
      </c>
      <c r="B329" s="188" t="s">
        <v>5702</v>
      </c>
      <c r="C329" s="58" t="s">
        <v>993</v>
      </c>
      <c r="D329" s="72" t="s">
        <v>163</v>
      </c>
      <c r="E329" s="73"/>
      <c r="F329" s="10"/>
      <c r="G329" s="10"/>
      <c r="H329" s="10"/>
      <c r="I329" s="10"/>
      <c r="J329" s="10"/>
      <c r="K329" s="10"/>
      <c r="L329" s="10"/>
      <c r="M329" s="10"/>
      <c r="N329" s="10"/>
      <c r="O329" s="10"/>
      <c r="P329" s="10"/>
      <c r="Q329" s="10"/>
      <c r="R329" s="10"/>
      <c r="S329" s="10"/>
      <c r="T329" s="10"/>
      <c r="U329" s="10"/>
    </row>
    <row r="330" ht="15.75" customHeight="1">
      <c r="A330" s="58">
        <v>0.0</v>
      </c>
      <c r="B330" s="188" t="s">
        <v>5702</v>
      </c>
      <c r="C330" s="58" t="s">
        <v>2132</v>
      </c>
      <c r="D330" s="72" t="s">
        <v>187</v>
      </c>
      <c r="E330" s="73"/>
      <c r="F330" s="10"/>
      <c r="G330" s="10"/>
      <c r="H330" s="10"/>
      <c r="I330" s="10"/>
      <c r="J330" s="10"/>
      <c r="K330" s="10"/>
      <c r="L330" s="10"/>
      <c r="M330" s="10"/>
      <c r="N330" s="10"/>
      <c r="O330" s="10"/>
      <c r="P330" s="10"/>
      <c r="Q330" s="10"/>
      <c r="R330" s="10"/>
      <c r="S330" s="10"/>
      <c r="T330" s="10"/>
      <c r="U330" s="10"/>
    </row>
    <row r="331" ht="15.75" customHeight="1">
      <c r="A331" s="58">
        <v>0.0</v>
      </c>
      <c r="B331" s="188" t="s">
        <v>5714</v>
      </c>
      <c r="C331" s="58" t="s">
        <v>1053</v>
      </c>
      <c r="D331" s="72" t="s">
        <v>163</v>
      </c>
      <c r="E331" s="73"/>
      <c r="F331" s="10"/>
      <c r="G331" s="10"/>
      <c r="H331" s="10"/>
      <c r="I331" s="10"/>
      <c r="J331" s="10"/>
      <c r="K331" s="10"/>
      <c r="L331" s="10"/>
      <c r="M331" s="10"/>
      <c r="N331" s="10"/>
      <c r="O331" s="10"/>
      <c r="P331" s="10"/>
      <c r="Q331" s="10"/>
      <c r="R331" s="10"/>
      <c r="S331" s="10"/>
      <c r="T331" s="10"/>
      <c r="U331" s="10"/>
    </row>
    <row r="332" ht="15.75" customHeight="1">
      <c r="A332" s="58">
        <v>0.0</v>
      </c>
      <c r="B332" s="188" t="s">
        <v>5673</v>
      </c>
      <c r="C332" s="58" t="s">
        <v>1183</v>
      </c>
      <c r="D332" s="72" t="s">
        <v>125</v>
      </c>
      <c r="E332" s="73"/>
      <c r="F332" s="10"/>
      <c r="G332" s="10"/>
      <c r="H332" s="10"/>
      <c r="I332" s="10"/>
      <c r="J332" s="10"/>
      <c r="K332" s="10"/>
      <c r="L332" s="10"/>
      <c r="M332" s="10"/>
      <c r="N332" s="10"/>
      <c r="O332" s="10"/>
      <c r="P332" s="10"/>
      <c r="Q332" s="10"/>
      <c r="R332" s="10"/>
      <c r="S332" s="10"/>
      <c r="T332" s="10"/>
      <c r="U332" s="10"/>
    </row>
    <row r="333" ht="15.75" hidden="1" customHeight="1">
      <c r="A333" s="58">
        <v>-1.0</v>
      </c>
      <c r="B333" s="58"/>
      <c r="C333" s="58" t="s">
        <v>938</v>
      </c>
      <c r="D333" s="72" t="s">
        <v>901</v>
      </c>
      <c r="E333" s="73"/>
      <c r="F333" s="10"/>
      <c r="G333" s="10"/>
      <c r="H333" s="10"/>
      <c r="I333" s="10"/>
      <c r="J333" s="10"/>
      <c r="K333" s="10"/>
      <c r="L333" s="10"/>
      <c r="M333" s="10"/>
      <c r="N333" s="10"/>
      <c r="O333" s="10"/>
      <c r="P333" s="10"/>
      <c r="Q333" s="10"/>
      <c r="R333" s="10"/>
      <c r="S333" s="10"/>
      <c r="T333" s="10"/>
      <c r="U333" s="10"/>
    </row>
    <row r="334" ht="15.75" customHeight="1">
      <c r="A334" s="58">
        <v>-1.0</v>
      </c>
      <c r="B334" s="188" t="s">
        <v>5739</v>
      </c>
      <c r="C334" s="58" t="s">
        <v>734</v>
      </c>
      <c r="D334" s="72" t="s">
        <v>179</v>
      </c>
      <c r="E334" s="73"/>
      <c r="F334" s="10"/>
      <c r="G334" s="10"/>
      <c r="H334" s="10"/>
      <c r="I334" s="10"/>
      <c r="J334" s="10"/>
      <c r="K334" s="10"/>
      <c r="L334" s="10"/>
      <c r="M334" s="10"/>
      <c r="N334" s="10"/>
      <c r="O334" s="10"/>
      <c r="P334" s="10"/>
      <c r="Q334" s="10"/>
      <c r="R334" s="10"/>
      <c r="S334" s="10"/>
      <c r="T334" s="10"/>
      <c r="U334" s="10"/>
    </row>
    <row r="335" ht="15.75" customHeight="1">
      <c r="A335" s="58">
        <v>-2.0</v>
      </c>
      <c r="B335" s="188" t="s">
        <v>5714</v>
      </c>
      <c r="C335" s="58" t="s">
        <v>2389</v>
      </c>
      <c r="D335" s="72" t="s">
        <v>92</v>
      </c>
      <c r="E335" s="73"/>
      <c r="F335" s="189"/>
      <c r="G335" s="10"/>
      <c r="H335" s="10"/>
      <c r="I335" s="10"/>
      <c r="J335" s="10"/>
      <c r="K335" s="10"/>
      <c r="L335" s="10"/>
      <c r="M335" s="10"/>
      <c r="N335" s="10"/>
      <c r="O335" s="10"/>
      <c r="P335" s="10"/>
      <c r="Q335" s="10"/>
      <c r="R335" s="10"/>
      <c r="S335" s="10"/>
      <c r="T335" s="10"/>
      <c r="U335" s="10"/>
    </row>
    <row r="336" ht="15.75" hidden="1" customHeight="1">
      <c r="A336" s="58">
        <v>0.0</v>
      </c>
      <c r="B336" s="58"/>
      <c r="C336" s="58" t="s">
        <v>1487</v>
      </c>
      <c r="D336" s="72" t="s">
        <v>901</v>
      </c>
      <c r="E336" s="73"/>
      <c r="F336" s="10"/>
      <c r="G336" s="10"/>
      <c r="H336" s="10"/>
      <c r="I336" s="10"/>
      <c r="J336" s="10"/>
      <c r="K336" s="10"/>
      <c r="L336" s="10"/>
      <c r="M336" s="10"/>
      <c r="N336" s="10"/>
      <c r="O336" s="10"/>
      <c r="P336" s="10"/>
      <c r="Q336" s="10"/>
      <c r="R336" s="10"/>
      <c r="S336" s="10"/>
      <c r="T336" s="10"/>
      <c r="U336" s="10"/>
    </row>
    <row r="337" ht="15.75" customHeight="1">
      <c r="A337" s="58">
        <v>1.0</v>
      </c>
      <c r="B337" s="188" t="s">
        <v>5672</v>
      </c>
      <c r="C337" s="58" t="s">
        <v>1542</v>
      </c>
      <c r="D337" s="72" t="s">
        <v>92</v>
      </c>
      <c r="E337" s="73"/>
      <c r="F337" s="10"/>
      <c r="G337" s="10"/>
      <c r="H337" s="10"/>
      <c r="I337" s="10"/>
      <c r="J337" s="10"/>
      <c r="K337" s="10"/>
      <c r="L337" s="10"/>
      <c r="M337" s="10"/>
      <c r="N337" s="10"/>
      <c r="O337" s="10"/>
      <c r="P337" s="10"/>
      <c r="Q337" s="10"/>
      <c r="R337" s="10"/>
      <c r="S337" s="10"/>
      <c r="T337" s="10"/>
      <c r="U337" s="10"/>
    </row>
    <row r="338" ht="15.75" customHeight="1">
      <c r="A338" s="58">
        <v>-2.0</v>
      </c>
      <c r="B338" s="188" t="s">
        <v>5689</v>
      </c>
      <c r="C338" s="58" t="s">
        <v>250</v>
      </c>
      <c r="D338" s="72" t="s">
        <v>163</v>
      </c>
      <c r="E338" s="73"/>
      <c r="F338" s="189"/>
      <c r="G338" s="10"/>
      <c r="H338" s="10"/>
      <c r="I338" s="10"/>
      <c r="J338" s="10"/>
      <c r="K338" s="10"/>
      <c r="L338" s="10"/>
      <c r="M338" s="10"/>
      <c r="N338" s="10"/>
      <c r="O338" s="10"/>
      <c r="P338" s="10"/>
      <c r="Q338" s="10"/>
      <c r="R338" s="10"/>
      <c r="S338" s="10"/>
      <c r="T338" s="10"/>
      <c r="U338" s="10"/>
    </row>
    <row r="339" ht="15.75" customHeight="1">
      <c r="A339" s="58">
        <v>-2.0</v>
      </c>
      <c r="B339" s="188" t="s">
        <v>5689</v>
      </c>
      <c r="C339" s="58" t="s">
        <v>245</v>
      </c>
      <c r="D339" s="72" t="s">
        <v>163</v>
      </c>
      <c r="E339" s="73"/>
      <c r="F339" s="189"/>
      <c r="G339" s="10"/>
      <c r="H339" s="10"/>
      <c r="I339" s="10"/>
      <c r="J339" s="10"/>
      <c r="K339" s="10"/>
      <c r="L339" s="10"/>
      <c r="M339" s="10"/>
      <c r="N339" s="10"/>
      <c r="O339" s="10"/>
      <c r="P339" s="10"/>
      <c r="Q339" s="10"/>
      <c r="R339" s="10"/>
      <c r="S339" s="10"/>
      <c r="T339" s="10"/>
      <c r="U339" s="10"/>
    </row>
    <row r="340" ht="15.75" customHeight="1">
      <c r="A340" s="58">
        <v>-1.0</v>
      </c>
      <c r="B340" s="188" t="s">
        <v>5728</v>
      </c>
      <c r="C340" s="58" t="s">
        <v>800</v>
      </c>
      <c r="D340" s="72" t="s">
        <v>163</v>
      </c>
      <c r="E340" s="73"/>
      <c r="F340" s="10"/>
      <c r="G340" s="10"/>
      <c r="H340" s="10"/>
      <c r="I340" s="10"/>
      <c r="J340" s="10"/>
      <c r="K340" s="10"/>
      <c r="L340" s="10"/>
      <c r="M340" s="10"/>
      <c r="N340" s="10"/>
      <c r="O340" s="10"/>
      <c r="P340" s="10"/>
      <c r="Q340" s="10"/>
      <c r="R340" s="10"/>
      <c r="S340" s="10"/>
      <c r="T340" s="10"/>
      <c r="U340" s="10"/>
    </row>
    <row r="341" ht="15.75" hidden="1" customHeight="1">
      <c r="A341" s="58">
        <v>-1.0</v>
      </c>
      <c r="B341" s="58"/>
      <c r="C341" s="58" t="s">
        <v>939</v>
      </c>
      <c r="D341" s="72" t="s">
        <v>901</v>
      </c>
      <c r="E341" s="73"/>
      <c r="F341" s="10"/>
      <c r="G341" s="10"/>
      <c r="H341" s="10"/>
      <c r="I341" s="10"/>
      <c r="J341" s="10"/>
      <c r="K341" s="10"/>
      <c r="L341" s="10"/>
      <c r="M341" s="10"/>
      <c r="N341" s="10"/>
      <c r="O341" s="10"/>
      <c r="P341" s="10"/>
      <c r="Q341" s="10"/>
      <c r="R341" s="10"/>
      <c r="S341" s="10"/>
      <c r="T341" s="10"/>
      <c r="U341" s="10"/>
    </row>
    <row r="342" ht="15.75" customHeight="1">
      <c r="A342" s="58">
        <v>-1.0</v>
      </c>
      <c r="B342" s="188" t="s">
        <v>5710</v>
      </c>
      <c r="C342" s="58" t="s">
        <v>5814</v>
      </c>
      <c r="D342" s="72" t="s">
        <v>187</v>
      </c>
      <c r="E342" s="73"/>
      <c r="F342" s="10"/>
      <c r="G342" s="10"/>
      <c r="H342" s="10"/>
      <c r="I342" s="10"/>
      <c r="J342" s="10"/>
      <c r="K342" s="10"/>
      <c r="L342" s="10"/>
      <c r="M342" s="10"/>
      <c r="N342" s="10"/>
      <c r="O342" s="10"/>
      <c r="P342" s="10"/>
      <c r="Q342" s="10"/>
      <c r="R342" s="10"/>
      <c r="S342" s="10"/>
      <c r="T342" s="10"/>
      <c r="U342" s="10"/>
    </row>
    <row r="343" ht="15.75" customHeight="1">
      <c r="A343" s="58">
        <v>-3.0</v>
      </c>
      <c r="B343" s="188" t="s">
        <v>5690</v>
      </c>
      <c r="C343" s="58" t="s">
        <v>2077</v>
      </c>
      <c r="D343" s="72" t="s">
        <v>24</v>
      </c>
      <c r="E343" s="73"/>
      <c r="F343" s="189"/>
      <c r="G343" s="10"/>
      <c r="H343" s="10"/>
      <c r="I343" s="10"/>
      <c r="J343" s="10"/>
      <c r="K343" s="10"/>
      <c r="L343" s="10"/>
      <c r="M343" s="10"/>
      <c r="N343" s="10"/>
      <c r="O343" s="10"/>
      <c r="P343" s="10"/>
      <c r="Q343" s="10"/>
      <c r="R343" s="10"/>
      <c r="S343" s="10"/>
      <c r="T343" s="10"/>
      <c r="U343" s="10"/>
    </row>
    <row r="344" ht="15.75" customHeight="1">
      <c r="A344" s="58">
        <v>0.0</v>
      </c>
      <c r="B344" s="188" t="s">
        <v>5704</v>
      </c>
      <c r="C344" s="58" t="s">
        <v>1009</v>
      </c>
      <c r="D344" s="72" t="s">
        <v>187</v>
      </c>
      <c r="E344" s="73"/>
      <c r="F344" s="10"/>
      <c r="G344" s="10"/>
      <c r="H344" s="10"/>
      <c r="I344" s="10"/>
      <c r="J344" s="10"/>
      <c r="K344" s="10"/>
      <c r="L344" s="10"/>
      <c r="M344" s="10"/>
      <c r="N344" s="10"/>
      <c r="O344" s="10"/>
      <c r="P344" s="10"/>
      <c r="Q344" s="10"/>
      <c r="R344" s="10"/>
      <c r="S344" s="10"/>
      <c r="T344" s="10"/>
      <c r="U344" s="10"/>
    </row>
    <row r="345" ht="15.75" hidden="1" customHeight="1">
      <c r="A345" s="58">
        <v>-1.0</v>
      </c>
      <c r="B345" s="58"/>
      <c r="C345" s="58" t="s">
        <v>941</v>
      </c>
      <c r="D345" s="72" t="s">
        <v>901</v>
      </c>
      <c r="E345" s="73"/>
      <c r="F345" s="10"/>
      <c r="G345" s="10"/>
      <c r="H345" s="10"/>
      <c r="I345" s="10"/>
      <c r="J345" s="10"/>
      <c r="K345" s="10"/>
      <c r="L345" s="10"/>
      <c r="M345" s="10"/>
      <c r="N345" s="10"/>
      <c r="O345" s="10"/>
      <c r="P345" s="10"/>
      <c r="Q345" s="10"/>
      <c r="R345" s="10"/>
      <c r="S345" s="10"/>
      <c r="T345" s="10"/>
      <c r="U345" s="10"/>
    </row>
    <row r="346" ht="15.75" hidden="1" customHeight="1">
      <c r="A346" s="58">
        <v>0.0</v>
      </c>
      <c r="B346" s="58"/>
      <c r="C346" s="58" t="s">
        <v>1509</v>
      </c>
      <c r="D346" s="72" t="s">
        <v>901</v>
      </c>
      <c r="E346" s="73"/>
      <c r="F346" s="10"/>
      <c r="G346" s="10"/>
      <c r="H346" s="10"/>
      <c r="I346" s="10"/>
      <c r="J346" s="10"/>
      <c r="K346" s="10"/>
      <c r="L346" s="10"/>
      <c r="M346" s="10"/>
      <c r="N346" s="10"/>
      <c r="O346" s="10"/>
      <c r="P346" s="10"/>
      <c r="Q346" s="10"/>
      <c r="R346" s="10"/>
      <c r="S346" s="10"/>
      <c r="T346" s="10"/>
      <c r="U346" s="10"/>
    </row>
    <row r="347" ht="15.75" customHeight="1">
      <c r="A347" s="58">
        <v>1.0</v>
      </c>
      <c r="B347" s="188" t="s">
        <v>5689</v>
      </c>
      <c r="C347" s="58" t="s">
        <v>108</v>
      </c>
      <c r="D347" s="58" t="s">
        <v>24</v>
      </c>
      <c r="E347" s="10"/>
      <c r="F347" s="10"/>
      <c r="G347" s="10"/>
      <c r="H347" s="10"/>
      <c r="I347" s="10"/>
      <c r="J347" s="10"/>
      <c r="K347" s="10"/>
      <c r="L347" s="10"/>
      <c r="M347" s="10"/>
      <c r="N347" s="10"/>
      <c r="O347" s="10"/>
      <c r="P347" s="10"/>
      <c r="Q347" s="10"/>
      <c r="R347" s="10"/>
      <c r="S347" s="10"/>
      <c r="T347" s="10"/>
      <c r="U347" s="10"/>
    </row>
    <row r="348" ht="15.75" customHeight="1">
      <c r="A348" s="58">
        <v>0.0</v>
      </c>
      <c r="B348" s="188" t="s">
        <v>5679</v>
      </c>
      <c r="C348" s="58" t="s">
        <v>5815</v>
      </c>
      <c r="D348" s="72" t="s">
        <v>459</v>
      </c>
      <c r="E348" s="73"/>
      <c r="F348" s="10"/>
      <c r="G348" s="10"/>
      <c r="H348" s="10"/>
      <c r="I348" s="10"/>
      <c r="J348" s="10"/>
      <c r="K348" s="10"/>
      <c r="L348" s="10"/>
      <c r="M348" s="10"/>
      <c r="N348" s="10"/>
      <c r="O348" s="10"/>
      <c r="P348" s="10"/>
      <c r="Q348" s="10"/>
      <c r="R348" s="10"/>
      <c r="S348" s="10"/>
      <c r="T348" s="10"/>
      <c r="U348" s="10"/>
    </row>
    <row r="349" ht="15.75" hidden="1" customHeight="1">
      <c r="A349" s="58">
        <v>-1.0</v>
      </c>
      <c r="B349" s="58"/>
      <c r="C349" s="58" t="s">
        <v>942</v>
      </c>
      <c r="D349" s="72" t="s">
        <v>901</v>
      </c>
      <c r="E349" s="73"/>
      <c r="F349" s="10"/>
      <c r="G349" s="10"/>
      <c r="H349" s="10"/>
      <c r="I349" s="10"/>
      <c r="J349" s="10"/>
      <c r="K349" s="10"/>
      <c r="L349" s="10"/>
      <c r="M349" s="10"/>
      <c r="N349" s="10"/>
      <c r="O349" s="10"/>
      <c r="P349" s="10"/>
      <c r="Q349" s="10"/>
      <c r="R349" s="10"/>
      <c r="S349" s="10"/>
      <c r="T349" s="10"/>
      <c r="U349" s="10"/>
    </row>
    <row r="350" ht="15.75" customHeight="1">
      <c r="A350" s="58">
        <v>-2.0</v>
      </c>
      <c r="B350" s="188" t="s">
        <v>5703</v>
      </c>
      <c r="C350" s="58" t="s">
        <v>823</v>
      </c>
      <c r="D350" s="72" t="s">
        <v>163</v>
      </c>
      <c r="E350" s="73"/>
      <c r="F350" s="189"/>
      <c r="G350" s="10"/>
      <c r="H350" s="10"/>
      <c r="I350" s="10"/>
      <c r="J350" s="10"/>
      <c r="K350" s="10"/>
      <c r="L350" s="10"/>
      <c r="M350" s="10"/>
      <c r="N350" s="10"/>
      <c r="O350" s="10"/>
      <c r="P350" s="10"/>
      <c r="Q350" s="10"/>
      <c r="R350" s="10"/>
      <c r="S350" s="10"/>
      <c r="T350" s="10"/>
      <c r="U350" s="10"/>
    </row>
    <row r="351" ht="15.75" hidden="1" customHeight="1">
      <c r="A351" s="58">
        <v>-1.0</v>
      </c>
      <c r="B351" s="58"/>
      <c r="C351" s="58" t="s">
        <v>5816</v>
      </c>
      <c r="D351" s="72" t="s">
        <v>901</v>
      </c>
      <c r="E351" s="73"/>
      <c r="F351" s="10"/>
      <c r="G351" s="10"/>
      <c r="H351" s="10"/>
      <c r="I351" s="10"/>
      <c r="J351" s="10"/>
      <c r="K351" s="10"/>
      <c r="L351" s="10"/>
      <c r="M351" s="10"/>
      <c r="N351" s="10"/>
      <c r="O351" s="10"/>
      <c r="P351" s="10"/>
      <c r="Q351" s="10"/>
      <c r="R351" s="10"/>
      <c r="S351" s="10"/>
      <c r="T351" s="10"/>
      <c r="U351" s="10"/>
    </row>
    <row r="352" ht="15.75" customHeight="1">
      <c r="A352" s="58">
        <v>-2.0</v>
      </c>
      <c r="B352" s="188" t="s">
        <v>5681</v>
      </c>
      <c r="C352" s="58" t="s">
        <v>303</v>
      </c>
      <c r="D352" s="72" t="s">
        <v>70</v>
      </c>
      <c r="E352" s="73"/>
      <c r="F352" s="189"/>
      <c r="G352" s="10"/>
      <c r="H352" s="10"/>
      <c r="I352" s="10"/>
      <c r="J352" s="10"/>
      <c r="K352" s="10"/>
      <c r="L352" s="10"/>
      <c r="M352" s="10"/>
      <c r="N352" s="10"/>
      <c r="O352" s="10"/>
      <c r="P352" s="10"/>
      <c r="Q352" s="10"/>
      <c r="R352" s="10"/>
      <c r="S352" s="10"/>
      <c r="T352" s="10"/>
      <c r="U352" s="10"/>
    </row>
    <row r="353" ht="15.75" customHeight="1">
      <c r="A353" s="58">
        <v>-3.0</v>
      </c>
      <c r="B353" s="188" t="s">
        <v>5694</v>
      </c>
      <c r="C353" s="58" t="s">
        <v>58</v>
      </c>
      <c r="D353" s="72" t="s">
        <v>24</v>
      </c>
      <c r="E353" s="73"/>
      <c r="F353" s="189"/>
      <c r="G353" s="10"/>
      <c r="H353" s="10"/>
      <c r="I353" s="10"/>
      <c r="J353" s="10"/>
      <c r="K353" s="10"/>
      <c r="L353" s="10"/>
      <c r="M353" s="10"/>
      <c r="N353" s="10"/>
      <c r="O353" s="10"/>
      <c r="P353" s="10"/>
      <c r="Q353" s="10"/>
      <c r="R353" s="10"/>
      <c r="S353" s="10"/>
      <c r="T353" s="10"/>
      <c r="U353" s="10"/>
    </row>
    <row r="354" ht="15.75" customHeight="1">
      <c r="A354" s="58">
        <v>1.0</v>
      </c>
      <c r="B354" s="188" t="s">
        <v>5690</v>
      </c>
      <c r="C354" s="58" t="s">
        <v>2343</v>
      </c>
      <c r="D354" s="58" t="s">
        <v>187</v>
      </c>
      <c r="E354" s="10"/>
      <c r="F354" s="10"/>
      <c r="G354" s="10"/>
      <c r="H354" s="10"/>
      <c r="I354" s="10"/>
      <c r="J354" s="10"/>
      <c r="K354" s="10"/>
      <c r="L354" s="10"/>
      <c r="M354" s="10"/>
      <c r="N354" s="10"/>
      <c r="O354" s="10"/>
      <c r="P354" s="10"/>
      <c r="Q354" s="10"/>
      <c r="R354" s="10"/>
      <c r="S354" s="10"/>
      <c r="T354" s="10"/>
      <c r="U354" s="10"/>
    </row>
    <row r="355" ht="15.75" customHeight="1">
      <c r="A355" s="58">
        <v>-1.0</v>
      </c>
      <c r="B355" s="188" t="s">
        <v>5737</v>
      </c>
      <c r="C355" s="58" t="s">
        <v>474</v>
      </c>
      <c r="D355" s="72" t="s">
        <v>163</v>
      </c>
      <c r="E355" s="73"/>
      <c r="F355" s="10"/>
      <c r="G355" s="10"/>
      <c r="H355" s="10"/>
      <c r="I355" s="10"/>
      <c r="J355" s="10"/>
      <c r="K355" s="10"/>
      <c r="L355" s="10"/>
      <c r="M355" s="10"/>
      <c r="N355" s="10"/>
      <c r="O355" s="10"/>
      <c r="P355" s="10"/>
      <c r="Q355" s="10"/>
      <c r="R355" s="10"/>
      <c r="S355" s="10"/>
      <c r="T355" s="10"/>
      <c r="U355" s="10"/>
    </row>
    <row r="356" ht="15.75" customHeight="1">
      <c r="A356" s="58">
        <v>-1.0</v>
      </c>
      <c r="B356" s="188" t="s">
        <v>5690</v>
      </c>
      <c r="C356" s="58" t="s">
        <v>5817</v>
      </c>
      <c r="D356" s="72" t="s">
        <v>24</v>
      </c>
      <c r="E356" s="73"/>
      <c r="F356" s="10"/>
      <c r="G356" s="10"/>
      <c r="H356" s="10"/>
      <c r="I356" s="10"/>
      <c r="J356" s="10"/>
      <c r="K356" s="10"/>
      <c r="L356" s="10"/>
      <c r="M356" s="10"/>
      <c r="N356" s="10"/>
      <c r="O356" s="10"/>
      <c r="P356" s="10"/>
      <c r="Q356" s="10"/>
      <c r="R356" s="10"/>
      <c r="S356" s="10"/>
      <c r="T356" s="10"/>
      <c r="U356" s="10"/>
    </row>
    <row r="357" ht="15.75" customHeight="1">
      <c r="A357" s="58">
        <v>0.0</v>
      </c>
      <c r="B357" s="188" t="s">
        <v>5679</v>
      </c>
      <c r="C357" s="58" t="s">
        <v>5818</v>
      </c>
      <c r="D357" s="72" t="s">
        <v>459</v>
      </c>
      <c r="E357" s="73"/>
      <c r="F357" s="10"/>
      <c r="G357" s="10"/>
      <c r="H357" s="10"/>
      <c r="I357" s="10"/>
      <c r="J357" s="10"/>
      <c r="K357" s="10"/>
      <c r="L357" s="10"/>
      <c r="M357" s="10"/>
      <c r="N357" s="10"/>
      <c r="O357" s="10"/>
      <c r="P357" s="10"/>
      <c r="Q357" s="10"/>
      <c r="R357" s="10"/>
      <c r="S357" s="10"/>
      <c r="T357" s="10"/>
      <c r="U357" s="10"/>
    </row>
    <row r="358" ht="15.75" customHeight="1">
      <c r="A358" s="58">
        <v>-1.0</v>
      </c>
      <c r="B358" s="188" t="s">
        <v>5722</v>
      </c>
      <c r="C358" s="58" t="s">
        <v>585</v>
      </c>
      <c r="D358" s="72" t="s">
        <v>561</v>
      </c>
      <c r="E358" s="73"/>
      <c r="F358" s="10"/>
      <c r="G358" s="10"/>
      <c r="H358" s="10"/>
      <c r="I358" s="10"/>
      <c r="J358" s="10"/>
      <c r="K358" s="10"/>
      <c r="L358" s="10"/>
      <c r="M358" s="10"/>
      <c r="N358" s="10"/>
      <c r="O358" s="10"/>
      <c r="P358" s="10"/>
      <c r="Q358" s="10"/>
      <c r="R358" s="10"/>
      <c r="S358" s="10"/>
      <c r="T358" s="10"/>
      <c r="U358" s="10"/>
    </row>
    <row r="359" ht="15.75" hidden="1" customHeight="1">
      <c r="A359" s="58">
        <v>-1.0</v>
      </c>
      <c r="B359" s="58"/>
      <c r="C359" s="58" t="s">
        <v>5552</v>
      </c>
      <c r="D359" s="72" t="s">
        <v>901</v>
      </c>
      <c r="E359" s="73"/>
      <c r="F359" s="10"/>
      <c r="G359" s="10"/>
      <c r="H359" s="10"/>
      <c r="I359" s="10"/>
      <c r="J359" s="10"/>
      <c r="K359" s="10"/>
      <c r="L359" s="10"/>
      <c r="M359" s="10"/>
      <c r="N359" s="10"/>
      <c r="O359" s="10"/>
      <c r="P359" s="10"/>
      <c r="Q359" s="10"/>
      <c r="R359" s="10"/>
      <c r="S359" s="10"/>
      <c r="T359" s="10"/>
      <c r="U359" s="10"/>
    </row>
    <row r="360" ht="15.75" customHeight="1">
      <c r="A360" s="58">
        <v>0.0</v>
      </c>
      <c r="B360" s="188" t="s">
        <v>5725</v>
      </c>
      <c r="C360" s="58" t="s">
        <v>5819</v>
      </c>
      <c r="D360" s="72" t="s">
        <v>1131</v>
      </c>
      <c r="E360" s="73"/>
      <c r="F360" s="10"/>
      <c r="G360" s="10"/>
      <c r="H360" s="10"/>
      <c r="I360" s="10"/>
      <c r="J360" s="10"/>
      <c r="K360" s="10"/>
      <c r="L360" s="10"/>
      <c r="M360" s="10"/>
      <c r="N360" s="10"/>
      <c r="O360" s="10"/>
      <c r="P360" s="10"/>
      <c r="Q360" s="10"/>
      <c r="R360" s="10"/>
      <c r="S360" s="10"/>
      <c r="T360" s="10"/>
      <c r="U360" s="10"/>
    </row>
    <row r="361" ht="15.75" customHeight="1">
      <c r="A361" s="58">
        <v>0.0</v>
      </c>
      <c r="B361" s="188" t="s">
        <v>5702</v>
      </c>
      <c r="C361" s="58" t="s">
        <v>1403</v>
      </c>
      <c r="D361" s="72" t="s">
        <v>44</v>
      </c>
      <c r="E361" s="73"/>
      <c r="F361" s="10"/>
      <c r="G361" s="10"/>
      <c r="H361" s="10"/>
      <c r="I361" s="10"/>
      <c r="J361" s="10"/>
      <c r="K361" s="10"/>
      <c r="L361" s="10"/>
      <c r="M361" s="10"/>
      <c r="N361" s="10"/>
      <c r="O361" s="10"/>
      <c r="P361" s="10"/>
      <c r="Q361" s="10"/>
      <c r="R361" s="10"/>
      <c r="S361" s="10"/>
      <c r="T361" s="10"/>
      <c r="U361" s="10"/>
    </row>
    <row r="362" ht="15.75" hidden="1" customHeight="1">
      <c r="A362" s="58">
        <v>1.0</v>
      </c>
      <c r="B362" s="58"/>
      <c r="C362" s="58" t="s">
        <v>1714</v>
      </c>
      <c r="D362" s="72" t="s">
        <v>901</v>
      </c>
      <c r="E362" s="10"/>
      <c r="F362" s="10"/>
      <c r="G362" s="10"/>
      <c r="H362" s="10"/>
      <c r="I362" s="10"/>
      <c r="J362" s="10"/>
      <c r="K362" s="10"/>
      <c r="L362" s="10"/>
      <c r="M362" s="10"/>
      <c r="N362" s="10"/>
      <c r="O362" s="10"/>
      <c r="P362" s="10"/>
      <c r="Q362" s="10"/>
      <c r="R362" s="10"/>
      <c r="S362" s="10"/>
      <c r="T362" s="10"/>
      <c r="U362" s="10"/>
    </row>
    <row r="363" ht="15.75" customHeight="1">
      <c r="A363" s="58">
        <v>-1.0</v>
      </c>
      <c r="B363" s="188" t="s">
        <v>5694</v>
      </c>
      <c r="C363" s="58" t="s">
        <v>114</v>
      </c>
      <c r="D363" s="72" t="s">
        <v>44</v>
      </c>
      <c r="E363" s="73"/>
      <c r="F363" s="10"/>
      <c r="G363" s="10"/>
      <c r="H363" s="10"/>
      <c r="I363" s="10"/>
      <c r="J363" s="10"/>
      <c r="K363" s="10"/>
      <c r="L363" s="10"/>
      <c r="M363" s="10"/>
      <c r="N363" s="10"/>
      <c r="O363" s="10"/>
      <c r="P363" s="10"/>
      <c r="Q363" s="10"/>
      <c r="R363" s="10"/>
      <c r="S363" s="10"/>
      <c r="T363" s="10"/>
      <c r="U363" s="10"/>
    </row>
    <row r="364" ht="15.75" customHeight="1">
      <c r="A364" s="58">
        <v>-2.0</v>
      </c>
      <c r="B364" s="188" t="s">
        <v>5690</v>
      </c>
      <c r="C364" s="58" t="s">
        <v>114</v>
      </c>
      <c r="D364" s="72" t="s">
        <v>44</v>
      </c>
      <c r="E364" s="10"/>
      <c r="F364" s="16"/>
      <c r="G364" s="10"/>
      <c r="H364" s="10"/>
      <c r="I364" s="15"/>
      <c r="J364" s="10"/>
      <c r="K364" s="10"/>
      <c r="L364" s="10"/>
      <c r="M364" s="16"/>
      <c r="N364" s="10"/>
      <c r="O364" s="10"/>
      <c r="P364" s="10"/>
      <c r="Q364" s="10"/>
      <c r="R364" s="10"/>
      <c r="S364" s="10"/>
      <c r="T364" s="10"/>
      <c r="U364" s="10"/>
    </row>
    <row r="365" ht="15.75" customHeight="1">
      <c r="A365" s="58">
        <v>0.0</v>
      </c>
      <c r="B365" s="188" t="s">
        <v>5690</v>
      </c>
      <c r="C365" s="58" t="s">
        <v>114</v>
      </c>
      <c r="D365" s="72" t="s">
        <v>44</v>
      </c>
      <c r="E365" s="73"/>
      <c r="F365" s="10"/>
      <c r="G365" s="10"/>
      <c r="H365" s="10"/>
      <c r="I365" s="10"/>
      <c r="J365" s="10"/>
      <c r="K365" s="10"/>
      <c r="L365" s="10"/>
      <c r="M365" s="10"/>
      <c r="N365" s="10"/>
      <c r="O365" s="10"/>
      <c r="P365" s="10"/>
      <c r="Q365" s="10"/>
      <c r="R365" s="10"/>
      <c r="S365" s="10"/>
      <c r="T365" s="10"/>
      <c r="U365" s="10"/>
    </row>
    <row r="366" ht="15.75" customHeight="1">
      <c r="A366" s="10"/>
      <c r="B366" s="191"/>
      <c r="C366" s="10"/>
      <c r="D366" s="73"/>
      <c r="E366" s="73"/>
      <c r="F366" s="10"/>
      <c r="G366" s="10"/>
      <c r="H366" s="10"/>
      <c r="I366" s="10"/>
      <c r="J366" s="10"/>
      <c r="K366" s="10"/>
      <c r="L366" s="10"/>
      <c r="M366" s="10"/>
      <c r="N366" s="10"/>
      <c r="O366" s="10"/>
      <c r="P366" s="10"/>
      <c r="Q366" s="10"/>
      <c r="R366" s="10"/>
      <c r="S366" s="10"/>
      <c r="T366" s="10"/>
      <c r="U366" s="10"/>
    </row>
    <row r="367" ht="15.75" customHeight="1">
      <c r="A367" s="10"/>
      <c r="B367" s="191"/>
      <c r="C367" s="10"/>
      <c r="D367" s="73"/>
      <c r="E367" s="73"/>
      <c r="F367" s="10"/>
      <c r="G367" s="10"/>
      <c r="H367" s="10"/>
      <c r="I367" s="10"/>
      <c r="J367" s="10"/>
      <c r="K367" s="10"/>
      <c r="L367" s="10"/>
      <c r="M367" s="10"/>
      <c r="N367" s="10"/>
      <c r="O367" s="10"/>
      <c r="P367" s="10"/>
      <c r="Q367" s="10"/>
      <c r="R367" s="10"/>
      <c r="S367" s="10"/>
      <c r="T367" s="10"/>
      <c r="U367" s="10"/>
    </row>
    <row r="368" ht="15.75" customHeight="1">
      <c r="A368" s="10"/>
      <c r="B368" s="191"/>
      <c r="C368" s="10"/>
      <c r="D368" s="73"/>
      <c r="E368" s="73"/>
      <c r="F368" s="10"/>
      <c r="G368" s="10"/>
      <c r="H368" s="10"/>
      <c r="I368" s="10"/>
      <c r="J368" s="10"/>
      <c r="K368" s="10"/>
      <c r="L368" s="10"/>
      <c r="M368" s="10"/>
      <c r="N368" s="10"/>
      <c r="O368" s="10"/>
      <c r="P368" s="10"/>
      <c r="Q368" s="10"/>
      <c r="R368" s="10"/>
      <c r="S368" s="10"/>
      <c r="T368" s="10"/>
      <c r="U368" s="10"/>
    </row>
    <row r="369" ht="15.75" customHeight="1">
      <c r="A369" s="10"/>
      <c r="B369" s="191"/>
      <c r="C369" s="10"/>
      <c r="D369" s="73"/>
      <c r="E369" s="73"/>
      <c r="F369" s="10"/>
      <c r="G369" s="10"/>
      <c r="H369" s="10"/>
      <c r="I369" s="10"/>
      <c r="J369" s="10"/>
      <c r="K369" s="10"/>
      <c r="L369" s="10"/>
      <c r="M369" s="10"/>
      <c r="N369" s="10"/>
      <c r="O369" s="10"/>
      <c r="P369" s="10"/>
      <c r="Q369" s="10"/>
      <c r="R369" s="10"/>
      <c r="S369" s="10"/>
      <c r="T369" s="10"/>
      <c r="U369" s="10"/>
    </row>
    <row r="370" ht="15.75" customHeight="1">
      <c r="A370" s="10"/>
      <c r="B370" s="191"/>
      <c r="C370" s="10"/>
      <c r="D370" s="73"/>
      <c r="E370" s="73"/>
      <c r="F370" s="10"/>
      <c r="G370" s="10"/>
      <c r="H370" s="10"/>
      <c r="I370" s="10"/>
      <c r="J370" s="10"/>
      <c r="K370" s="10"/>
      <c r="L370" s="10"/>
      <c r="M370" s="10"/>
      <c r="N370" s="10"/>
      <c r="O370" s="10"/>
      <c r="P370" s="10"/>
      <c r="Q370" s="10"/>
      <c r="R370" s="10"/>
      <c r="S370" s="10"/>
      <c r="T370" s="10"/>
      <c r="U370" s="10"/>
    </row>
    <row r="371" ht="15.75" customHeight="1">
      <c r="A371" s="10"/>
      <c r="B371" s="191"/>
      <c r="C371" s="10"/>
      <c r="D371" s="73"/>
      <c r="E371" s="73"/>
      <c r="F371" s="10"/>
      <c r="G371" s="10"/>
      <c r="H371" s="10"/>
      <c r="I371" s="10"/>
      <c r="J371" s="10"/>
      <c r="K371" s="10"/>
      <c r="L371" s="10"/>
      <c r="M371" s="10"/>
      <c r="N371" s="10"/>
      <c r="O371" s="10"/>
      <c r="P371" s="10"/>
      <c r="Q371" s="10"/>
      <c r="R371" s="10"/>
      <c r="S371" s="10"/>
      <c r="T371" s="10"/>
      <c r="U371" s="10"/>
    </row>
    <row r="372" ht="15.75" customHeight="1">
      <c r="A372" s="10"/>
      <c r="B372" s="191"/>
      <c r="C372" s="10"/>
      <c r="D372" s="73"/>
      <c r="E372" s="73"/>
      <c r="F372" s="10"/>
      <c r="G372" s="10"/>
      <c r="H372" s="10"/>
      <c r="I372" s="10"/>
      <c r="J372" s="10"/>
      <c r="K372" s="10"/>
      <c r="L372" s="10"/>
      <c r="M372" s="10"/>
      <c r="N372" s="10"/>
      <c r="O372" s="10"/>
      <c r="P372" s="10"/>
      <c r="Q372" s="10"/>
      <c r="R372" s="10"/>
      <c r="S372" s="10"/>
      <c r="T372" s="10"/>
      <c r="U372" s="10"/>
    </row>
    <row r="373" ht="15.75" customHeight="1">
      <c r="A373" s="10"/>
      <c r="B373" s="191"/>
      <c r="C373" s="10"/>
      <c r="D373" s="73"/>
      <c r="E373" s="73"/>
      <c r="F373" s="10"/>
      <c r="G373" s="10"/>
      <c r="H373" s="10"/>
      <c r="I373" s="10"/>
      <c r="J373" s="10"/>
      <c r="K373" s="10"/>
      <c r="L373" s="10"/>
      <c r="M373" s="10"/>
      <c r="N373" s="10"/>
      <c r="O373" s="10"/>
      <c r="P373" s="10"/>
      <c r="Q373" s="10"/>
      <c r="R373" s="10"/>
      <c r="S373" s="10"/>
      <c r="T373" s="10"/>
      <c r="U373" s="10"/>
    </row>
    <row r="374" ht="15.75" customHeight="1">
      <c r="A374" s="10"/>
      <c r="B374" s="191"/>
      <c r="C374" s="10"/>
      <c r="D374" s="73"/>
      <c r="E374" s="73"/>
      <c r="F374" s="10"/>
      <c r="G374" s="10"/>
      <c r="H374" s="10"/>
      <c r="I374" s="10"/>
      <c r="J374" s="10"/>
      <c r="K374" s="10"/>
      <c r="L374" s="10"/>
      <c r="M374" s="10"/>
      <c r="N374" s="10"/>
      <c r="O374" s="10"/>
      <c r="P374" s="10"/>
      <c r="Q374" s="10"/>
      <c r="R374" s="10"/>
      <c r="S374" s="10"/>
      <c r="T374" s="10"/>
      <c r="U374" s="10"/>
    </row>
    <row r="375" ht="15.75" customHeight="1">
      <c r="A375" s="10"/>
      <c r="B375" s="191"/>
      <c r="C375" s="10"/>
      <c r="D375" s="73"/>
      <c r="E375" s="73"/>
      <c r="F375" s="10"/>
      <c r="G375" s="10"/>
      <c r="H375" s="10"/>
      <c r="I375" s="10"/>
      <c r="J375" s="10"/>
      <c r="K375" s="10"/>
      <c r="L375" s="10"/>
      <c r="M375" s="10"/>
      <c r="N375" s="10"/>
      <c r="O375" s="10"/>
      <c r="P375" s="10"/>
      <c r="Q375" s="10"/>
      <c r="R375" s="10"/>
      <c r="S375" s="10"/>
      <c r="T375" s="10"/>
      <c r="U375" s="10"/>
    </row>
    <row r="376" ht="15.75" customHeight="1">
      <c r="A376" s="10"/>
      <c r="B376" s="191"/>
      <c r="C376" s="10"/>
      <c r="D376" s="73"/>
      <c r="E376" s="73"/>
      <c r="F376" s="10"/>
      <c r="G376" s="10"/>
      <c r="H376" s="10"/>
      <c r="I376" s="10"/>
      <c r="J376" s="10"/>
      <c r="K376" s="10"/>
      <c r="L376" s="10"/>
      <c r="M376" s="10"/>
      <c r="N376" s="10"/>
      <c r="O376" s="10"/>
      <c r="P376" s="10"/>
      <c r="Q376" s="10"/>
      <c r="R376" s="10"/>
      <c r="S376" s="10"/>
      <c r="T376" s="10"/>
      <c r="U376" s="10"/>
    </row>
    <row r="377" ht="15.75" customHeight="1">
      <c r="A377" s="10"/>
      <c r="B377" s="191"/>
      <c r="C377" s="10"/>
      <c r="D377" s="73"/>
      <c r="E377" s="73"/>
      <c r="F377" s="10"/>
      <c r="G377" s="10"/>
      <c r="H377" s="10"/>
      <c r="I377" s="10"/>
      <c r="J377" s="10"/>
      <c r="K377" s="10"/>
      <c r="L377" s="10"/>
      <c r="M377" s="10"/>
      <c r="N377" s="10"/>
      <c r="O377" s="10"/>
      <c r="P377" s="10"/>
      <c r="Q377" s="10"/>
      <c r="R377" s="10"/>
      <c r="S377" s="10"/>
      <c r="T377" s="10"/>
      <c r="U377" s="10"/>
    </row>
    <row r="378" ht="15.75" customHeight="1">
      <c r="A378" s="10"/>
      <c r="B378" s="191"/>
      <c r="C378" s="10"/>
      <c r="D378" s="73"/>
      <c r="E378" s="73"/>
      <c r="F378" s="10"/>
      <c r="G378" s="10"/>
      <c r="H378" s="10"/>
      <c r="I378" s="10"/>
      <c r="J378" s="10"/>
      <c r="K378" s="10"/>
      <c r="L378" s="10"/>
      <c r="M378" s="10"/>
      <c r="N378" s="10"/>
      <c r="O378" s="10"/>
      <c r="P378" s="10"/>
      <c r="Q378" s="10"/>
      <c r="R378" s="10"/>
      <c r="S378" s="10"/>
      <c r="T378" s="10"/>
      <c r="U378" s="10"/>
    </row>
    <row r="379" ht="15.75" customHeight="1">
      <c r="A379" s="10"/>
      <c r="B379" s="191"/>
      <c r="C379" s="10"/>
      <c r="D379" s="73"/>
      <c r="E379" s="73"/>
      <c r="F379" s="10"/>
      <c r="G379" s="10"/>
      <c r="H379" s="10"/>
      <c r="I379" s="10"/>
      <c r="J379" s="10"/>
      <c r="K379" s="10"/>
      <c r="L379" s="10"/>
      <c r="M379" s="10"/>
      <c r="N379" s="10"/>
      <c r="O379" s="10"/>
      <c r="P379" s="10"/>
      <c r="Q379" s="10"/>
      <c r="R379" s="10"/>
      <c r="S379" s="10"/>
      <c r="T379" s="10"/>
      <c r="U379" s="10"/>
    </row>
    <row r="380" ht="15.75" customHeight="1">
      <c r="A380" s="10"/>
      <c r="B380" s="191"/>
      <c r="C380" s="10"/>
      <c r="D380" s="73"/>
      <c r="E380" s="73"/>
      <c r="F380" s="10"/>
      <c r="G380" s="10"/>
      <c r="H380" s="10"/>
      <c r="I380" s="10"/>
      <c r="J380" s="10"/>
      <c r="K380" s="10"/>
      <c r="L380" s="10"/>
      <c r="M380" s="10"/>
      <c r="N380" s="10"/>
      <c r="O380" s="10"/>
      <c r="P380" s="10"/>
      <c r="Q380" s="10"/>
      <c r="R380" s="10"/>
      <c r="S380" s="10"/>
      <c r="T380" s="10"/>
      <c r="U380" s="10"/>
    </row>
    <row r="381" ht="15.75" customHeight="1">
      <c r="A381" s="10"/>
      <c r="B381" s="191"/>
      <c r="C381" s="10"/>
      <c r="D381" s="73"/>
      <c r="E381" s="73"/>
      <c r="F381" s="10"/>
      <c r="G381" s="10"/>
      <c r="H381" s="10"/>
      <c r="I381" s="10"/>
      <c r="J381" s="10"/>
      <c r="K381" s="10"/>
      <c r="L381" s="10"/>
      <c r="M381" s="10"/>
      <c r="N381" s="10"/>
      <c r="O381" s="10"/>
      <c r="P381" s="10"/>
      <c r="Q381" s="10"/>
      <c r="R381" s="10"/>
      <c r="S381" s="10"/>
      <c r="T381" s="10"/>
      <c r="U381" s="10"/>
    </row>
    <row r="382" ht="15.75" customHeight="1">
      <c r="A382" s="10"/>
      <c r="B382" s="191"/>
      <c r="C382" s="10"/>
      <c r="D382" s="73"/>
      <c r="E382" s="73"/>
      <c r="F382" s="10"/>
      <c r="G382" s="10"/>
      <c r="H382" s="10"/>
      <c r="I382" s="10"/>
      <c r="J382" s="10"/>
      <c r="K382" s="10"/>
      <c r="L382" s="10"/>
      <c r="M382" s="10"/>
      <c r="N382" s="10"/>
      <c r="O382" s="10"/>
      <c r="P382" s="10"/>
      <c r="Q382" s="10"/>
      <c r="R382" s="10"/>
      <c r="S382" s="10"/>
      <c r="T382" s="10"/>
      <c r="U382" s="10"/>
    </row>
    <row r="383" ht="15.75" customHeight="1">
      <c r="A383" s="10"/>
      <c r="B383" s="191"/>
      <c r="C383" s="10"/>
      <c r="D383" s="73"/>
      <c r="E383" s="73"/>
      <c r="F383" s="10"/>
      <c r="G383" s="10"/>
      <c r="H383" s="10"/>
      <c r="I383" s="10"/>
      <c r="J383" s="10"/>
      <c r="K383" s="10"/>
      <c r="L383" s="10"/>
      <c r="M383" s="10"/>
      <c r="N383" s="10"/>
      <c r="O383" s="10"/>
      <c r="P383" s="10"/>
      <c r="Q383" s="10"/>
      <c r="R383" s="10"/>
      <c r="S383" s="10"/>
      <c r="T383" s="10"/>
      <c r="U383" s="10"/>
    </row>
    <row r="384" ht="15.75" customHeight="1">
      <c r="A384" s="10"/>
      <c r="B384" s="191"/>
      <c r="C384" s="10"/>
      <c r="D384" s="73"/>
      <c r="E384" s="73"/>
      <c r="F384" s="10"/>
      <c r="G384" s="10"/>
      <c r="H384" s="10"/>
      <c r="I384" s="10"/>
      <c r="J384" s="10"/>
      <c r="K384" s="10"/>
      <c r="L384" s="10"/>
      <c r="M384" s="10"/>
      <c r="N384" s="10"/>
      <c r="O384" s="10"/>
      <c r="P384" s="10"/>
      <c r="Q384" s="10"/>
      <c r="R384" s="10"/>
      <c r="S384" s="10"/>
      <c r="T384" s="10"/>
      <c r="U384" s="10"/>
    </row>
    <row r="385" ht="15.75" customHeight="1">
      <c r="A385" s="10"/>
      <c r="B385" s="191"/>
      <c r="C385" s="10"/>
      <c r="D385" s="73"/>
      <c r="E385" s="73"/>
      <c r="F385" s="10"/>
      <c r="G385" s="10"/>
      <c r="H385" s="10"/>
      <c r="I385" s="10"/>
      <c r="J385" s="10"/>
      <c r="K385" s="10"/>
      <c r="L385" s="10"/>
      <c r="M385" s="10"/>
      <c r="N385" s="10"/>
      <c r="O385" s="10"/>
      <c r="P385" s="10"/>
      <c r="Q385" s="10"/>
      <c r="R385" s="10"/>
      <c r="S385" s="10"/>
      <c r="T385" s="10"/>
      <c r="U385" s="10"/>
    </row>
    <row r="386" ht="15.75" customHeight="1">
      <c r="A386" s="10"/>
      <c r="B386" s="191"/>
      <c r="C386" s="10"/>
      <c r="D386" s="73"/>
      <c r="E386" s="73"/>
      <c r="F386" s="10"/>
      <c r="G386" s="10"/>
      <c r="H386" s="10"/>
      <c r="I386" s="10"/>
      <c r="J386" s="10"/>
      <c r="K386" s="10"/>
      <c r="L386" s="10"/>
      <c r="M386" s="10"/>
      <c r="N386" s="10"/>
      <c r="O386" s="10"/>
      <c r="P386" s="10"/>
      <c r="Q386" s="10"/>
      <c r="R386" s="10"/>
      <c r="S386" s="10"/>
      <c r="T386" s="10"/>
      <c r="U386" s="10"/>
    </row>
    <row r="387" ht="15.75" customHeight="1">
      <c r="A387" s="10"/>
      <c r="B387" s="191"/>
      <c r="C387" s="10"/>
      <c r="D387" s="73"/>
      <c r="E387" s="73"/>
      <c r="F387" s="10"/>
      <c r="G387" s="10"/>
      <c r="H387" s="10"/>
      <c r="I387" s="10"/>
      <c r="J387" s="10"/>
      <c r="K387" s="10"/>
      <c r="L387" s="10"/>
      <c r="M387" s="10"/>
      <c r="N387" s="10"/>
      <c r="O387" s="10"/>
      <c r="P387" s="10"/>
      <c r="Q387" s="10"/>
      <c r="R387" s="10"/>
      <c r="S387" s="10"/>
      <c r="T387" s="10"/>
      <c r="U387" s="10"/>
    </row>
    <row r="388" ht="15.75" customHeight="1">
      <c r="A388" s="10"/>
      <c r="B388" s="191"/>
      <c r="C388" s="10"/>
      <c r="D388" s="73"/>
      <c r="E388" s="73"/>
      <c r="F388" s="10"/>
      <c r="G388" s="10"/>
      <c r="H388" s="10"/>
      <c r="I388" s="10"/>
      <c r="J388" s="10"/>
      <c r="K388" s="10"/>
      <c r="L388" s="10"/>
      <c r="M388" s="10"/>
      <c r="N388" s="10"/>
      <c r="O388" s="10"/>
      <c r="P388" s="10"/>
      <c r="Q388" s="10"/>
      <c r="R388" s="10"/>
      <c r="S388" s="10"/>
      <c r="T388" s="10"/>
      <c r="U388" s="10"/>
    </row>
    <row r="389" ht="15.75" customHeight="1">
      <c r="A389" s="10"/>
      <c r="B389" s="191"/>
      <c r="C389" s="10"/>
      <c r="D389" s="73"/>
      <c r="E389" s="73"/>
      <c r="F389" s="10"/>
      <c r="G389" s="10"/>
      <c r="H389" s="10"/>
      <c r="I389" s="10"/>
      <c r="J389" s="10"/>
      <c r="K389" s="10"/>
      <c r="L389" s="10"/>
      <c r="M389" s="10"/>
      <c r="N389" s="10"/>
      <c r="O389" s="10"/>
      <c r="P389" s="10"/>
      <c r="Q389" s="10"/>
      <c r="R389" s="10"/>
      <c r="S389" s="10"/>
      <c r="T389" s="10"/>
      <c r="U389" s="10"/>
    </row>
    <row r="390" ht="15.75" customHeight="1">
      <c r="A390" s="10"/>
      <c r="B390" s="191"/>
      <c r="C390" s="10"/>
      <c r="D390" s="73"/>
      <c r="E390" s="73"/>
      <c r="F390" s="10"/>
      <c r="G390" s="10"/>
      <c r="H390" s="10"/>
      <c r="I390" s="10"/>
      <c r="J390" s="10"/>
      <c r="K390" s="10"/>
      <c r="L390" s="10"/>
      <c r="M390" s="10"/>
      <c r="N390" s="10"/>
      <c r="O390" s="10"/>
      <c r="P390" s="10"/>
      <c r="Q390" s="10"/>
      <c r="R390" s="10"/>
      <c r="S390" s="10"/>
      <c r="T390" s="10"/>
      <c r="U390" s="10"/>
    </row>
    <row r="391" ht="15.75" customHeight="1">
      <c r="A391" s="10"/>
      <c r="B391" s="191"/>
      <c r="C391" s="10"/>
      <c r="D391" s="73"/>
      <c r="E391" s="73"/>
      <c r="F391" s="10"/>
      <c r="G391" s="10"/>
      <c r="H391" s="10"/>
      <c r="I391" s="10"/>
      <c r="J391" s="10"/>
      <c r="K391" s="10"/>
      <c r="L391" s="10"/>
      <c r="M391" s="10"/>
      <c r="N391" s="10"/>
      <c r="O391" s="10"/>
      <c r="P391" s="10"/>
      <c r="Q391" s="10"/>
      <c r="R391" s="10"/>
      <c r="S391" s="10"/>
      <c r="T391" s="10"/>
      <c r="U391" s="10"/>
    </row>
    <row r="392" ht="15.75" customHeight="1">
      <c r="A392" s="10"/>
      <c r="B392" s="191"/>
      <c r="C392" s="10"/>
      <c r="D392" s="73"/>
      <c r="E392" s="73"/>
      <c r="F392" s="10"/>
      <c r="G392" s="10"/>
      <c r="H392" s="10"/>
      <c r="I392" s="10"/>
      <c r="J392" s="10"/>
      <c r="K392" s="10"/>
      <c r="L392" s="10"/>
      <c r="M392" s="10"/>
      <c r="N392" s="10"/>
      <c r="O392" s="10"/>
      <c r="P392" s="10"/>
      <c r="Q392" s="10"/>
      <c r="R392" s="10"/>
      <c r="S392" s="10"/>
      <c r="T392" s="10"/>
      <c r="U392" s="10"/>
    </row>
    <row r="393" ht="15.75" customHeight="1">
      <c r="A393" s="10"/>
      <c r="B393" s="191"/>
      <c r="C393" s="10"/>
      <c r="D393" s="73"/>
      <c r="E393" s="73"/>
      <c r="F393" s="10"/>
      <c r="G393" s="10"/>
      <c r="H393" s="10"/>
      <c r="I393" s="10"/>
      <c r="J393" s="10"/>
      <c r="K393" s="10"/>
      <c r="L393" s="10"/>
      <c r="M393" s="10"/>
      <c r="N393" s="10"/>
      <c r="O393" s="10"/>
      <c r="P393" s="10"/>
      <c r="Q393" s="10"/>
      <c r="R393" s="10"/>
      <c r="S393" s="10"/>
      <c r="T393" s="10"/>
      <c r="U393" s="10"/>
    </row>
    <row r="394" ht="15.75" customHeight="1">
      <c r="A394" s="10"/>
      <c r="B394" s="191"/>
      <c r="C394" s="10"/>
      <c r="D394" s="73"/>
      <c r="E394" s="73"/>
      <c r="F394" s="10"/>
      <c r="G394" s="10"/>
      <c r="H394" s="10"/>
      <c r="I394" s="10"/>
      <c r="J394" s="10"/>
      <c r="K394" s="10"/>
      <c r="L394" s="10"/>
      <c r="M394" s="10"/>
      <c r="N394" s="10"/>
      <c r="O394" s="10"/>
      <c r="P394" s="10"/>
      <c r="Q394" s="10"/>
      <c r="R394" s="10"/>
      <c r="S394" s="10"/>
      <c r="T394" s="10"/>
      <c r="U394" s="10"/>
    </row>
    <row r="395" ht="15.75" customHeight="1">
      <c r="A395" s="10"/>
      <c r="B395" s="191"/>
      <c r="C395" s="10"/>
      <c r="D395" s="73"/>
      <c r="E395" s="73"/>
      <c r="F395" s="10"/>
      <c r="G395" s="10"/>
      <c r="H395" s="10"/>
      <c r="I395" s="10"/>
      <c r="J395" s="10"/>
      <c r="K395" s="10"/>
      <c r="L395" s="10"/>
      <c r="M395" s="10"/>
      <c r="N395" s="10"/>
      <c r="O395" s="10"/>
      <c r="P395" s="10"/>
      <c r="Q395" s="10"/>
      <c r="R395" s="10"/>
      <c r="S395" s="10"/>
      <c r="T395" s="10"/>
      <c r="U395" s="10"/>
    </row>
    <row r="396" ht="15.75" customHeight="1">
      <c r="A396" s="10"/>
      <c r="B396" s="191"/>
      <c r="C396" s="10"/>
      <c r="D396" s="73"/>
      <c r="E396" s="73"/>
      <c r="F396" s="10"/>
      <c r="G396" s="10"/>
      <c r="H396" s="10"/>
      <c r="I396" s="10"/>
      <c r="J396" s="10"/>
      <c r="K396" s="10"/>
      <c r="L396" s="10"/>
      <c r="M396" s="10"/>
      <c r="N396" s="10"/>
      <c r="O396" s="10"/>
      <c r="P396" s="10"/>
      <c r="Q396" s="10"/>
      <c r="R396" s="10"/>
      <c r="S396" s="10"/>
      <c r="T396" s="10"/>
      <c r="U396" s="10"/>
    </row>
    <row r="397" ht="15.75" customHeight="1">
      <c r="A397" s="10"/>
      <c r="B397" s="191"/>
      <c r="C397" s="10"/>
      <c r="D397" s="73"/>
      <c r="E397" s="73"/>
      <c r="F397" s="10"/>
      <c r="G397" s="10"/>
      <c r="H397" s="10"/>
      <c r="I397" s="10"/>
      <c r="J397" s="10"/>
      <c r="K397" s="10"/>
      <c r="L397" s="10"/>
      <c r="M397" s="10"/>
      <c r="N397" s="10"/>
      <c r="O397" s="10"/>
      <c r="P397" s="10"/>
      <c r="Q397" s="10"/>
      <c r="R397" s="10"/>
      <c r="S397" s="10"/>
      <c r="T397" s="10"/>
      <c r="U397" s="10"/>
    </row>
    <row r="398" ht="15.75" customHeight="1">
      <c r="A398" s="10"/>
      <c r="B398" s="191"/>
      <c r="C398" s="10"/>
      <c r="D398" s="73"/>
      <c r="E398" s="73"/>
      <c r="F398" s="10"/>
      <c r="G398" s="10"/>
      <c r="H398" s="10"/>
      <c r="I398" s="10"/>
      <c r="J398" s="10"/>
      <c r="K398" s="10"/>
      <c r="L398" s="10"/>
      <c r="M398" s="10"/>
      <c r="N398" s="10"/>
      <c r="O398" s="10"/>
      <c r="P398" s="10"/>
      <c r="Q398" s="10"/>
      <c r="R398" s="10"/>
      <c r="S398" s="10"/>
      <c r="T398" s="10"/>
      <c r="U398" s="10"/>
    </row>
    <row r="399" ht="15.75" customHeight="1">
      <c r="A399" s="10"/>
      <c r="B399" s="191"/>
      <c r="C399" s="10"/>
      <c r="D399" s="73"/>
      <c r="E399" s="73"/>
      <c r="F399" s="10"/>
      <c r="G399" s="10"/>
      <c r="H399" s="10"/>
      <c r="I399" s="10"/>
      <c r="J399" s="10"/>
      <c r="K399" s="10"/>
      <c r="L399" s="10"/>
      <c r="M399" s="10"/>
      <c r="N399" s="10"/>
      <c r="O399" s="10"/>
      <c r="P399" s="10"/>
      <c r="Q399" s="10"/>
      <c r="R399" s="10"/>
      <c r="S399" s="10"/>
      <c r="T399" s="10"/>
      <c r="U399" s="10"/>
    </row>
    <row r="400" ht="15.75" customHeight="1">
      <c r="A400" s="10"/>
      <c r="B400" s="191"/>
      <c r="C400" s="10"/>
      <c r="D400" s="73"/>
      <c r="E400" s="73"/>
      <c r="F400" s="10"/>
      <c r="G400" s="10"/>
      <c r="H400" s="10"/>
      <c r="I400" s="10"/>
      <c r="J400" s="10"/>
      <c r="K400" s="10"/>
      <c r="L400" s="10"/>
      <c r="M400" s="10"/>
      <c r="N400" s="10"/>
      <c r="O400" s="10"/>
      <c r="P400" s="10"/>
      <c r="Q400" s="10"/>
      <c r="R400" s="10"/>
      <c r="S400" s="10"/>
      <c r="T400" s="10"/>
      <c r="U400" s="10"/>
    </row>
    <row r="401" ht="15.75" customHeight="1">
      <c r="A401" s="10"/>
      <c r="B401" s="191"/>
      <c r="C401" s="10"/>
      <c r="D401" s="73"/>
      <c r="E401" s="73"/>
      <c r="F401" s="10"/>
      <c r="G401" s="10"/>
      <c r="H401" s="10"/>
      <c r="I401" s="10"/>
      <c r="J401" s="10"/>
      <c r="K401" s="10"/>
      <c r="L401" s="10"/>
      <c r="M401" s="10"/>
      <c r="N401" s="10"/>
      <c r="O401" s="10"/>
      <c r="P401" s="10"/>
      <c r="Q401" s="10"/>
      <c r="R401" s="10"/>
      <c r="S401" s="10"/>
      <c r="T401" s="10"/>
      <c r="U401" s="10"/>
    </row>
    <row r="402" ht="15.75" customHeight="1">
      <c r="A402" s="10"/>
      <c r="B402" s="191"/>
      <c r="C402" s="10"/>
      <c r="D402" s="73"/>
      <c r="E402" s="73"/>
      <c r="F402" s="10"/>
      <c r="G402" s="10"/>
      <c r="H402" s="10"/>
      <c r="I402" s="10"/>
      <c r="J402" s="10"/>
      <c r="K402" s="10"/>
      <c r="L402" s="10"/>
      <c r="M402" s="10"/>
      <c r="N402" s="10"/>
      <c r="O402" s="10"/>
      <c r="P402" s="10"/>
      <c r="Q402" s="10"/>
      <c r="R402" s="10"/>
      <c r="S402" s="10"/>
      <c r="T402" s="10"/>
      <c r="U402" s="10"/>
    </row>
    <row r="403" ht="15.75" customHeight="1">
      <c r="A403" s="10"/>
      <c r="B403" s="191"/>
      <c r="C403" s="10"/>
      <c r="D403" s="73"/>
      <c r="E403" s="73"/>
      <c r="F403" s="10"/>
      <c r="G403" s="10"/>
      <c r="H403" s="10"/>
      <c r="I403" s="10"/>
      <c r="J403" s="10"/>
      <c r="K403" s="10"/>
      <c r="L403" s="10"/>
      <c r="M403" s="10"/>
      <c r="N403" s="10"/>
      <c r="O403" s="10"/>
      <c r="P403" s="10"/>
      <c r="Q403" s="10"/>
      <c r="R403" s="10"/>
      <c r="S403" s="10"/>
      <c r="T403" s="10"/>
      <c r="U403" s="10"/>
    </row>
    <row r="404" ht="15.75" customHeight="1">
      <c r="A404" s="10"/>
      <c r="B404" s="191"/>
      <c r="C404" s="10"/>
      <c r="D404" s="73"/>
      <c r="E404" s="73"/>
      <c r="F404" s="10"/>
      <c r="G404" s="10"/>
      <c r="H404" s="10"/>
      <c r="I404" s="10"/>
      <c r="J404" s="10"/>
      <c r="K404" s="10"/>
      <c r="L404" s="10"/>
      <c r="M404" s="10"/>
      <c r="N404" s="10"/>
      <c r="O404" s="10"/>
      <c r="P404" s="10"/>
      <c r="Q404" s="10"/>
      <c r="R404" s="10"/>
      <c r="S404" s="10"/>
      <c r="T404" s="10"/>
      <c r="U404" s="10"/>
    </row>
    <row r="405" ht="15.75" customHeight="1">
      <c r="A405" s="10"/>
      <c r="B405" s="191"/>
      <c r="C405" s="10"/>
      <c r="D405" s="73"/>
      <c r="E405" s="73"/>
      <c r="F405" s="10"/>
      <c r="G405" s="10"/>
      <c r="H405" s="10"/>
      <c r="I405" s="10"/>
      <c r="J405" s="10"/>
      <c r="K405" s="10"/>
      <c r="L405" s="10"/>
      <c r="M405" s="10"/>
      <c r="N405" s="10"/>
      <c r="O405" s="10"/>
      <c r="P405" s="10"/>
      <c r="Q405" s="10"/>
      <c r="R405" s="10"/>
      <c r="S405" s="10"/>
      <c r="T405" s="10"/>
      <c r="U405" s="10"/>
    </row>
    <row r="406" ht="15.75" customHeight="1">
      <c r="A406" s="10"/>
      <c r="B406" s="191"/>
      <c r="C406" s="10"/>
      <c r="D406" s="73"/>
      <c r="E406" s="73"/>
      <c r="F406" s="10"/>
      <c r="G406" s="10"/>
      <c r="H406" s="10"/>
      <c r="I406" s="10"/>
      <c r="J406" s="10"/>
      <c r="K406" s="10"/>
      <c r="L406" s="10"/>
      <c r="M406" s="10"/>
      <c r="N406" s="10"/>
      <c r="O406" s="10"/>
      <c r="P406" s="10"/>
      <c r="Q406" s="10"/>
      <c r="R406" s="10"/>
      <c r="S406" s="10"/>
      <c r="T406" s="10"/>
      <c r="U406" s="10"/>
    </row>
    <row r="407" ht="15.75" customHeight="1">
      <c r="A407" s="10"/>
      <c r="B407" s="191"/>
      <c r="C407" s="10"/>
      <c r="D407" s="73"/>
      <c r="E407" s="73"/>
      <c r="F407" s="10"/>
      <c r="G407" s="10"/>
      <c r="H407" s="10"/>
      <c r="I407" s="10"/>
      <c r="J407" s="10"/>
      <c r="K407" s="10"/>
      <c r="L407" s="10"/>
      <c r="M407" s="10"/>
      <c r="N407" s="10"/>
      <c r="O407" s="10"/>
      <c r="P407" s="10"/>
      <c r="Q407" s="10"/>
      <c r="R407" s="10"/>
      <c r="S407" s="10"/>
      <c r="T407" s="10"/>
      <c r="U407" s="10"/>
    </row>
    <row r="408" ht="15.75" customHeight="1">
      <c r="A408" s="10"/>
      <c r="B408" s="191"/>
      <c r="C408" s="10"/>
      <c r="D408" s="73"/>
      <c r="E408" s="73"/>
      <c r="F408" s="10"/>
      <c r="G408" s="10"/>
      <c r="H408" s="10"/>
      <c r="I408" s="10"/>
      <c r="J408" s="10"/>
      <c r="K408" s="10"/>
      <c r="L408" s="10"/>
      <c r="M408" s="10"/>
      <c r="N408" s="10"/>
      <c r="O408" s="10"/>
      <c r="P408" s="10"/>
      <c r="Q408" s="10"/>
      <c r="R408" s="10"/>
      <c r="S408" s="10"/>
      <c r="T408" s="10"/>
      <c r="U408" s="10"/>
    </row>
    <row r="409" ht="15.75" customHeight="1">
      <c r="A409" s="10"/>
      <c r="B409" s="191"/>
      <c r="C409" s="10"/>
      <c r="D409" s="73"/>
      <c r="E409" s="73"/>
      <c r="F409" s="10"/>
      <c r="G409" s="10"/>
      <c r="H409" s="10"/>
      <c r="I409" s="10"/>
      <c r="J409" s="10"/>
      <c r="K409" s="10"/>
      <c r="L409" s="10"/>
      <c r="M409" s="10"/>
      <c r="N409" s="10"/>
      <c r="O409" s="10"/>
      <c r="P409" s="10"/>
      <c r="Q409" s="10"/>
      <c r="R409" s="10"/>
      <c r="S409" s="10"/>
      <c r="T409" s="10"/>
      <c r="U409" s="10"/>
    </row>
    <row r="410" ht="15.75" customHeight="1">
      <c r="A410" s="10"/>
      <c r="B410" s="191"/>
      <c r="C410" s="10"/>
      <c r="D410" s="73"/>
      <c r="E410" s="73"/>
      <c r="F410" s="10"/>
      <c r="G410" s="10"/>
      <c r="H410" s="10"/>
      <c r="I410" s="10"/>
      <c r="J410" s="10"/>
      <c r="K410" s="10"/>
      <c r="L410" s="10"/>
      <c r="M410" s="10"/>
      <c r="N410" s="10"/>
      <c r="O410" s="10"/>
      <c r="P410" s="10"/>
      <c r="Q410" s="10"/>
      <c r="R410" s="10"/>
      <c r="S410" s="10"/>
      <c r="T410" s="10"/>
      <c r="U410" s="10"/>
    </row>
    <row r="411" ht="15.75" customHeight="1">
      <c r="A411" s="10"/>
      <c r="B411" s="191"/>
      <c r="C411" s="10"/>
      <c r="D411" s="73"/>
      <c r="E411" s="73"/>
      <c r="F411" s="10"/>
      <c r="G411" s="10"/>
      <c r="H411" s="10"/>
      <c r="I411" s="10"/>
      <c r="J411" s="10"/>
      <c r="K411" s="10"/>
      <c r="L411" s="10"/>
      <c r="M411" s="10"/>
      <c r="N411" s="10"/>
      <c r="O411" s="10"/>
      <c r="P411" s="10"/>
      <c r="Q411" s="10"/>
      <c r="R411" s="10"/>
      <c r="S411" s="10"/>
      <c r="T411" s="10"/>
      <c r="U411" s="10"/>
    </row>
    <row r="412" ht="15.75" customHeight="1">
      <c r="A412" s="10"/>
      <c r="B412" s="191"/>
      <c r="C412" s="10"/>
      <c r="D412" s="73"/>
      <c r="E412" s="73"/>
      <c r="F412" s="10"/>
      <c r="G412" s="10"/>
      <c r="H412" s="10"/>
      <c r="I412" s="10"/>
      <c r="J412" s="10"/>
      <c r="K412" s="10"/>
      <c r="L412" s="10"/>
      <c r="M412" s="10"/>
      <c r="N412" s="10"/>
      <c r="O412" s="10"/>
      <c r="P412" s="10"/>
      <c r="Q412" s="10"/>
      <c r="R412" s="10"/>
      <c r="S412" s="10"/>
      <c r="T412" s="10"/>
      <c r="U412" s="10"/>
    </row>
    <row r="413" ht="15.75" customHeight="1">
      <c r="A413" s="10"/>
      <c r="B413" s="191"/>
      <c r="C413" s="10"/>
      <c r="D413" s="73"/>
      <c r="E413" s="73"/>
      <c r="F413" s="10"/>
      <c r="G413" s="10"/>
      <c r="H413" s="10"/>
      <c r="I413" s="10"/>
      <c r="J413" s="10"/>
      <c r="K413" s="10"/>
      <c r="L413" s="10"/>
      <c r="M413" s="10"/>
      <c r="N413" s="10"/>
      <c r="O413" s="10"/>
      <c r="P413" s="10"/>
      <c r="Q413" s="10"/>
      <c r="R413" s="10"/>
      <c r="S413" s="10"/>
      <c r="T413" s="10"/>
      <c r="U413" s="10"/>
    </row>
    <row r="414" ht="15.75" customHeight="1">
      <c r="A414" s="10"/>
      <c r="B414" s="191"/>
      <c r="C414" s="10"/>
      <c r="D414" s="73"/>
      <c r="E414" s="73"/>
      <c r="F414" s="10"/>
      <c r="G414" s="10"/>
      <c r="H414" s="10"/>
      <c r="I414" s="10"/>
      <c r="J414" s="10"/>
      <c r="K414" s="10"/>
      <c r="L414" s="10"/>
      <c r="M414" s="10"/>
      <c r="N414" s="10"/>
      <c r="O414" s="10"/>
      <c r="P414" s="10"/>
      <c r="Q414" s="10"/>
      <c r="R414" s="10"/>
      <c r="S414" s="10"/>
      <c r="T414" s="10"/>
      <c r="U414" s="10"/>
    </row>
    <row r="415" ht="15.75" customHeight="1">
      <c r="A415" s="10"/>
      <c r="B415" s="191"/>
      <c r="C415" s="10"/>
      <c r="D415" s="73"/>
      <c r="E415" s="73"/>
      <c r="F415" s="10"/>
      <c r="G415" s="10"/>
      <c r="H415" s="10"/>
      <c r="I415" s="10"/>
      <c r="J415" s="10"/>
      <c r="K415" s="10"/>
      <c r="L415" s="10"/>
      <c r="M415" s="10"/>
      <c r="N415" s="10"/>
      <c r="O415" s="10"/>
      <c r="P415" s="10"/>
      <c r="Q415" s="10"/>
      <c r="R415" s="10"/>
      <c r="S415" s="10"/>
      <c r="T415" s="10"/>
      <c r="U415" s="10"/>
    </row>
    <row r="416" ht="15.75" customHeight="1">
      <c r="A416" s="10"/>
      <c r="B416" s="191"/>
      <c r="C416" s="10"/>
      <c r="D416" s="73"/>
      <c r="E416" s="73"/>
      <c r="F416" s="10"/>
      <c r="G416" s="10"/>
      <c r="H416" s="10"/>
      <c r="I416" s="10"/>
      <c r="J416" s="10"/>
      <c r="K416" s="10"/>
      <c r="L416" s="10"/>
      <c r="M416" s="10"/>
      <c r="N416" s="10"/>
      <c r="O416" s="10"/>
      <c r="P416" s="10"/>
      <c r="Q416" s="10"/>
      <c r="R416" s="10"/>
      <c r="S416" s="10"/>
      <c r="T416" s="10"/>
      <c r="U416" s="10"/>
    </row>
    <row r="417" ht="15.75" customHeight="1">
      <c r="A417" s="10"/>
      <c r="B417" s="191"/>
      <c r="C417" s="10"/>
      <c r="D417" s="73"/>
      <c r="E417" s="73"/>
      <c r="F417" s="10"/>
      <c r="G417" s="10"/>
      <c r="H417" s="10"/>
      <c r="I417" s="10"/>
      <c r="J417" s="10"/>
      <c r="K417" s="10"/>
      <c r="L417" s="10"/>
      <c r="M417" s="10"/>
      <c r="N417" s="10"/>
      <c r="O417" s="10"/>
      <c r="P417" s="10"/>
      <c r="Q417" s="10"/>
      <c r="R417" s="10"/>
      <c r="S417" s="10"/>
      <c r="T417" s="10"/>
      <c r="U417" s="10"/>
    </row>
    <row r="418" ht="15.75" customHeight="1">
      <c r="A418" s="10"/>
      <c r="B418" s="191"/>
      <c r="C418" s="10"/>
      <c r="D418" s="73"/>
      <c r="E418" s="73"/>
      <c r="F418" s="10"/>
      <c r="G418" s="10"/>
      <c r="H418" s="10"/>
      <c r="I418" s="10"/>
      <c r="J418" s="10"/>
      <c r="K418" s="10"/>
      <c r="L418" s="10"/>
      <c r="M418" s="10"/>
      <c r="N418" s="10"/>
      <c r="O418" s="10"/>
      <c r="P418" s="10"/>
      <c r="Q418" s="10"/>
      <c r="R418" s="10"/>
      <c r="S418" s="10"/>
      <c r="T418" s="10"/>
      <c r="U418" s="10"/>
    </row>
    <row r="419" ht="15.75" customHeight="1">
      <c r="A419" s="10"/>
      <c r="B419" s="191"/>
      <c r="C419" s="10"/>
      <c r="D419" s="73"/>
      <c r="E419" s="73"/>
      <c r="F419" s="10"/>
      <c r="G419" s="10"/>
      <c r="H419" s="10"/>
      <c r="I419" s="10"/>
      <c r="J419" s="10"/>
      <c r="K419" s="10"/>
      <c r="L419" s="10"/>
      <c r="M419" s="10"/>
      <c r="N419" s="10"/>
      <c r="O419" s="10"/>
      <c r="P419" s="10"/>
      <c r="Q419" s="10"/>
      <c r="R419" s="10"/>
      <c r="S419" s="10"/>
      <c r="T419" s="10"/>
      <c r="U419" s="10"/>
    </row>
    <row r="420" ht="15.75" customHeight="1">
      <c r="A420" s="10"/>
      <c r="B420" s="191"/>
      <c r="C420" s="10"/>
      <c r="D420" s="73"/>
      <c r="E420" s="73"/>
      <c r="F420" s="10"/>
      <c r="G420" s="10"/>
      <c r="H420" s="10"/>
      <c r="I420" s="10"/>
      <c r="J420" s="10"/>
      <c r="K420" s="10"/>
      <c r="L420" s="10"/>
      <c r="M420" s="10"/>
      <c r="N420" s="10"/>
      <c r="O420" s="10"/>
      <c r="P420" s="10"/>
      <c r="Q420" s="10"/>
      <c r="R420" s="10"/>
      <c r="S420" s="10"/>
      <c r="T420" s="10"/>
      <c r="U420" s="10"/>
    </row>
    <row r="421" ht="15.75" customHeight="1">
      <c r="A421" s="10"/>
      <c r="B421" s="191"/>
      <c r="C421" s="10"/>
      <c r="D421" s="73"/>
      <c r="E421" s="73"/>
      <c r="F421" s="10"/>
      <c r="G421" s="10"/>
      <c r="H421" s="10"/>
      <c r="I421" s="10"/>
      <c r="J421" s="10"/>
      <c r="K421" s="10"/>
      <c r="L421" s="10"/>
      <c r="M421" s="10"/>
      <c r="N421" s="10"/>
      <c r="O421" s="10"/>
      <c r="P421" s="10"/>
      <c r="Q421" s="10"/>
      <c r="R421" s="10"/>
      <c r="S421" s="10"/>
      <c r="T421" s="10"/>
      <c r="U421" s="10"/>
    </row>
    <row r="422" ht="15.75" customHeight="1">
      <c r="A422" s="10"/>
      <c r="B422" s="191"/>
      <c r="C422" s="10"/>
      <c r="D422" s="73"/>
      <c r="E422" s="73"/>
      <c r="F422" s="10"/>
      <c r="G422" s="10"/>
      <c r="H422" s="10"/>
      <c r="I422" s="10"/>
      <c r="J422" s="10"/>
      <c r="K422" s="10"/>
      <c r="L422" s="10"/>
      <c r="M422" s="10"/>
      <c r="N422" s="10"/>
      <c r="O422" s="10"/>
      <c r="P422" s="10"/>
      <c r="Q422" s="10"/>
      <c r="R422" s="10"/>
      <c r="S422" s="10"/>
      <c r="T422" s="10"/>
      <c r="U422" s="10"/>
    </row>
    <row r="423" ht="15.75" customHeight="1">
      <c r="A423" s="10"/>
      <c r="B423" s="191"/>
      <c r="C423" s="10"/>
      <c r="D423" s="73"/>
      <c r="E423" s="73"/>
      <c r="F423" s="10"/>
      <c r="G423" s="10"/>
      <c r="H423" s="10"/>
      <c r="I423" s="10"/>
      <c r="J423" s="10"/>
      <c r="K423" s="10"/>
      <c r="L423" s="10"/>
      <c r="M423" s="10"/>
      <c r="N423" s="10"/>
      <c r="O423" s="10"/>
      <c r="P423" s="10"/>
      <c r="Q423" s="10"/>
      <c r="R423" s="10"/>
      <c r="S423" s="10"/>
      <c r="T423" s="10"/>
      <c r="U423" s="10"/>
    </row>
    <row r="424" ht="15.75" customHeight="1">
      <c r="A424" s="10"/>
      <c r="B424" s="191"/>
      <c r="C424" s="10"/>
      <c r="D424" s="73"/>
      <c r="E424" s="73"/>
      <c r="F424" s="10"/>
      <c r="G424" s="10"/>
      <c r="H424" s="10"/>
      <c r="I424" s="10"/>
      <c r="J424" s="10"/>
      <c r="K424" s="10"/>
      <c r="L424" s="10"/>
      <c r="M424" s="10"/>
      <c r="N424" s="10"/>
      <c r="O424" s="10"/>
      <c r="P424" s="10"/>
      <c r="Q424" s="10"/>
      <c r="R424" s="10"/>
      <c r="S424" s="10"/>
      <c r="T424" s="10"/>
      <c r="U424" s="10"/>
    </row>
    <row r="425" ht="15.75" customHeight="1">
      <c r="A425" s="10"/>
      <c r="B425" s="191"/>
      <c r="C425" s="10"/>
      <c r="D425" s="73"/>
      <c r="E425" s="73"/>
      <c r="F425" s="10"/>
      <c r="G425" s="10"/>
      <c r="H425" s="10"/>
      <c r="I425" s="10"/>
      <c r="J425" s="10"/>
      <c r="K425" s="10"/>
      <c r="L425" s="10"/>
      <c r="M425" s="10"/>
      <c r="N425" s="10"/>
      <c r="O425" s="10"/>
      <c r="P425" s="10"/>
      <c r="Q425" s="10"/>
      <c r="R425" s="10"/>
      <c r="S425" s="10"/>
      <c r="T425" s="10"/>
      <c r="U425" s="10"/>
    </row>
    <row r="426" ht="15.75" customHeight="1">
      <c r="A426" s="10"/>
      <c r="B426" s="191"/>
      <c r="C426" s="10"/>
      <c r="D426" s="73"/>
      <c r="E426" s="73"/>
      <c r="F426" s="10"/>
      <c r="G426" s="10"/>
      <c r="H426" s="10"/>
      <c r="I426" s="10"/>
      <c r="J426" s="10"/>
      <c r="K426" s="10"/>
      <c r="L426" s="10"/>
      <c r="M426" s="10"/>
      <c r="N426" s="10"/>
      <c r="O426" s="10"/>
      <c r="P426" s="10"/>
      <c r="Q426" s="10"/>
      <c r="R426" s="10"/>
      <c r="S426" s="10"/>
      <c r="T426" s="10"/>
      <c r="U426" s="10"/>
    </row>
    <row r="427" ht="15.75" customHeight="1">
      <c r="A427" s="10"/>
      <c r="B427" s="191"/>
      <c r="C427" s="10"/>
      <c r="D427" s="73"/>
      <c r="E427" s="73"/>
      <c r="F427" s="10"/>
      <c r="G427" s="10"/>
      <c r="H427" s="10"/>
      <c r="I427" s="10"/>
      <c r="J427" s="10"/>
      <c r="K427" s="10"/>
      <c r="L427" s="10"/>
      <c r="M427" s="10"/>
      <c r="N427" s="10"/>
      <c r="O427" s="10"/>
      <c r="P427" s="10"/>
      <c r="Q427" s="10"/>
      <c r="R427" s="10"/>
      <c r="S427" s="10"/>
      <c r="T427" s="10"/>
      <c r="U427" s="10"/>
    </row>
    <row r="428" ht="15.75" customHeight="1">
      <c r="A428" s="10"/>
      <c r="B428" s="191"/>
      <c r="C428" s="10"/>
      <c r="D428" s="73"/>
      <c r="E428" s="73"/>
      <c r="F428" s="10"/>
      <c r="G428" s="10"/>
      <c r="H428" s="10"/>
      <c r="I428" s="10"/>
      <c r="J428" s="10"/>
      <c r="K428" s="10"/>
      <c r="L428" s="10"/>
      <c r="M428" s="10"/>
      <c r="N428" s="10"/>
      <c r="O428" s="10"/>
      <c r="P428" s="10"/>
      <c r="Q428" s="10"/>
      <c r="R428" s="10"/>
      <c r="S428" s="10"/>
      <c r="T428" s="10"/>
      <c r="U428" s="10"/>
    </row>
    <row r="429" ht="15.75" customHeight="1">
      <c r="A429" s="10"/>
      <c r="B429" s="191"/>
      <c r="C429" s="10"/>
      <c r="D429" s="73"/>
      <c r="E429" s="73"/>
      <c r="F429" s="10"/>
      <c r="G429" s="10"/>
      <c r="H429" s="10"/>
      <c r="I429" s="10"/>
      <c r="J429" s="10"/>
      <c r="K429" s="10"/>
      <c r="L429" s="10"/>
      <c r="M429" s="10"/>
      <c r="N429" s="10"/>
      <c r="O429" s="10"/>
      <c r="P429" s="10"/>
      <c r="Q429" s="10"/>
      <c r="R429" s="10"/>
      <c r="S429" s="10"/>
      <c r="T429" s="10"/>
      <c r="U429" s="10"/>
    </row>
    <row r="430" ht="15.75" customHeight="1">
      <c r="A430" s="10"/>
      <c r="B430" s="191"/>
      <c r="C430" s="10"/>
      <c r="D430" s="73"/>
      <c r="E430" s="73"/>
      <c r="F430" s="10"/>
      <c r="G430" s="10"/>
      <c r="H430" s="10"/>
      <c r="I430" s="10"/>
      <c r="J430" s="10"/>
      <c r="K430" s="10"/>
      <c r="L430" s="10"/>
      <c r="M430" s="10"/>
      <c r="N430" s="10"/>
      <c r="O430" s="10"/>
      <c r="P430" s="10"/>
      <c r="Q430" s="10"/>
      <c r="R430" s="10"/>
      <c r="S430" s="10"/>
      <c r="T430" s="10"/>
      <c r="U430" s="10"/>
    </row>
    <row r="431" ht="15.75" customHeight="1">
      <c r="A431" s="10"/>
      <c r="B431" s="191"/>
      <c r="C431" s="10"/>
      <c r="D431" s="73"/>
      <c r="E431" s="73"/>
      <c r="F431" s="10"/>
      <c r="G431" s="10"/>
      <c r="H431" s="10"/>
      <c r="I431" s="10"/>
      <c r="J431" s="10"/>
      <c r="K431" s="10"/>
      <c r="L431" s="10"/>
      <c r="M431" s="10"/>
      <c r="N431" s="10"/>
      <c r="O431" s="10"/>
      <c r="P431" s="10"/>
      <c r="Q431" s="10"/>
      <c r="R431" s="10"/>
      <c r="S431" s="10"/>
      <c r="T431" s="10"/>
      <c r="U431" s="10"/>
    </row>
    <row r="432" ht="15.75" customHeight="1">
      <c r="A432" s="10"/>
      <c r="B432" s="191"/>
      <c r="C432" s="10"/>
      <c r="D432" s="73"/>
      <c r="E432" s="73"/>
      <c r="F432" s="10"/>
      <c r="G432" s="10"/>
      <c r="H432" s="10"/>
      <c r="I432" s="10"/>
      <c r="J432" s="10"/>
      <c r="K432" s="10"/>
      <c r="L432" s="10"/>
      <c r="M432" s="10"/>
      <c r="N432" s="10"/>
      <c r="O432" s="10"/>
      <c r="P432" s="10"/>
      <c r="Q432" s="10"/>
      <c r="R432" s="10"/>
      <c r="S432" s="10"/>
      <c r="T432" s="10"/>
      <c r="U432" s="10"/>
    </row>
    <row r="433" ht="15.75" customHeight="1">
      <c r="A433" s="10"/>
      <c r="B433" s="191"/>
      <c r="C433" s="10"/>
      <c r="D433" s="73"/>
      <c r="E433" s="73"/>
      <c r="F433" s="10"/>
      <c r="G433" s="10"/>
      <c r="H433" s="10"/>
      <c r="I433" s="10"/>
      <c r="J433" s="10"/>
      <c r="K433" s="10"/>
      <c r="L433" s="10"/>
      <c r="M433" s="10"/>
      <c r="N433" s="10"/>
      <c r="O433" s="10"/>
      <c r="P433" s="10"/>
      <c r="Q433" s="10"/>
      <c r="R433" s="10"/>
      <c r="S433" s="10"/>
      <c r="T433" s="10"/>
      <c r="U433" s="10"/>
    </row>
    <row r="434" ht="15.75" customHeight="1">
      <c r="A434" s="10"/>
      <c r="B434" s="191"/>
      <c r="C434" s="10"/>
      <c r="D434" s="73"/>
      <c r="E434" s="73"/>
      <c r="F434" s="10"/>
      <c r="G434" s="10"/>
      <c r="H434" s="10"/>
      <c r="I434" s="10"/>
      <c r="J434" s="10"/>
      <c r="K434" s="10"/>
      <c r="L434" s="10"/>
      <c r="M434" s="10"/>
      <c r="N434" s="10"/>
      <c r="O434" s="10"/>
      <c r="P434" s="10"/>
      <c r="Q434" s="10"/>
      <c r="R434" s="10"/>
      <c r="S434" s="10"/>
      <c r="T434" s="10"/>
      <c r="U434" s="10"/>
    </row>
    <row r="435" ht="15.75" customHeight="1">
      <c r="A435" s="10"/>
      <c r="B435" s="191"/>
      <c r="C435" s="10"/>
      <c r="D435" s="73"/>
      <c r="E435" s="73"/>
      <c r="F435" s="10"/>
      <c r="G435" s="10"/>
      <c r="H435" s="10"/>
      <c r="I435" s="10"/>
      <c r="J435" s="10"/>
      <c r="K435" s="10"/>
      <c r="L435" s="10"/>
      <c r="M435" s="10"/>
      <c r="N435" s="10"/>
      <c r="O435" s="10"/>
      <c r="P435" s="10"/>
      <c r="Q435" s="10"/>
      <c r="R435" s="10"/>
      <c r="S435" s="10"/>
      <c r="T435" s="10"/>
      <c r="U435" s="10"/>
    </row>
    <row r="436" ht="15.75" customHeight="1">
      <c r="A436" s="10"/>
      <c r="B436" s="191"/>
      <c r="C436" s="10"/>
      <c r="D436" s="73"/>
      <c r="E436" s="73"/>
      <c r="F436" s="10"/>
      <c r="G436" s="10"/>
      <c r="H436" s="10"/>
      <c r="I436" s="10"/>
      <c r="J436" s="10"/>
      <c r="K436" s="10"/>
      <c r="L436" s="10"/>
      <c r="M436" s="10"/>
      <c r="N436" s="10"/>
      <c r="O436" s="10"/>
      <c r="P436" s="10"/>
      <c r="Q436" s="10"/>
      <c r="R436" s="10"/>
      <c r="S436" s="10"/>
      <c r="T436" s="10"/>
      <c r="U436" s="10"/>
    </row>
    <row r="437" ht="15.75" customHeight="1">
      <c r="A437" s="10"/>
      <c r="B437" s="191"/>
      <c r="C437" s="10"/>
      <c r="D437" s="73"/>
      <c r="E437" s="73"/>
      <c r="F437" s="10"/>
      <c r="G437" s="10"/>
      <c r="H437" s="10"/>
      <c r="I437" s="10"/>
      <c r="J437" s="10"/>
      <c r="K437" s="10"/>
      <c r="L437" s="10"/>
      <c r="M437" s="10"/>
      <c r="N437" s="10"/>
      <c r="O437" s="10"/>
      <c r="P437" s="10"/>
      <c r="Q437" s="10"/>
      <c r="R437" s="10"/>
      <c r="S437" s="10"/>
      <c r="T437" s="10"/>
      <c r="U437" s="10"/>
    </row>
    <row r="438" ht="15.75" customHeight="1">
      <c r="A438" s="10"/>
      <c r="B438" s="191"/>
      <c r="C438" s="10"/>
      <c r="D438" s="73"/>
      <c r="E438" s="73"/>
      <c r="F438" s="10"/>
      <c r="G438" s="10"/>
      <c r="H438" s="10"/>
      <c r="I438" s="10"/>
      <c r="J438" s="10"/>
      <c r="K438" s="10"/>
      <c r="L438" s="10"/>
      <c r="M438" s="10"/>
      <c r="N438" s="10"/>
      <c r="O438" s="10"/>
      <c r="P438" s="10"/>
      <c r="Q438" s="10"/>
      <c r="R438" s="10"/>
      <c r="S438" s="10"/>
      <c r="T438" s="10"/>
      <c r="U438" s="10"/>
    </row>
    <row r="439" ht="15.75" customHeight="1">
      <c r="A439" s="10"/>
      <c r="B439" s="191"/>
      <c r="C439" s="10"/>
      <c r="D439" s="73"/>
      <c r="E439" s="73"/>
      <c r="F439" s="10"/>
      <c r="G439" s="10"/>
      <c r="H439" s="10"/>
      <c r="I439" s="10"/>
      <c r="J439" s="10"/>
      <c r="K439" s="10"/>
      <c r="L439" s="10"/>
      <c r="M439" s="10"/>
      <c r="N439" s="10"/>
      <c r="O439" s="10"/>
      <c r="P439" s="10"/>
      <c r="Q439" s="10"/>
      <c r="R439" s="10"/>
      <c r="S439" s="10"/>
      <c r="T439" s="10"/>
      <c r="U439" s="10"/>
    </row>
    <row r="440" ht="15.75" customHeight="1">
      <c r="A440" s="10"/>
      <c r="B440" s="191"/>
      <c r="C440" s="10"/>
      <c r="D440" s="73"/>
      <c r="E440" s="73"/>
      <c r="F440" s="10"/>
      <c r="G440" s="10"/>
      <c r="H440" s="10"/>
      <c r="I440" s="10"/>
      <c r="J440" s="10"/>
      <c r="K440" s="10"/>
      <c r="L440" s="10"/>
      <c r="M440" s="10"/>
      <c r="N440" s="10"/>
      <c r="O440" s="10"/>
      <c r="P440" s="10"/>
      <c r="Q440" s="10"/>
      <c r="R440" s="10"/>
      <c r="S440" s="10"/>
      <c r="T440" s="10"/>
      <c r="U440" s="10"/>
    </row>
    <row r="441" ht="15.75" customHeight="1">
      <c r="A441" s="10"/>
      <c r="B441" s="191"/>
      <c r="C441" s="10"/>
      <c r="D441" s="73"/>
      <c r="E441" s="73"/>
      <c r="F441" s="10"/>
      <c r="G441" s="10"/>
      <c r="H441" s="10"/>
      <c r="I441" s="10"/>
      <c r="J441" s="10"/>
      <c r="K441" s="10"/>
      <c r="L441" s="10"/>
      <c r="M441" s="10"/>
      <c r="N441" s="10"/>
      <c r="O441" s="10"/>
      <c r="P441" s="10"/>
      <c r="Q441" s="10"/>
      <c r="R441" s="10"/>
      <c r="S441" s="10"/>
      <c r="T441" s="10"/>
      <c r="U441" s="10"/>
    </row>
    <row r="442" ht="15.75" customHeight="1">
      <c r="A442" s="10"/>
      <c r="B442" s="191"/>
      <c r="C442" s="10"/>
      <c r="D442" s="73"/>
      <c r="E442" s="73"/>
      <c r="F442" s="10"/>
      <c r="G442" s="10"/>
      <c r="H442" s="10"/>
      <c r="I442" s="10"/>
      <c r="J442" s="10"/>
      <c r="K442" s="10"/>
      <c r="L442" s="10"/>
      <c r="M442" s="10"/>
      <c r="N442" s="10"/>
      <c r="O442" s="10"/>
      <c r="P442" s="10"/>
      <c r="Q442" s="10"/>
      <c r="R442" s="10"/>
      <c r="S442" s="10"/>
      <c r="T442" s="10"/>
      <c r="U442" s="10"/>
    </row>
    <row r="443" ht="15.75" customHeight="1">
      <c r="A443" s="10"/>
      <c r="B443" s="191"/>
      <c r="C443" s="10"/>
      <c r="D443" s="73"/>
      <c r="E443" s="73"/>
      <c r="F443" s="10"/>
      <c r="G443" s="10"/>
      <c r="H443" s="10"/>
      <c r="I443" s="10"/>
      <c r="J443" s="10"/>
      <c r="K443" s="10"/>
      <c r="L443" s="10"/>
      <c r="M443" s="10"/>
      <c r="N443" s="10"/>
      <c r="O443" s="10"/>
      <c r="P443" s="10"/>
      <c r="Q443" s="10"/>
      <c r="R443" s="10"/>
      <c r="S443" s="10"/>
      <c r="T443" s="10"/>
      <c r="U443" s="10"/>
    </row>
    <row r="444" ht="15.75" customHeight="1">
      <c r="A444" s="10"/>
      <c r="B444" s="191"/>
      <c r="C444" s="10"/>
      <c r="D444" s="73"/>
      <c r="E444" s="73"/>
      <c r="F444" s="10"/>
      <c r="G444" s="10"/>
      <c r="H444" s="10"/>
      <c r="I444" s="10"/>
      <c r="J444" s="10"/>
      <c r="K444" s="10"/>
      <c r="L444" s="10"/>
      <c r="M444" s="10"/>
      <c r="N444" s="10"/>
      <c r="O444" s="10"/>
      <c r="P444" s="10"/>
      <c r="Q444" s="10"/>
      <c r="R444" s="10"/>
      <c r="S444" s="10"/>
      <c r="T444" s="10"/>
      <c r="U444" s="10"/>
    </row>
    <row r="445" ht="15.75" customHeight="1">
      <c r="A445" s="10"/>
      <c r="B445" s="191"/>
      <c r="C445" s="10"/>
      <c r="D445" s="73"/>
      <c r="E445" s="73"/>
      <c r="F445" s="10"/>
      <c r="G445" s="10"/>
      <c r="H445" s="10"/>
      <c r="I445" s="10"/>
      <c r="J445" s="10"/>
      <c r="K445" s="10"/>
      <c r="L445" s="10"/>
      <c r="M445" s="10"/>
      <c r="N445" s="10"/>
      <c r="O445" s="10"/>
      <c r="P445" s="10"/>
      <c r="Q445" s="10"/>
      <c r="R445" s="10"/>
      <c r="S445" s="10"/>
      <c r="T445" s="10"/>
      <c r="U445" s="10"/>
    </row>
    <row r="446" ht="15.75" customHeight="1">
      <c r="A446" s="10"/>
      <c r="B446" s="191"/>
      <c r="C446" s="10"/>
      <c r="D446" s="73"/>
      <c r="E446" s="73"/>
      <c r="F446" s="10"/>
      <c r="G446" s="10"/>
      <c r="H446" s="10"/>
      <c r="I446" s="10"/>
      <c r="J446" s="10"/>
      <c r="K446" s="10"/>
      <c r="L446" s="10"/>
      <c r="M446" s="10"/>
      <c r="N446" s="10"/>
      <c r="O446" s="10"/>
      <c r="P446" s="10"/>
      <c r="Q446" s="10"/>
      <c r="R446" s="10"/>
      <c r="S446" s="10"/>
      <c r="T446" s="10"/>
      <c r="U446" s="10"/>
    </row>
    <row r="447" ht="15.75" customHeight="1">
      <c r="A447" s="10"/>
      <c r="B447" s="191"/>
      <c r="C447" s="10"/>
      <c r="D447" s="73"/>
      <c r="E447" s="73"/>
      <c r="F447" s="10"/>
      <c r="G447" s="10"/>
      <c r="H447" s="10"/>
      <c r="I447" s="10"/>
      <c r="J447" s="10"/>
      <c r="K447" s="10"/>
      <c r="L447" s="10"/>
      <c r="M447" s="10"/>
      <c r="N447" s="10"/>
      <c r="O447" s="10"/>
      <c r="P447" s="10"/>
      <c r="Q447" s="10"/>
      <c r="R447" s="10"/>
      <c r="S447" s="10"/>
      <c r="T447" s="10"/>
      <c r="U447" s="10"/>
    </row>
    <row r="448" ht="15.75" customHeight="1">
      <c r="A448" s="10"/>
      <c r="B448" s="191"/>
      <c r="C448" s="10"/>
      <c r="D448" s="73"/>
      <c r="E448" s="73"/>
      <c r="F448" s="10"/>
      <c r="G448" s="10"/>
      <c r="H448" s="10"/>
      <c r="I448" s="10"/>
      <c r="J448" s="10"/>
      <c r="K448" s="10"/>
      <c r="L448" s="10"/>
      <c r="M448" s="10"/>
      <c r="N448" s="10"/>
      <c r="O448" s="10"/>
      <c r="P448" s="10"/>
      <c r="Q448" s="10"/>
      <c r="R448" s="10"/>
      <c r="S448" s="10"/>
      <c r="T448" s="10"/>
      <c r="U448" s="10"/>
    </row>
    <row r="449" ht="15.75" customHeight="1">
      <c r="A449" s="10"/>
      <c r="B449" s="191"/>
      <c r="C449" s="10"/>
      <c r="D449" s="73"/>
      <c r="E449" s="73"/>
      <c r="F449" s="10"/>
      <c r="G449" s="10"/>
      <c r="H449" s="10"/>
      <c r="I449" s="10"/>
      <c r="J449" s="10"/>
      <c r="K449" s="10"/>
      <c r="L449" s="10"/>
      <c r="M449" s="10"/>
      <c r="N449" s="10"/>
      <c r="O449" s="10"/>
      <c r="P449" s="10"/>
      <c r="Q449" s="10"/>
      <c r="R449" s="10"/>
      <c r="S449" s="10"/>
      <c r="T449" s="10"/>
      <c r="U449" s="10"/>
    </row>
    <row r="450" ht="15.75" customHeight="1">
      <c r="A450" s="10"/>
      <c r="B450" s="191"/>
      <c r="C450" s="10"/>
      <c r="D450" s="73"/>
      <c r="E450" s="73"/>
      <c r="F450" s="10"/>
      <c r="G450" s="10"/>
      <c r="H450" s="10"/>
      <c r="I450" s="10"/>
      <c r="J450" s="10"/>
      <c r="K450" s="10"/>
      <c r="L450" s="10"/>
      <c r="M450" s="10"/>
      <c r="N450" s="10"/>
      <c r="O450" s="10"/>
      <c r="P450" s="10"/>
      <c r="Q450" s="10"/>
      <c r="R450" s="10"/>
      <c r="S450" s="10"/>
      <c r="T450" s="10"/>
      <c r="U450" s="10"/>
    </row>
    <row r="451" ht="15.75" customHeight="1">
      <c r="A451" s="10"/>
      <c r="B451" s="191"/>
      <c r="C451" s="10"/>
      <c r="D451" s="73"/>
      <c r="E451" s="73"/>
      <c r="F451" s="10"/>
      <c r="G451" s="10"/>
      <c r="H451" s="10"/>
      <c r="I451" s="10"/>
      <c r="J451" s="10"/>
      <c r="K451" s="10"/>
      <c r="L451" s="10"/>
      <c r="M451" s="10"/>
      <c r="N451" s="10"/>
      <c r="O451" s="10"/>
      <c r="P451" s="10"/>
      <c r="Q451" s="10"/>
      <c r="R451" s="10"/>
      <c r="S451" s="10"/>
      <c r="T451" s="10"/>
      <c r="U451" s="10"/>
    </row>
    <row r="452" ht="15.75" customHeight="1">
      <c r="A452" s="10"/>
      <c r="B452" s="191"/>
      <c r="C452" s="10"/>
      <c r="D452" s="73"/>
      <c r="E452" s="73"/>
      <c r="F452" s="10"/>
      <c r="G452" s="10"/>
      <c r="H452" s="10"/>
      <c r="I452" s="10"/>
      <c r="J452" s="10"/>
      <c r="K452" s="10"/>
      <c r="L452" s="10"/>
      <c r="M452" s="10"/>
      <c r="N452" s="10"/>
      <c r="O452" s="10"/>
      <c r="P452" s="10"/>
      <c r="Q452" s="10"/>
      <c r="R452" s="10"/>
      <c r="S452" s="10"/>
      <c r="T452" s="10"/>
      <c r="U452" s="10"/>
    </row>
    <row r="453" ht="15.75" customHeight="1">
      <c r="A453" s="10"/>
      <c r="B453" s="191"/>
      <c r="C453" s="10"/>
      <c r="D453" s="73"/>
      <c r="E453" s="73"/>
      <c r="F453" s="10"/>
      <c r="G453" s="10"/>
      <c r="H453" s="10"/>
      <c r="I453" s="10"/>
      <c r="J453" s="10"/>
      <c r="K453" s="10"/>
      <c r="L453" s="10"/>
      <c r="M453" s="10"/>
      <c r="N453" s="10"/>
      <c r="O453" s="10"/>
      <c r="P453" s="10"/>
      <c r="Q453" s="10"/>
      <c r="R453" s="10"/>
      <c r="S453" s="10"/>
      <c r="T453" s="10"/>
      <c r="U453" s="10"/>
    </row>
    <row r="454" ht="15.75" customHeight="1">
      <c r="A454" s="10"/>
      <c r="B454" s="191"/>
      <c r="C454" s="10"/>
      <c r="D454" s="73"/>
      <c r="E454" s="73"/>
      <c r="F454" s="10"/>
      <c r="G454" s="10"/>
      <c r="H454" s="10"/>
      <c r="I454" s="10"/>
      <c r="J454" s="10"/>
      <c r="K454" s="10"/>
      <c r="L454" s="10"/>
      <c r="M454" s="10"/>
      <c r="N454" s="10"/>
      <c r="O454" s="10"/>
      <c r="P454" s="10"/>
      <c r="Q454" s="10"/>
      <c r="R454" s="10"/>
      <c r="S454" s="10"/>
      <c r="T454" s="10"/>
      <c r="U454" s="10"/>
    </row>
    <row r="455" ht="15.75" customHeight="1">
      <c r="A455" s="10"/>
      <c r="B455" s="191"/>
      <c r="C455" s="10"/>
      <c r="D455" s="73"/>
      <c r="E455" s="73"/>
      <c r="F455" s="10"/>
      <c r="G455" s="10"/>
      <c r="H455" s="10"/>
      <c r="I455" s="10"/>
      <c r="J455" s="10"/>
      <c r="K455" s="10"/>
      <c r="L455" s="10"/>
      <c r="M455" s="10"/>
      <c r="N455" s="10"/>
      <c r="O455" s="10"/>
      <c r="P455" s="10"/>
      <c r="Q455" s="10"/>
      <c r="R455" s="10"/>
      <c r="S455" s="10"/>
      <c r="T455" s="10"/>
      <c r="U455" s="10"/>
    </row>
    <row r="456" ht="15.75" customHeight="1">
      <c r="A456" s="10"/>
      <c r="B456" s="191"/>
      <c r="C456" s="10"/>
      <c r="D456" s="73"/>
      <c r="E456" s="73"/>
      <c r="F456" s="10"/>
      <c r="G456" s="10"/>
      <c r="H456" s="10"/>
      <c r="I456" s="10"/>
      <c r="J456" s="10"/>
      <c r="K456" s="10"/>
      <c r="L456" s="10"/>
      <c r="M456" s="10"/>
      <c r="N456" s="10"/>
      <c r="O456" s="10"/>
      <c r="P456" s="10"/>
      <c r="Q456" s="10"/>
      <c r="R456" s="10"/>
      <c r="S456" s="10"/>
      <c r="T456" s="10"/>
      <c r="U456" s="10"/>
    </row>
    <row r="457" ht="15.75" customHeight="1">
      <c r="A457" s="10"/>
      <c r="B457" s="191"/>
      <c r="C457" s="10"/>
      <c r="D457" s="73"/>
      <c r="E457" s="73"/>
      <c r="F457" s="10"/>
      <c r="G457" s="10"/>
      <c r="H457" s="10"/>
      <c r="I457" s="10"/>
      <c r="J457" s="10"/>
      <c r="K457" s="10"/>
      <c r="L457" s="10"/>
      <c r="M457" s="10"/>
      <c r="N457" s="10"/>
      <c r="O457" s="10"/>
      <c r="P457" s="10"/>
      <c r="Q457" s="10"/>
      <c r="R457" s="10"/>
      <c r="S457" s="10"/>
      <c r="T457" s="10"/>
      <c r="U457" s="10"/>
    </row>
    <row r="458" ht="15.75" customHeight="1">
      <c r="A458" s="10"/>
      <c r="B458" s="191"/>
      <c r="C458" s="10"/>
      <c r="D458" s="73"/>
      <c r="E458" s="73"/>
      <c r="F458" s="10"/>
      <c r="G458" s="10"/>
      <c r="H458" s="10"/>
      <c r="I458" s="10"/>
      <c r="J458" s="10"/>
      <c r="K458" s="10"/>
      <c r="L458" s="10"/>
      <c r="M458" s="10"/>
      <c r="N458" s="10"/>
      <c r="O458" s="10"/>
      <c r="P458" s="10"/>
      <c r="Q458" s="10"/>
      <c r="R458" s="10"/>
      <c r="S458" s="10"/>
      <c r="T458" s="10"/>
      <c r="U458" s="10"/>
    </row>
    <row r="459" ht="15.75" customHeight="1">
      <c r="A459" s="10"/>
      <c r="B459" s="191"/>
      <c r="C459" s="10"/>
      <c r="D459" s="73"/>
      <c r="E459" s="73"/>
      <c r="F459" s="10"/>
      <c r="G459" s="10"/>
      <c r="H459" s="10"/>
      <c r="I459" s="10"/>
      <c r="J459" s="10"/>
      <c r="K459" s="10"/>
      <c r="L459" s="10"/>
      <c r="M459" s="10"/>
      <c r="N459" s="10"/>
      <c r="O459" s="10"/>
      <c r="P459" s="10"/>
      <c r="Q459" s="10"/>
      <c r="R459" s="10"/>
      <c r="S459" s="10"/>
      <c r="T459" s="10"/>
      <c r="U459" s="10"/>
    </row>
    <row r="460" ht="15.75" customHeight="1">
      <c r="A460" s="10"/>
      <c r="B460" s="191"/>
      <c r="C460" s="10"/>
      <c r="D460" s="73"/>
      <c r="E460" s="73"/>
      <c r="F460" s="10"/>
      <c r="G460" s="10"/>
      <c r="H460" s="10"/>
      <c r="I460" s="10"/>
      <c r="J460" s="10"/>
      <c r="K460" s="10"/>
      <c r="L460" s="10"/>
      <c r="M460" s="10"/>
      <c r="N460" s="10"/>
      <c r="O460" s="10"/>
      <c r="P460" s="10"/>
      <c r="Q460" s="10"/>
      <c r="R460" s="10"/>
      <c r="S460" s="10"/>
      <c r="T460" s="10"/>
      <c r="U460" s="10"/>
    </row>
    <row r="461" ht="15.75" customHeight="1">
      <c r="A461" s="10"/>
      <c r="B461" s="191"/>
      <c r="C461" s="10"/>
      <c r="D461" s="73"/>
      <c r="E461" s="73"/>
      <c r="F461" s="10"/>
      <c r="G461" s="10"/>
      <c r="H461" s="10"/>
      <c r="I461" s="10"/>
      <c r="J461" s="10"/>
      <c r="K461" s="10"/>
      <c r="L461" s="10"/>
      <c r="M461" s="10"/>
      <c r="N461" s="10"/>
      <c r="O461" s="10"/>
      <c r="P461" s="10"/>
      <c r="Q461" s="10"/>
      <c r="R461" s="10"/>
      <c r="S461" s="10"/>
      <c r="T461" s="10"/>
      <c r="U461" s="10"/>
    </row>
    <row r="462" ht="15.75" customHeight="1">
      <c r="A462" s="10"/>
      <c r="B462" s="191"/>
      <c r="C462" s="10"/>
      <c r="D462" s="73"/>
      <c r="E462" s="73"/>
      <c r="F462" s="10"/>
      <c r="G462" s="10"/>
      <c r="H462" s="10"/>
      <c r="I462" s="10"/>
      <c r="J462" s="10"/>
      <c r="K462" s="10"/>
      <c r="L462" s="10"/>
      <c r="M462" s="10"/>
      <c r="N462" s="10"/>
      <c r="O462" s="10"/>
      <c r="P462" s="10"/>
      <c r="Q462" s="10"/>
      <c r="R462" s="10"/>
      <c r="S462" s="10"/>
      <c r="T462" s="10"/>
      <c r="U462" s="10"/>
    </row>
    <row r="463" ht="15.75" customHeight="1">
      <c r="A463" s="10"/>
      <c r="B463" s="191"/>
      <c r="C463" s="10"/>
      <c r="D463" s="73"/>
      <c r="E463" s="73"/>
      <c r="F463" s="10"/>
      <c r="G463" s="10"/>
      <c r="H463" s="10"/>
      <c r="I463" s="10"/>
      <c r="J463" s="10"/>
      <c r="K463" s="10"/>
      <c r="L463" s="10"/>
      <c r="M463" s="10"/>
      <c r="N463" s="10"/>
      <c r="O463" s="10"/>
      <c r="P463" s="10"/>
      <c r="Q463" s="10"/>
      <c r="R463" s="10"/>
      <c r="S463" s="10"/>
      <c r="T463" s="10"/>
      <c r="U463" s="10"/>
    </row>
    <row r="464" ht="15.75" customHeight="1">
      <c r="A464" s="10"/>
      <c r="B464" s="191"/>
      <c r="C464" s="10"/>
      <c r="D464" s="73"/>
      <c r="E464" s="73"/>
      <c r="F464" s="10"/>
      <c r="G464" s="10"/>
      <c r="H464" s="10"/>
      <c r="I464" s="10"/>
      <c r="J464" s="10"/>
      <c r="K464" s="10"/>
      <c r="L464" s="10"/>
      <c r="M464" s="10"/>
      <c r="N464" s="10"/>
      <c r="O464" s="10"/>
      <c r="P464" s="10"/>
      <c r="Q464" s="10"/>
      <c r="R464" s="10"/>
      <c r="S464" s="10"/>
      <c r="T464" s="10"/>
      <c r="U464" s="10"/>
    </row>
    <row r="465" ht="15.75" customHeight="1">
      <c r="A465" s="10"/>
      <c r="B465" s="191"/>
      <c r="C465" s="10"/>
      <c r="D465" s="73"/>
      <c r="E465" s="73"/>
      <c r="F465" s="10"/>
      <c r="G465" s="10"/>
      <c r="H465" s="10"/>
      <c r="I465" s="10"/>
      <c r="J465" s="10"/>
      <c r="K465" s="10"/>
      <c r="L465" s="10"/>
      <c r="M465" s="10"/>
      <c r="N465" s="10"/>
      <c r="O465" s="10"/>
      <c r="P465" s="10"/>
      <c r="Q465" s="10"/>
      <c r="R465" s="10"/>
      <c r="S465" s="10"/>
      <c r="T465" s="10"/>
      <c r="U465" s="10"/>
    </row>
    <row r="466" ht="15.75" customHeight="1">
      <c r="A466" s="10"/>
      <c r="B466" s="191"/>
      <c r="C466" s="10"/>
      <c r="D466" s="73"/>
      <c r="E466" s="73"/>
      <c r="F466" s="10"/>
      <c r="G466" s="10"/>
      <c r="H466" s="10"/>
      <c r="I466" s="10"/>
      <c r="J466" s="10"/>
      <c r="K466" s="10"/>
      <c r="L466" s="10"/>
      <c r="M466" s="10"/>
      <c r="N466" s="10"/>
      <c r="O466" s="10"/>
      <c r="P466" s="10"/>
      <c r="Q466" s="10"/>
      <c r="R466" s="10"/>
      <c r="S466" s="10"/>
      <c r="T466" s="10"/>
      <c r="U466" s="10"/>
    </row>
    <row r="467" ht="15.75" customHeight="1">
      <c r="A467" s="10"/>
      <c r="B467" s="191"/>
      <c r="C467" s="10"/>
      <c r="D467" s="73"/>
      <c r="E467" s="73"/>
      <c r="F467" s="10"/>
      <c r="G467" s="10"/>
      <c r="H467" s="10"/>
      <c r="I467" s="10"/>
      <c r="J467" s="10"/>
      <c r="K467" s="10"/>
      <c r="L467" s="10"/>
      <c r="M467" s="10"/>
      <c r="N467" s="10"/>
      <c r="O467" s="10"/>
      <c r="P467" s="10"/>
      <c r="Q467" s="10"/>
      <c r="R467" s="10"/>
      <c r="S467" s="10"/>
      <c r="T467" s="10"/>
      <c r="U467" s="10"/>
    </row>
    <row r="468" ht="15.75" customHeight="1">
      <c r="A468" s="10"/>
      <c r="B468" s="191"/>
      <c r="C468" s="10"/>
      <c r="D468" s="73"/>
      <c r="E468" s="73"/>
      <c r="F468" s="10"/>
      <c r="G468" s="10"/>
      <c r="H468" s="10"/>
      <c r="I468" s="10"/>
      <c r="J468" s="10"/>
      <c r="K468" s="10"/>
      <c r="L468" s="10"/>
      <c r="M468" s="10"/>
      <c r="N468" s="10"/>
      <c r="O468" s="10"/>
      <c r="P468" s="10"/>
      <c r="Q468" s="10"/>
      <c r="R468" s="10"/>
      <c r="S468" s="10"/>
      <c r="T468" s="10"/>
      <c r="U468" s="10"/>
    </row>
    <row r="469" ht="15.75" customHeight="1">
      <c r="A469" s="10"/>
      <c r="B469" s="191"/>
      <c r="C469" s="10"/>
      <c r="D469" s="73"/>
      <c r="E469" s="73"/>
      <c r="F469" s="10"/>
      <c r="G469" s="10"/>
      <c r="H469" s="10"/>
      <c r="I469" s="10"/>
      <c r="J469" s="10"/>
      <c r="K469" s="10"/>
      <c r="L469" s="10"/>
      <c r="M469" s="10"/>
      <c r="N469" s="10"/>
      <c r="O469" s="10"/>
      <c r="P469" s="10"/>
      <c r="Q469" s="10"/>
      <c r="R469" s="10"/>
      <c r="S469" s="10"/>
      <c r="T469" s="10"/>
      <c r="U469" s="10"/>
    </row>
    <row r="470" ht="15.75" customHeight="1">
      <c r="A470" s="10"/>
      <c r="B470" s="191"/>
      <c r="C470" s="10"/>
      <c r="D470" s="73"/>
      <c r="E470" s="73"/>
      <c r="F470" s="10"/>
      <c r="G470" s="10"/>
      <c r="H470" s="10"/>
      <c r="I470" s="10"/>
      <c r="J470" s="10"/>
      <c r="K470" s="10"/>
      <c r="L470" s="10"/>
      <c r="M470" s="10"/>
      <c r="N470" s="10"/>
      <c r="O470" s="10"/>
      <c r="P470" s="10"/>
      <c r="Q470" s="10"/>
      <c r="R470" s="10"/>
      <c r="S470" s="10"/>
      <c r="T470" s="10"/>
      <c r="U470" s="10"/>
    </row>
    <row r="471" ht="15.75" customHeight="1">
      <c r="A471" s="10"/>
      <c r="B471" s="191"/>
      <c r="C471" s="10"/>
      <c r="D471" s="73"/>
      <c r="E471" s="73"/>
      <c r="F471" s="10"/>
      <c r="G471" s="10"/>
      <c r="H471" s="10"/>
      <c r="I471" s="10"/>
      <c r="J471" s="10"/>
      <c r="K471" s="10"/>
      <c r="L471" s="10"/>
      <c r="M471" s="10"/>
      <c r="N471" s="10"/>
      <c r="O471" s="10"/>
      <c r="P471" s="10"/>
      <c r="Q471" s="10"/>
      <c r="R471" s="10"/>
      <c r="S471" s="10"/>
      <c r="T471" s="10"/>
      <c r="U471" s="10"/>
    </row>
    <row r="472" ht="15.75" customHeight="1">
      <c r="A472" s="10"/>
      <c r="B472" s="191"/>
      <c r="C472" s="10"/>
      <c r="D472" s="73"/>
      <c r="E472" s="73"/>
      <c r="F472" s="10"/>
      <c r="G472" s="10"/>
      <c r="H472" s="10"/>
      <c r="I472" s="10"/>
      <c r="J472" s="10"/>
      <c r="K472" s="10"/>
      <c r="L472" s="10"/>
      <c r="M472" s="10"/>
      <c r="N472" s="10"/>
      <c r="O472" s="10"/>
      <c r="P472" s="10"/>
      <c r="Q472" s="10"/>
      <c r="R472" s="10"/>
      <c r="S472" s="10"/>
      <c r="T472" s="10"/>
      <c r="U472" s="10"/>
    </row>
    <row r="473" ht="15.75" customHeight="1">
      <c r="A473" s="10"/>
      <c r="B473" s="191"/>
      <c r="C473" s="10"/>
      <c r="D473" s="73"/>
      <c r="E473" s="73"/>
      <c r="F473" s="10"/>
      <c r="G473" s="10"/>
      <c r="H473" s="10"/>
      <c r="I473" s="10"/>
      <c r="J473" s="10"/>
      <c r="K473" s="10"/>
      <c r="L473" s="10"/>
      <c r="M473" s="10"/>
      <c r="N473" s="10"/>
      <c r="O473" s="10"/>
      <c r="P473" s="10"/>
      <c r="Q473" s="10"/>
      <c r="R473" s="10"/>
      <c r="S473" s="10"/>
      <c r="T473" s="10"/>
      <c r="U473" s="10"/>
    </row>
    <row r="474" ht="15.75" customHeight="1">
      <c r="A474" s="10"/>
      <c r="B474" s="191"/>
      <c r="C474" s="10"/>
      <c r="D474" s="73"/>
      <c r="E474" s="73"/>
      <c r="F474" s="10"/>
      <c r="G474" s="10"/>
      <c r="H474" s="10"/>
      <c r="I474" s="10"/>
      <c r="J474" s="10"/>
      <c r="K474" s="10"/>
      <c r="L474" s="10"/>
      <c r="M474" s="10"/>
      <c r="N474" s="10"/>
      <c r="O474" s="10"/>
      <c r="P474" s="10"/>
      <c r="Q474" s="10"/>
      <c r="R474" s="10"/>
      <c r="S474" s="10"/>
      <c r="T474" s="10"/>
      <c r="U474" s="10"/>
    </row>
    <row r="475" ht="15.75" customHeight="1">
      <c r="A475" s="10"/>
      <c r="B475" s="191"/>
      <c r="C475" s="10"/>
      <c r="D475" s="73"/>
      <c r="E475" s="73"/>
      <c r="F475" s="10"/>
      <c r="G475" s="10"/>
      <c r="H475" s="10"/>
      <c r="I475" s="10"/>
      <c r="J475" s="10"/>
      <c r="K475" s="10"/>
      <c r="L475" s="10"/>
      <c r="M475" s="10"/>
      <c r="N475" s="10"/>
      <c r="O475" s="10"/>
      <c r="P475" s="10"/>
      <c r="Q475" s="10"/>
      <c r="R475" s="10"/>
      <c r="S475" s="10"/>
      <c r="T475" s="10"/>
      <c r="U475" s="10"/>
    </row>
    <row r="476" ht="15.75" customHeight="1">
      <c r="A476" s="10"/>
      <c r="B476" s="191"/>
      <c r="C476" s="10"/>
      <c r="D476" s="73"/>
      <c r="E476" s="73"/>
      <c r="F476" s="10"/>
      <c r="G476" s="10"/>
      <c r="H476" s="10"/>
      <c r="I476" s="10"/>
      <c r="J476" s="10"/>
      <c r="K476" s="10"/>
      <c r="L476" s="10"/>
      <c r="M476" s="10"/>
      <c r="N476" s="10"/>
      <c r="O476" s="10"/>
      <c r="P476" s="10"/>
      <c r="Q476" s="10"/>
      <c r="R476" s="10"/>
      <c r="S476" s="10"/>
      <c r="T476" s="10"/>
      <c r="U476" s="10"/>
    </row>
    <row r="477" ht="15.75" customHeight="1">
      <c r="A477" s="10"/>
      <c r="B477" s="191"/>
      <c r="C477" s="10"/>
      <c r="D477" s="73"/>
      <c r="E477" s="73"/>
      <c r="F477" s="10"/>
      <c r="G477" s="10"/>
      <c r="H477" s="10"/>
      <c r="I477" s="10"/>
      <c r="J477" s="10"/>
      <c r="K477" s="10"/>
      <c r="L477" s="10"/>
      <c r="M477" s="10"/>
      <c r="N477" s="10"/>
      <c r="O477" s="10"/>
      <c r="P477" s="10"/>
      <c r="Q477" s="10"/>
      <c r="R477" s="10"/>
      <c r="S477" s="10"/>
      <c r="T477" s="10"/>
      <c r="U477" s="10"/>
    </row>
    <row r="478" ht="15.75" customHeight="1">
      <c r="A478" s="10"/>
      <c r="B478" s="191"/>
      <c r="C478" s="10"/>
      <c r="D478" s="73"/>
      <c r="E478" s="73"/>
      <c r="F478" s="10"/>
      <c r="G478" s="10"/>
      <c r="H478" s="10"/>
      <c r="I478" s="10"/>
      <c r="J478" s="10"/>
      <c r="K478" s="10"/>
      <c r="L478" s="10"/>
      <c r="M478" s="10"/>
      <c r="N478" s="10"/>
      <c r="O478" s="10"/>
      <c r="P478" s="10"/>
      <c r="Q478" s="10"/>
      <c r="R478" s="10"/>
      <c r="S478" s="10"/>
      <c r="T478" s="10"/>
      <c r="U478" s="10"/>
    </row>
    <row r="479" ht="15.75" customHeight="1">
      <c r="A479" s="10"/>
      <c r="B479" s="191"/>
      <c r="C479" s="10"/>
      <c r="D479" s="73"/>
      <c r="E479" s="73"/>
      <c r="F479" s="10"/>
      <c r="G479" s="10"/>
      <c r="H479" s="10"/>
      <c r="I479" s="10"/>
      <c r="J479" s="10"/>
      <c r="K479" s="10"/>
      <c r="L479" s="10"/>
      <c r="M479" s="10"/>
      <c r="N479" s="10"/>
      <c r="O479" s="10"/>
      <c r="P479" s="10"/>
      <c r="Q479" s="10"/>
      <c r="R479" s="10"/>
      <c r="S479" s="10"/>
      <c r="T479" s="10"/>
      <c r="U479" s="10"/>
    </row>
    <row r="480" ht="15.75" customHeight="1">
      <c r="A480" s="10"/>
      <c r="B480" s="191"/>
      <c r="C480" s="10"/>
      <c r="D480" s="73"/>
      <c r="E480" s="73"/>
      <c r="F480" s="10"/>
      <c r="G480" s="10"/>
      <c r="H480" s="10"/>
      <c r="I480" s="10"/>
      <c r="J480" s="10"/>
      <c r="K480" s="10"/>
      <c r="L480" s="10"/>
      <c r="M480" s="10"/>
      <c r="N480" s="10"/>
      <c r="O480" s="10"/>
      <c r="P480" s="10"/>
      <c r="Q480" s="10"/>
      <c r="R480" s="10"/>
      <c r="S480" s="10"/>
      <c r="T480" s="10"/>
      <c r="U480" s="10"/>
    </row>
    <row r="481" ht="15.75" customHeight="1">
      <c r="A481" s="10"/>
      <c r="B481" s="191"/>
      <c r="C481" s="10"/>
      <c r="D481" s="73"/>
      <c r="E481" s="73"/>
      <c r="F481" s="10"/>
      <c r="G481" s="10"/>
      <c r="H481" s="10"/>
      <c r="I481" s="10"/>
      <c r="J481" s="10"/>
      <c r="K481" s="10"/>
      <c r="L481" s="10"/>
      <c r="M481" s="10"/>
      <c r="N481" s="10"/>
      <c r="O481" s="10"/>
      <c r="P481" s="10"/>
      <c r="Q481" s="10"/>
      <c r="R481" s="10"/>
      <c r="S481" s="10"/>
      <c r="T481" s="10"/>
      <c r="U481" s="10"/>
    </row>
    <row r="482" ht="15.75" customHeight="1">
      <c r="A482" s="10"/>
      <c r="B482" s="191"/>
      <c r="C482" s="10"/>
      <c r="D482" s="73"/>
      <c r="E482" s="73"/>
      <c r="F482" s="10"/>
      <c r="G482" s="10"/>
      <c r="H482" s="10"/>
      <c r="I482" s="10"/>
      <c r="J482" s="10"/>
      <c r="K482" s="10"/>
      <c r="L482" s="10"/>
      <c r="M482" s="10"/>
      <c r="N482" s="10"/>
      <c r="O482" s="10"/>
      <c r="P482" s="10"/>
      <c r="Q482" s="10"/>
      <c r="R482" s="10"/>
      <c r="S482" s="10"/>
      <c r="T482" s="10"/>
      <c r="U482" s="10"/>
    </row>
    <row r="483" ht="15.75" customHeight="1">
      <c r="A483" s="10"/>
      <c r="B483" s="191"/>
      <c r="C483" s="10"/>
      <c r="D483" s="73"/>
      <c r="E483" s="73"/>
      <c r="F483" s="10"/>
      <c r="G483" s="10"/>
      <c r="H483" s="10"/>
      <c r="I483" s="10"/>
      <c r="J483" s="10"/>
      <c r="K483" s="10"/>
      <c r="L483" s="10"/>
      <c r="M483" s="10"/>
      <c r="N483" s="10"/>
      <c r="O483" s="10"/>
      <c r="P483" s="10"/>
      <c r="Q483" s="10"/>
      <c r="R483" s="10"/>
      <c r="S483" s="10"/>
      <c r="T483" s="10"/>
      <c r="U483" s="10"/>
    </row>
    <row r="484" ht="15.75" customHeight="1">
      <c r="A484" s="10"/>
      <c r="B484" s="191"/>
      <c r="C484" s="10"/>
      <c r="D484" s="73"/>
      <c r="E484" s="73"/>
      <c r="F484" s="10"/>
      <c r="G484" s="10"/>
      <c r="H484" s="10"/>
      <c r="I484" s="10"/>
      <c r="J484" s="10"/>
      <c r="K484" s="10"/>
      <c r="L484" s="10"/>
      <c r="M484" s="10"/>
      <c r="N484" s="10"/>
      <c r="O484" s="10"/>
      <c r="P484" s="10"/>
      <c r="Q484" s="10"/>
      <c r="R484" s="10"/>
      <c r="S484" s="10"/>
      <c r="T484" s="10"/>
      <c r="U484" s="10"/>
    </row>
    <row r="485" ht="15.75" customHeight="1">
      <c r="A485" s="10"/>
      <c r="B485" s="191"/>
      <c r="C485" s="10"/>
      <c r="D485" s="73"/>
      <c r="E485" s="73"/>
      <c r="F485" s="10"/>
      <c r="G485" s="10"/>
      <c r="H485" s="10"/>
      <c r="I485" s="10"/>
      <c r="J485" s="10"/>
      <c r="K485" s="10"/>
      <c r="L485" s="10"/>
      <c r="M485" s="10"/>
      <c r="N485" s="10"/>
      <c r="O485" s="10"/>
      <c r="P485" s="10"/>
      <c r="Q485" s="10"/>
      <c r="R485" s="10"/>
      <c r="S485" s="10"/>
      <c r="T485" s="10"/>
      <c r="U485" s="10"/>
    </row>
    <row r="486" ht="15.75" customHeight="1">
      <c r="A486" s="10"/>
      <c r="B486" s="191"/>
      <c r="C486" s="10"/>
      <c r="D486" s="73"/>
      <c r="E486" s="73"/>
      <c r="F486" s="10"/>
      <c r="G486" s="10"/>
      <c r="H486" s="10"/>
      <c r="I486" s="10"/>
      <c r="J486" s="10"/>
      <c r="K486" s="10"/>
      <c r="L486" s="10"/>
      <c r="M486" s="10"/>
      <c r="N486" s="10"/>
      <c r="O486" s="10"/>
      <c r="P486" s="10"/>
      <c r="Q486" s="10"/>
      <c r="R486" s="10"/>
      <c r="S486" s="10"/>
      <c r="T486" s="10"/>
      <c r="U486" s="10"/>
    </row>
    <row r="487" ht="15.75" customHeight="1">
      <c r="A487" s="10"/>
      <c r="B487" s="191"/>
      <c r="C487" s="10"/>
      <c r="D487" s="73"/>
      <c r="E487" s="73"/>
      <c r="F487" s="10"/>
      <c r="G487" s="10"/>
      <c r="H487" s="10"/>
      <c r="I487" s="10"/>
      <c r="J487" s="10"/>
      <c r="K487" s="10"/>
      <c r="L487" s="10"/>
      <c r="M487" s="10"/>
      <c r="N487" s="10"/>
      <c r="O487" s="10"/>
      <c r="P487" s="10"/>
      <c r="Q487" s="10"/>
      <c r="R487" s="10"/>
      <c r="S487" s="10"/>
      <c r="T487" s="10"/>
      <c r="U487" s="10"/>
    </row>
    <row r="488" ht="15.75" customHeight="1">
      <c r="A488" s="10"/>
      <c r="B488" s="191"/>
      <c r="C488" s="10"/>
      <c r="D488" s="73"/>
      <c r="E488" s="73"/>
      <c r="F488" s="10"/>
      <c r="G488" s="10"/>
      <c r="H488" s="10"/>
      <c r="I488" s="10"/>
      <c r="J488" s="10"/>
      <c r="K488" s="10"/>
      <c r="L488" s="10"/>
      <c r="M488" s="10"/>
      <c r="N488" s="10"/>
      <c r="O488" s="10"/>
      <c r="P488" s="10"/>
      <c r="Q488" s="10"/>
      <c r="R488" s="10"/>
      <c r="S488" s="10"/>
      <c r="T488" s="10"/>
      <c r="U488" s="10"/>
    </row>
    <row r="489" ht="15.75" customHeight="1">
      <c r="A489" s="10"/>
      <c r="B489" s="191"/>
      <c r="C489" s="10"/>
      <c r="D489" s="73"/>
      <c r="E489" s="73"/>
      <c r="F489" s="10"/>
      <c r="G489" s="10"/>
      <c r="H489" s="10"/>
      <c r="I489" s="10"/>
      <c r="J489" s="10"/>
      <c r="K489" s="10"/>
      <c r="L489" s="10"/>
      <c r="M489" s="10"/>
      <c r="N489" s="10"/>
      <c r="O489" s="10"/>
      <c r="P489" s="10"/>
      <c r="Q489" s="10"/>
      <c r="R489" s="10"/>
      <c r="S489" s="10"/>
      <c r="T489" s="10"/>
      <c r="U489" s="10"/>
    </row>
    <row r="490" ht="15.75" customHeight="1">
      <c r="A490" s="10"/>
      <c r="B490" s="191"/>
      <c r="C490" s="10"/>
      <c r="D490" s="73"/>
      <c r="E490" s="73"/>
      <c r="F490" s="10"/>
      <c r="G490" s="10"/>
      <c r="H490" s="10"/>
      <c r="I490" s="10"/>
      <c r="J490" s="10"/>
      <c r="K490" s="10"/>
      <c r="L490" s="10"/>
      <c r="M490" s="10"/>
      <c r="N490" s="10"/>
      <c r="O490" s="10"/>
      <c r="P490" s="10"/>
      <c r="Q490" s="10"/>
      <c r="R490" s="10"/>
      <c r="S490" s="10"/>
      <c r="T490" s="10"/>
      <c r="U490" s="10"/>
    </row>
    <row r="491" ht="15.75" customHeight="1">
      <c r="A491" s="10"/>
      <c r="B491" s="191"/>
      <c r="C491" s="10"/>
      <c r="D491" s="73"/>
      <c r="E491" s="73"/>
      <c r="F491" s="10"/>
      <c r="G491" s="10"/>
      <c r="H491" s="10"/>
      <c r="I491" s="10"/>
      <c r="J491" s="10"/>
      <c r="K491" s="10"/>
      <c r="L491" s="10"/>
      <c r="M491" s="10"/>
      <c r="N491" s="10"/>
      <c r="O491" s="10"/>
      <c r="P491" s="10"/>
      <c r="Q491" s="10"/>
      <c r="R491" s="10"/>
      <c r="S491" s="10"/>
      <c r="T491" s="10"/>
      <c r="U491" s="10"/>
    </row>
    <row r="492" ht="15.75" customHeight="1">
      <c r="A492" s="10"/>
      <c r="B492" s="191"/>
      <c r="C492" s="10"/>
      <c r="D492" s="73"/>
      <c r="E492" s="73"/>
      <c r="F492" s="10"/>
      <c r="G492" s="10"/>
      <c r="H492" s="10"/>
      <c r="I492" s="10"/>
      <c r="J492" s="10"/>
      <c r="K492" s="10"/>
      <c r="L492" s="10"/>
      <c r="M492" s="10"/>
      <c r="N492" s="10"/>
      <c r="O492" s="10"/>
      <c r="P492" s="10"/>
      <c r="Q492" s="10"/>
      <c r="R492" s="10"/>
      <c r="S492" s="10"/>
      <c r="T492" s="10"/>
      <c r="U492" s="10"/>
    </row>
    <row r="493" ht="15.75" customHeight="1">
      <c r="A493" s="10"/>
      <c r="B493" s="191"/>
      <c r="C493" s="10"/>
      <c r="D493" s="73"/>
      <c r="E493" s="73"/>
      <c r="F493" s="10"/>
      <c r="G493" s="10"/>
      <c r="H493" s="10"/>
      <c r="I493" s="10"/>
      <c r="J493" s="10"/>
      <c r="K493" s="10"/>
      <c r="L493" s="10"/>
      <c r="M493" s="10"/>
      <c r="N493" s="10"/>
      <c r="O493" s="10"/>
      <c r="P493" s="10"/>
      <c r="Q493" s="10"/>
      <c r="R493" s="10"/>
      <c r="S493" s="10"/>
      <c r="T493" s="10"/>
      <c r="U493" s="10"/>
    </row>
    <row r="494" ht="15.75" customHeight="1">
      <c r="A494" s="10"/>
      <c r="B494" s="191"/>
      <c r="C494" s="10"/>
      <c r="D494" s="73"/>
      <c r="E494" s="73"/>
      <c r="F494" s="10"/>
      <c r="G494" s="10"/>
      <c r="H494" s="10"/>
      <c r="I494" s="10"/>
      <c r="J494" s="10"/>
      <c r="K494" s="10"/>
      <c r="L494" s="10"/>
      <c r="M494" s="10"/>
      <c r="N494" s="10"/>
      <c r="O494" s="10"/>
      <c r="P494" s="10"/>
      <c r="Q494" s="10"/>
      <c r="R494" s="10"/>
      <c r="S494" s="10"/>
      <c r="T494" s="10"/>
      <c r="U494" s="10"/>
    </row>
    <row r="495" ht="15.75" customHeight="1">
      <c r="A495" s="10"/>
      <c r="B495" s="191"/>
      <c r="C495" s="10"/>
      <c r="D495" s="73"/>
      <c r="E495" s="73"/>
      <c r="F495" s="10"/>
      <c r="G495" s="10"/>
      <c r="H495" s="10"/>
      <c r="I495" s="10"/>
      <c r="J495" s="10"/>
      <c r="K495" s="10"/>
      <c r="L495" s="10"/>
      <c r="M495" s="10"/>
      <c r="N495" s="10"/>
      <c r="O495" s="10"/>
      <c r="P495" s="10"/>
      <c r="Q495" s="10"/>
      <c r="R495" s="10"/>
      <c r="S495" s="10"/>
      <c r="T495" s="10"/>
      <c r="U495" s="10"/>
    </row>
    <row r="496" ht="15.75" customHeight="1">
      <c r="A496" s="10"/>
      <c r="B496" s="191"/>
      <c r="C496" s="10"/>
      <c r="D496" s="73"/>
      <c r="E496" s="73"/>
      <c r="F496" s="10"/>
      <c r="G496" s="10"/>
      <c r="H496" s="10"/>
      <c r="I496" s="10"/>
      <c r="J496" s="10"/>
      <c r="K496" s="10"/>
      <c r="L496" s="10"/>
      <c r="M496" s="10"/>
      <c r="N496" s="10"/>
      <c r="O496" s="10"/>
      <c r="P496" s="10"/>
      <c r="Q496" s="10"/>
      <c r="R496" s="10"/>
      <c r="S496" s="10"/>
      <c r="T496" s="10"/>
      <c r="U496" s="10"/>
    </row>
    <row r="497" ht="15.75" customHeight="1">
      <c r="A497" s="10"/>
      <c r="B497" s="191"/>
      <c r="C497" s="10"/>
      <c r="D497" s="73"/>
      <c r="E497" s="73"/>
      <c r="F497" s="10"/>
      <c r="G497" s="10"/>
      <c r="H497" s="10"/>
      <c r="I497" s="10"/>
      <c r="J497" s="10"/>
      <c r="K497" s="10"/>
      <c r="L497" s="10"/>
      <c r="M497" s="10"/>
      <c r="N497" s="10"/>
      <c r="O497" s="10"/>
      <c r="P497" s="10"/>
      <c r="Q497" s="10"/>
      <c r="R497" s="10"/>
      <c r="S497" s="10"/>
      <c r="T497" s="10"/>
      <c r="U497" s="10"/>
    </row>
    <row r="498" ht="15.75" customHeight="1">
      <c r="A498" s="10"/>
      <c r="B498" s="191"/>
      <c r="C498" s="10"/>
      <c r="D498" s="73"/>
      <c r="E498" s="73"/>
      <c r="F498" s="10"/>
      <c r="G498" s="10"/>
      <c r="H498" s="10"/>
      <c r="I498" s="10"/>
      <c r="J498" s="10"/>
      <c r="K498" s="10"/>
      <c r="L498" s="10"/>
      <c r="M498" s="10"/>
      <c r="N498" s="10"/>
      <c r="O498" s="10"/>
      <c r="P498" s="10"/>
      <c r="Q498" s="10"/>
      <c r="R498" s="10"/>
      <c r="S498" s="10"/>
      <c r="T498" s="10"/>
      <c r="U498" s="10"/>
    </row>
    <row r="499" ht="15.75" customHeight="1">
      <c r="A499" s="10"/>
      <c r="B499" s="191"/>
      <c r="C499" s="10"/>
      <c r="D499" s="73"/>
      <c r="E499" s="73"/>
      <c r="F499" s="10"/>
      <c r="G499" s="10"/>
      <c r="H499" s="10"/>
      <c r="I499" s="10"/>
      <c r="J499" s="10"/>
      <c r="K499" s="10"/>
      <c r="L499" s="10"/>
      <c r="M499" s="10"/>
      <c r="N499" s="10"/>
      <c r="O499" s="10"/>
      <c r="P499" s="10"/>
      <c r="Q499" s="10"/>
      <c r="R499" s="10"/>
      <c r="S499" s="10"/>
      <c r="T499" s="10"/>
      <c r="U499" s="10"/>
    </row>
    <row r="500" ht="15.75" customHeight="1">
      <c r="A500" s="10"/>
      <c r="B500" s="191"/>
      <c r="C500" s="10"/>
      <c r="D500" s="73"/>
      <c r="E500" s="73"/>
      <c r="F500" s="10"/>
      <c r="G500" s="10"/>
      <c r="H500" s="10"/>
      <c r="I500" s="10"/>
      <c r="J500" s="10"/>
      <c r="K500" s="10"/>
      <c r="L500" s="10"/>
      <c r="M500" s="10"/>
      <c r="N500" s="10"/>
      <c r="O500" s="10"/>
      <c r="P500" s="10"/>
      <c r="Q500" s="10"/>
      <c r="R500" s="10"/>
      <c r="S500" s="10"/>
      <c r="T500" s="10"/>
      <c r="U500" s="10"/>
    </row>
    <row r="501" ht="15.75" customHeight="1">
      <c r="A501" s="10"/>
      <c r="B501" s="191"/>
      <c r="C501" s="10"/>
      <c r="D501" s="73"/>
      <c r="E501" s="73"/>
      <c r="F501" s="10"/>
      <c r="G501" s="10"/>
      <c r="H501" s="10"/>
      <c r="I501" s="10"/>
      <c r="J501" s="10"/>
      <c r="K501" s="10"/>
      <c r="L501" s="10"/>
      <c r="M501" s="10"/>
      <c r="N501" s="10"/>
      <c r="O501" s="10"/>
      <c r="P501" s="10"/>
      <c r="Q501" s="10"/>
      <c r="R501" s="10"/>
      <c r="S501" s="10"/>
      <c r="T501" s="10"/>
      <c r="U501" s="10"/>
    </row>
    <row r="502" ht="15.75" customHeight="1">
      <c r="A502" s="10"/>
      <c r="B502" s="191"/>
      <c r="C502" s="10"/>
      <c r="D502" s="73"/>
      <c r="E502" s="73"/>
      <c r="F502" s="10"/>
      <c r="G502" s="10"/>
      <c r="H502" s="10"/>
      <c r="I502" s="10"/>
      <c r="J502" s="10"/>
      <c r="K502" s="10"/>
      <c r="L502" s="10"/>
      <c r="M502" s="10"/>
      <c r="N502" s="10"/>
      <c r="O502" s="10"/>
      <c r="P502" s="10"/>
      <c r="Q502" s="10"/>
      <c r="R502" s="10"/>
      <c r="S502" s="10"/>
      <c r="T502" s="10"/>
      <c r="U502" s="10"/>
    </row>
    <row r="503" ht="15.75" customHeight="1">
      <c r="A503" s="10"/>
      <c r="B503" s="191"/>
      <c r="C503" s="10"/>
      <c r="D503" s="73"/>
      <c r="E503" s="73"/>
      <c r="F503" s="10"/>
      <c r="G503" s="10"/>
      <c r="H503" s="10"/>
      <c r="I503" s="10"/>
      <c r="J503" s="10"/>
      <c r="K503" s="10"/>
      <c r="L503" s="10"/>
      <c r="M503" s="10"/>
      <c r="N503" s="10"/>
      <c r="O503" s="10"/>
      <c r="P503" s="10"/>
      <c r="Q503" s="10"/>
      <c r="R503" s="10"/>
      <c r="S503" s="10"/>
      <c r="T503" s="10"/>
      <c r="U503" s="10"/>
    </row>
    <row r="504" ht="15.75" customHeight="1">
      <c r="A504" s="10"/>
      <c r="B504" s="191"/>
      <c r="C504" s="10"/>
      <c r="D504" s="73"/>
      <c r="E504" s="73"/>
      <c r="F504" s="10"/>
      <c r="G504" s="10"/>
      <c r="H504" s="10"/>
      <c r="I504" s="10"/>
      <c r="J504" s="10"/>
      <c r="K504" s="10"/>
      <c r="L504" s="10"/>
      <c r="M504" s="10"/>
      <c r="N504" s="10"/>
      <c r="O504" s="10"/>
      <c r="P504" s="10"/>
      <c r="Q504" s="10"/>
      <c r="R504" s="10"/>
      <c r="S504" s="10"/>
      <c r="T504" s="10"/>
      <c r="U504" s="10"/>
    </row>
    <row r="505" ht="15.75" customHeight="1">
      <c r="A505" s="10"/>
      <c r="B505" s="191"/>
      <c r="C505" s="10"/>
      <c r="D505" s="73"/>
      <c r="E505" s="73"/>
      <c r="F505" s="10"/>
      <c r="G505" s="10"/>
      <c r="H505" s="10"/>
      <c r="I505" s="10"/>
      <c r="J505" s="10"/>
      <c r="K505" s="10"/>
      <c r="L505" s="10"/>
      <c r="M505" s="10"/>
      <c r="N505" s="10"/>
      <c r="O505" s="10"/>
      <c r="P505" s="10"/>
      <c r="Q505" s="10"/>
      <c r="R505" s="10"/>
      <c r="S505" s="10"/>
      <c r="T505" s="10"/>
      <c r="U505" s="10"/>
    </row>
    <row r="506" ht="15.75" customHeight="1">
      <c r="A506" s="10"/>
      <c r="B506" s="191"/>
      <c r="C506" s="10"/>
      <c r="D506" s="73"/>
      <c r="E506" s="73"/>
      <c r="F506" s="10"/>
      <c r="G506" s="10"/>
      <c r="H506" s="10"/>
      <c r="I506" s="10"/>
      <c r="J506" s="10"/>
      <c r="K506" s="10"/>
      <c r="L506" s="10"/>
      <c r="M506" s="10"/>
      <c r="N506" s="10"/>
      <c r="O506" s="10"/>
      <c r="P506" s="10"/>
      <c r="Q506" s="10"/>
      <c r="R506" s="10"/>
      <c r="S506" s="10"/>
      <c r="T506" s="10"/>
      <c r="U506" s="10"/>
    </row>
    <row r="507" ht="15.75" customHeight="1">
      <c r="A507" s="10"/>
      <c r="B507" s="191"/>
      <c r="C507" s="10"/>
      <c r="D507" s="73"/>
      <c r="E507" s="73"/>
      <c r="F507" s="10"/>
      <c r="G507" s="10"/>
      <c r="H507" s="10"/>
      <c r="I507" s="10"/>
      <c r="J507" s="10"/>
      <c r="K507" s="10"/>
      <c r="L507" s="10"/>
      <c r="M507" s="10"/>
      <c r="N507" s="10"/>
      <c r="O507" s="10"/>
      <c r="P507" s="10"/>
      <c r="Q507" s="10"/>
      <c r="R507" s="10"/>
      <c r="S507" s="10"/>
      <c r="T507" s="10"/>
      <c r="U507" s="10"/>
    </row>
    <row r="508" ht="15.75" customHeight="1">
      <c r="A508" s="10"/>
      <c r="B508" s="191"/>
      <c r="C508" s="10"/>
      <c r="D508" s="73"/>
      <c r="E508" s="73"/>
      <c r="F508" s="10"/>
      <c r="G508" s="10"/>
      <c r="H508" s="10"/>
      <c r="I508" s="10"/>
      <c r="J508" s="10"/>
      <c r="K508" s="10"/>
      <c r="L508" s="10"/>
      <c r="M508" s="10"/>
      <c r="N508" s="10"/>
      <c r="O508" s="10"/>
      <c r="P508" s="10"/>
      <c r="Q508" s="10"/>
      <c r="R508" s="10"/>
      <c r="S508" s="10"/>
      <c r="T508" s="10"/>
      <c r="U508" s="10"/>
    </row>
    <row r="509" ht="15.75" customHeight="1">
      <c r="A509" s="10"/>
      <c r="B509" s="191"/>
      <c r="C509" s="10"/>
      <c r="D509" s="73"/>
      <c r="E509" s="73"/>
      <c r="F509" s="10"/>
      <c r="G509" s="10"/>
      <c r="H509" s="10"/>
      <c r="I509" s="10"/>
      <c r="J509" s="10"/>
      <c r="K509" s="10"/>
      <c r="L509" s="10"/>
      <c r="M509" s="10"/>
      <c r="N509" s="10"/>
      <c r="O509" s="10"/>
      <c r="P509" s="10"/>
      <c r="Q509" s="10"/>
      <c r="R509" s="10"/>
      <c r="S509" s="10"/>
      <c r="T509" s="10"/>
      <c r="U509" s="10"/>
    </row>
    <row r="510" ht="15.75" customHeight="1">
      <c r="A510" s="10"/>
      <c r="B510" s="191"/>
      <c r="C510" s="10"/>
      <c r="D510" s="73"/>
      <c r="E510" s="73"/>
      <c r="F510" s="10"/>
      <c r="G510" s="10"/>
      <c r="H510" s="10"/>
      <c r="I510" s="10"/>
      <c r="J510" s="10"/>
      <c r="K510" s="10"/>
      <c r="L510" s="10"/>
      <c r="M510" s="10"/>
      <c r="N510" s="10"/>
      <c r="O510" s="10"/>
      <c r="P510" s="10"/>
      <c r="Q510" s="10"/>
      <c r="R510" s="10"/>
      <c r="S510" s="10"/>
      <c r="T510" s="10"/>
      <c r="U510" s="10"/>
    </row>
    <row r="511" ht="15.75" customHeight="1">
      <c r="A511" s="10"/>
      <c r="B511" s="191"/>
      <c r="C511" s="10"/>
      <c r="D511" s="73"/>
      <c r="E511" s="73"/>
      <c r="F511" s="10"/>
      <c r="G511" s="10"/>
      <c r="H511" s="10"/>
      <c r="I511" s="10"/>
      <c r="J511" s="10"/>
      <c r="K511" s="10"/>
      <c r="L511" s="10"/>
      <c r="M511" s="10"/>
      <c r="N511" s="10"/>
      <c r="O511" s="10"/>
      <c r="P511" s="10"/>
      <c r="Q511" s="10"/>
      <c r="R511" s="10"/>
      <c r="S511" s="10"/>
      <c r="T511" s="10"/>
      <c r="U511" s="10"/>
    </row>
    <row r="512" ht="15.75" customHeight="1">
      <c r="A512" s="10"/>
      <c r="B512" s="191"/>
      <c r="C512" s="10"/>
      <c r="D512" s="73"/>
      <c r="E512" s="73"/>
      <c r="F512" s="10"/>
      <c r="G512" s="10"/>
      <c r="H512" s="10"/>
      <c r="I512" s="10"/>
      <c r="J512" s="10"/>
      <c r="K512" s="10"/>
      <c r="L512" s="10"/>
      <c r="M512" s="10"/>
      <c r="N512" s="10"/>
      <c r="O512" s="10"/>
      <c r="P512" s="10"/>
      <c r="Q512" s="10"/>
      <c r="R512" s="10"/>
      <c r="S512" s="10"/>
      <c r="T512" s="10"/>
      <c r="U512" s="10"/>
    </row>
    <row r="513" ht="15.75" customHeight="1">
      <c r="A513" s="10"/>
      <c r="B513" s="191"/>
      <c r="C513" s="10"/>
      <c r="D513" s="73"/>
      <c r="E513" s="73"/>
      <c r="F513" s="10"/>
      <c r="G513" s="10"/>
      <c r="H513" s="10"/>
      <c r="I513" s="10"/>
      <c r="J513" s="10"/>
      <c r="K513" s="10"/>
      <c r="L513" s="10"/>
      <c r="M513" s="10"/>
      <c r="N513" s="10"/>
      <c r="O513" s="10"/>
      <c r="P513" s="10"/>
      <c r="Q513" s="10"/>
      <c r="R513" s="10"/>
      <c r="S513" s="10"/>
      <c r="T513" s="10"/>
      <c r="U513" s="10"/>
    </row>
    <row r="514" ht="15.75" customHeight="1">
      <c r="A514" s="10"/>
      <c r="B514" s="191"/>
      <c r="C514" s="10"/>
      <c r="D514" s="73"/>
      <c r="E514" s="73"/>
      <c r="F514" s="10"/>
      <c r="G514" s="10"/>
      <c r="H514" s="10"/>
      <c r="I514" s="10"/>
      <c r="J514" s="10"/>
      <c r="K514" s="10"/>
      <c r="L514" s="10"/>
      <c r="M514" s="10"/>
      <c r="N514" s="10"/>
      <c r="O514" s="10"/>
      <c r="P514" s="10"/>
      <c r="Q514" s="10"/>
      <c r="R514" s="10"/>
      <c r="S514" s="10"/>
      <c r="T514" s="10"/>
      <c r="U514" s="10"/>
    </row>
    <row r="515" ht="15.75" customHeight="1">
      <c r="A515" s="10"/>
      <c r="B515" s="191"/>
      <c r="C515" s="10"/>
      <c r="D515" s="73"/>
      <c r="E515" s="73"/>
      <c r="F515" s="10"/>
      <c r="G515" s="10"/>
      <c r="H515" s="10"/>
      <c r="I515" s="10"/>
      <c r="J515" s="10"/>
      <c r="K515" s="10"/>
      <c r="L515" s="10"/>
      <c r="M515" s="10"/>
      <c r="N515" s="10"/>
      <c r="O515" s="10"/>
      <c r="P515" s="10"/>
      <c r="Q515" s="10"/>
      <c r="R515" s="10"/>
      <c r="S515" s="10"/>
      <c r="T515" s="10"/>
      <c r="U515" s="10"/>
    </row>
    <row r="516" ht="15.75" customHeight="1">
      <c r="A516" s="10"/>
      <c r="B516" s="191"/>
      <c r="C516" s="10"/>
      <c r="D516" s="73"/>
      <c r="E516" s="73"/>
      <c r="F516" s="10"/>
      <c r="G516" s="10"/>
      <c r="H516" s="10"/>
      <c r="I516" s="10"/>
      <c r="J516" s="10"/>
      <c r="K516" s="10"/>
      <c r="L516" s="10"/>
      <c r="M516" s="10"/>
      <c r="N516" s="10"/>
      <c r="O516" s="10"/>
      <c r="P516" s="10"/>
      <c r="Q516" s="10"/>
      <c r="R516" s="10"/>
      <c r="S516" s="10"/>
      <c r="T516" s="10"/>
      <c r="U516" s="10"/>
    </row>
    <row r="517" ht="15.75" customHeight="1">
      <c r="A517" s="10"/>
      <c r="B517" s="191"/>
      <c r="C517" s="10"/>
      <c r="D517" s="73"/>
      <c r="E517" s="73"/>
      <c r="F517" s="10"/>
      <c r="G517" s="10"/>
      <c r="H517" s="10"/>
      <c r="I517" s="10"/>
      <c r="J517" s="10"/>
      <c r="K517" s="10"/>
      <c r="L517" s="10"/>
      <c r="M517" s="10"/>
      <c r="N517" s="10"/>
      <c r="O517" s="10"/>
      <c r="P517" s="10"/>
      <c r="Q517" s="10"/>
      <c r="R517" s="10"/>
      <c r="S517" s="10"/>
      <c r="T517" s="10"/>
      <c r="U517" s="10"/>
    </row>
    <row r="518" ht="15.75" customHeight="1">
      <c r="A518" s="10"/>
      <c r="B518" s="191"/>
      <c r="C518" s="10"/>
      <c r="D518" s="73"/>
      <c r="E518" s="73"/>
      <c r="F518" s="10"/>
      <c r="G518" s="10"/>
      <c r="H518" s="10"/>
      <c r="I518" s="10"/>
      <c r="J518" s="10"/>
      <c r="K518" s="10"/>
      <c r="L518" s="10"/>
      <c r="M518" s="10"/>
      <c r="N518" s="10"/>
      <c r="O518" s="10"/>
      <c r="P518" s="10"/>
      <c r="Q518" s="10"/>
      <c r="R518" s="10"/>
      <c r="S518" s="10"/>
      <c r="T518" s="10"/>
      <c r="U518" s="10"/>
    </row>
    <row r="519" ht="15.75" customHeight="1">
      <c r="A519" s="10"/>
      <c r="B519" s="191"/>
      <c r="C519" s="10"/>
      <c r="D519" s="73"/>
      <c r="E519" s="73"/>
      <c r="F519" s="10"/>
      <c r="G519" s="10"/>
      <c r="H519" s="10"/>
      <c r="I519" s="10"/>
      <c r="J519" s="10"/>
      <c r="K519" s="10"/>
      <c r="L519" s="10"/>
      <c r="M519" s="10"/>
      <c r="N519" s="10"/>
      <c r="O519" s="10"/>
      <c r="P519" s="10"/>
      <c r="Q519" s="10"/>
      <c r="R519" s="10"/>
      <c r="S519" s="10"/>
      <c r="T519" s="10"/>
      <c r="U519" s="10"/>
    </row>
    <row r="520" ht="15.75" customHeight="1">
      <c r="A520" s="10"/>
      <c r="B520" s="191"/>
      <c r="C520" s="10"/>
      <c r="D520" s="73"/>
      <c r="E520" s="73"/>
      <c r="F520" s="10"/>
      <c r="G520" s="10"/>
      <c r="H520" s="10"/>
      <c r="I520" s="10"/>
      <c r="J520" s="10"/>
      <c r="K520" s="10"/>
      <c r="L520" s="10"/>
      <c r="M520" s="10"/>
      <c r="N520" s="10"/>
      <c r="O520" s="10"/>
      <c r="P520" s="10"/>
      <c r="Q520" s="10"/>
      <c r="R520" s="10"/>
      <c r="S520" s="10"/>
      <c r="T520" s="10"/>
      <c r="U520" s="10"/>
    </row>
    <row r="521" ht="15.75" customHeight="1">
      <c r="A521" s="10"/>
      <c r="B521" s="191"/>
      <c r="C521" s="10"/>
      <c r="D521" s="73"/>
      <c r="E521" s="73"/>
      <c r="F521" s="10"/>
      <c r="G521" s="10"/>
      <c r="H521" s="10"/>
      <c r="I521" s="10"/>
      <c r="J521" s="10"/>
      <c r="K521" s="10"/>
      <c r="L521" s="10"/>
      <c r="M521" s="10"/>
      <c r="N521" s="10"/>
      <c r="O521" s="10"/>
      <c r="P521" s="10"/>
      <c r="Q521" s="10"/>
      <c r="R521" s="10"/>
      <c r="S521" s="10"/>
      <c r="T521" s="10"/>
      <c r="U521" s="10"/>
    </row>
    <row r="522" ht="15.75" customHeight="1">
      <c r="A522" s="10"/>
      <c r="B522" s="191"/>
      <c r="C522" s="10"/>
      <c r="D522" s="73"/>
      <c r="E522" s="73"/>
      <c r="F522" s="10"/>
      <c r="G522" s="10"/>
      <c r="H522" s="10"/>
      <c r="I522" s="10"/>
      <c r="J522" s="10"/>
      <c r="K522" s="10"/>
      <c r="L522" s="10"/>
      <c r="M522" s="10"/>
      <c r="N522" s="10"/>
      <c r="O522" s="10"/>
      <c r="P522" s="10"/>
      <c r="Q522" s="10"/>
      <c r="R522" s="10"/>
      <c r="S522" s="10"/>
      <c r="T522" s="10"/>
      <c r="U522" s="10"/>
    </row>
    <row r="523" ht="15.75" customHeight="1">
      <c r="A523" s="10"/>
      <c r="B523" s="191"/>
      <c r="C523" s="10"/>
      <c r="D523" s="73"/>
      <c r="E523" s="73"/>
      <c r="F523" s="10"/>
      <c r="G523" s="10"/>
      <c r="H523" s="10"/>
      <c r="I523" s="10"/>
      <c r="J523" s="10"/>
      <c r="K523" s="10"/>
      <c r="L523" s="10"/>
      <c r="M523" s="10"/>
      <c r="N523" s="10"/>
      <c r="O523" s="10"/>
      <c r="P523" s="10"/>
      <c r="Q523" s="10"/>
      <c r="R523" s="10"/>
      <c r="S523" s="10"/>
      <c r="T523" s="10"/>
      <c r="U523" s="10"/>
    </row>
    <row r="524" ht="15.75" customHeight="1">
      <c r="A524" s="10"/>
      <c r="B524" s="191"/>
      <c r="C524" s="10"/>
      <c r="D524" s="73"/>
      <c r="E524" s="73"/>
      <c r="F524" s="10"/>
      <c r="G524" s="10"/>
      <c r="H524" s="10"/>
      <c r="I524" s="10"/>
      <c r="J524" s="10"/>
      <c r="K524" s="10"/>
      <c r="L524" s="10"/>
      <c r="M524" s="10"/>
      <c r="N524" s="10"/>
      <c r="O524" s="10"/>
      <c r="P524" s="10"/>
      <c r="Q524" s="10"/>
      <c r="R524" s="10"/>
      <c r="S524" s="10"/>
      <c r="T524" s="10"/>
      <c r="U524" s="10"/>
    </row>
    <row r="525" ht="15.75" customHeight="1">
      <c r="A525" s="10"/>
      <c r="B525" s="191"/>
      <c r="C525" s="10"/>
      <c r="D525" s="73"/>
      <c r="E525" s="73"/>
      <c r="F525" s="10"/>
      <c r="G525" s="10"/>
      <c r="H525" s="10"/>
      <c r="I525" s="10"/>
      <c r="J525" s="10"/>
      <c r="K525" s="10"/>
      <c r="L525" s="10"/>
      <c r="M525" s="10"/>
      <c r="N525" s="10"/>
      <c r="O525" s="10"/>
      <c r="P525" s="10"/>
      <c r="Q525" s="10"/>
      <c r="R525" s="10"/>
      <c r="S525" s="10"/>
      <c r="T525" s="10"/>
      <c r="U525" s="10"/>
    </row>
    <row r="526" ht="15.75" customHeight="1">
      <c r="A526" s="10"/>
      <c r="B526" s="191"/>
      <c r="C526" s="10"/>
      <c r="D526" s="73"/>
      <c r="E526" s="73"/>
      <c r="F526" s="10"/>
      <c r="G526" s="10"/>
      <c r="H526" s="10"/>
      <c r="I526" s="10"/>
      <c r="J526" s="10"/>
      <c r="K526" s="10"/>
      <c r="L526" s="10"/>
      <c r="M526" s="10"/>
      <c r="N526" s="10"/>
      <c r="O526" s="10"/>
      <c r="P526" s="10"/>
      <c r="Q526" s="10"/>
      <c r="R526" s="10"/>
      <c r="S526" s="10"/>
      <c r="T526" s="10"/>
      <c r="U526" s="10"/>
    </row>
    <row r="527" ht="15.75" customHeight="1">
      <c r="A527" s="10"/>
      <c r="B527" s="191"/>
      <c r="C527" s="10"/>
      <c r="D527" s="73"/>
      <c r="E527" s="73"/>
      <c r="F527" s="10"/>
      <c r="G527" s="10"/>
      <c r="H527" s="10"/>
      <c r="I527" s="10"/>
      <c r="J527" s="10"/>
      <c r="K527" s="10"/>
      <c r="L527" s="10"/>
      <c r="M527" s="10"/>
      <c r="N527" s="10"/>
      <c r="O527" s="10"/>
      <c r="P527" s="10"/>
      <c r="Q527" s="10"/>
      <c r="R527" s="10"/>
      <c r="S527" s="10"/>
      <c r="T527" s="10"/>
      <c r="U527" s="10"/>
    </row>
    <row r="528" ht="15.75" customHeight="1">
      <c r="A528" s="10"/>
      <c r="B528" s="191"/>
      <c r="C528" s="10"/>
      <c r="D528" s="73"/>
      <c r="E528" s="73"/>
      <c r="F528" s="10"/>
      <c r="G528" s="10"/>
      <c r="H528" s="10"/>
      <c r="I528" s="10"/>
      <c r="J528" s="10"/>
      <c r="K528" s="10"/>
      <c r="L528" s="10"/>
      <c r="M528" s="10"/>
      <c r="N528" s="10"/>
      <c r="O528" s="10"/>
      <c r="P528" s="10"/>
      <c r="Q528" s="10"/>
      <c r="R528" s="10"/>
      <c r="S528" s="10"/>
      <c r="T528" s="10"/>
      <c r="U528" s="10"/>
    </row>
    <row r="529" ht="15.75" customHeight="1">
      <c r="A529" s="10"/>
      <c r="B529" s="191"/>
      <c r="C529" s="10"/>
      <c r="D529" s="73"/>
      <c r="E529" s="73"/>
      <c r="F529" s="10"/>
      <c r="G529" s="10"/>
      <c r="H529" s="10"/>
      <c r="I529" s="10"/>
      <c r="J529" s="10"/>
      <c r="K529" s="10"/>
      <c r="L529" s="10"/>
      <c r="M529" s="10"/>
      <c r="N529" s="10"/>
      <c r="O529" s="10"/>
      <c r="P529" s="10"/>
      <c r="Q529" s="10"/>
      <c r="R529" s="10"/>
      <c r="S529" s="10"/>
      <c r="T529" s="10"/>
      <c r="U529" s="10"/>
    </row>
    <row r="530" ht="15.75" customHeight="1">
      <c r="A530" s="10"/>
      <c r="B530" s="191"/>
      <c r="C530" s="10"/>
      <c r="D530" s="73"/>
      <c r="E530" s="73"/>
      <c r="F530" s="10"/>
      <c r="G530" s="10"/>
      <c r="H530" s="10"/>
      <c r="I530" s="10"/>
      <c r="J530" s="10"/>
      <c r="K530" s="10"/>
      <c r="L530" s="10"/>
      <c r="M530" s="10"/>
      <c r="N530" s="10"/>
      <c r="O530" s="10"/>
      <c r="P530" s="10"/>
      <c r="Q530" s="10"/>
      <c r="R530" s="10"/>
      <c r="S530" s="10"/>
      <c r="T530" s="10"/>
      <c r="U530" s="10"/>
    </row>
    <row r="531" ht="15.75" customHeight="1">
      <c r="A531" s="10"/>
      <c r="B531" s="191"/>
      <c r="C531" s="10"/>
      <c r="D531" s="73"/>
      <c r="E531" s="73"/>
      <c r="F531" s="10"/>
      <c r="G531" s="10"/>
      <c r="H531" s="10"/>
      <c r="I531" s="10"/>
      <c r="J531" s="10"/>
      <c r="K531" s="10"/>
      <c r="L531" s="10"/>
      <c r="M531" s="10"/>
      <c r="N531" s="10"/>
      <c r="O531" s="10"/>
      <c r="P531" s="10"/>
      <c r="Q531" s="10"/>
      <c r="R531" s="10"/>
      <c r="S531" s="10"/>
      <c r="T531" s="10"/>
      <c r="U531" s="10"/>
    </row>
    <row r="532" ht="15.75" customHeight="1">
      <c r="A532" s="10"/>
      <c r="B532" s="191"/>
      <c r="C532" s="10"/>
      <c r="D532" s="73"/>
      <c r="E532" s="73"/>
      <c r="F532" s="10"/>
      <c r="G532" s="10"/>
      <c r="H532" s="10"/>
      <c r="I532" s="10"/>
      <c r="J532" s="10"/>
      <c r="K532" s="10"/>
      <c r="L532" s="10"/>
      <c r="M532" s="10"/>
      <c r="N532" s="10"/>
      <c r="O532" s="10"/>
      <c r="P532" s="10"/>
      <c r="Q532" s="10"/>
      <c r="R532" s="10"/>
      <c r="S532" s="10"/>
      <c r="T532" s="10"/>
      <c r="U532" s="10"/>
    </row>
    <row r="533" ht="15.75" customHeight="1">
      <c r="A533" s="10"/>
      <c r="B533" s="191"/>
      <c r="C533" s="10"/>
      <c r="D533" s="73"/>
      <c r="E533" s="73"/>
      <c r="F533" s="10"/>
      <c r="G533" s="10"/>
      <c r="H533" s="10"/>
      <c r="I533" s="10"/>
      <c r="J533" s="10"/>
      <c r="K533" s="10"/>
      <c r="L533" s="10"/>
      <c r="M533" s="10"/>
      <c r="N533" s="10"/>
      <c r="O533" s="10"/>
      <c r="P533" s="10"/>
      <c r="Q533" s="10"/>
      <c r="R533" s="10"/>
      <c r="S533" s="10"/>
      <c r="T533" s="10"/>
      <c r="U533" s="10"/>
    </row>
    <row r="534" ht="15.75" customHeight="1">
      <c r="A534" s="10"/>
      <c r="B534" s="191"/>
      <c r="C534" s="10"/>
      <c r="D534" s="73"/>
      <c r="E534" s="73"/>
      <c r="F534" s="10"/>
      <c r="G534" s="10"/>
      <c r="H534" s="10"/>
      <c r="I534" s="10"/>
      <c r="J534" s="10"/>
      <c r="K534" s="10"/>
      <c r="L534" s="10"/>
      <c r="M534" s="10"/>
      <c r="N534" s="10"/>
      <c r="O534" s="10"/>
      <c r="P534" s="10"/>
      <c r="Q534" s="10"/>
      <c r="R534" s="10"/>
      <c r="S534" s="10"/>
      <c r="T534" s="10"/>
      <c r="U534" s="10"/>
    </row>
    <row r="535" ht="15.75" customHeight="1">
      <c r="A535" s="10"/>
      <c r="B535" s="191"/>
      <c r="C535" s="10"/>
      <c r="D535" s="73"/>
      <c r="E535" s="73"/>
      <c r="F535" s="10"/>
      <c r="G535" s="10"/>
      <c r="H535" s="10"/>
      <c r="I535" s="10"/>
      <c r="J535" s="10"/>
      <c r="K535" s="10"/>
      <c r="L535" s="10"/>
      <c r="M535" s="10"/>
      <c r="N535" s="10"/>
      <c r="O535" s="10"/>
      <c r="P535" s="10"/>
      <c r="Q535" s="10"/>
      <c r="R535" s="10"/>
      <c r="S535" s="10"/>
      <c r="T535" s="10"/>
      <c r="U535" s="10"/>
    </row>
    <row r="536" ht="15.75" customHeight="1">
      <c r="A536" s="10"/>
      <c r="B536" s="191"/>
      <c r="C536" s="10"/>
      <c r="D536" s="73"/>
      <c r="E536" s="73"/>
      <c r="F536" s="10"/>
      <c r="G536" s="10"/>
      <c r="H536" s="10"/>
      <c r="I536" s="10"/>
      <c r="J536" s="10"/>
      <c r="K536" s="10"/>
      <c r="L536" s="10"/>
      <c r="M536" s="10"/>
      <c r="N536" s="10"/>
      <c r="O536" s="10"/>
      <c r="P536" s="10"/>
      <c r="Q536" s="10"/>
      <c r="R536" s="10"/>
      <c r="S536" s="10"/>
      <c r="T536" s="10"/>
      <c r="U536" s="10"/>
    </row>
    <row r="537" ht="15.75" customHeight="1">
      <c r="A537" s="10"/>
      <c r="B537" s="191"/>
      <c r="C537" s="10"/>
      <c r="D537" s="73"/>
      <c r="E537" s="73"/>
      <c r="F537" s="10"/>
      <c r="G537" s="10"/>
      <c r="H537" s="10"/>
      <c r="I537" s="10"/>
      <c r="J537" s="10"/>
      <c r="K537" s="10"/>
      <c r="L537" s="10"/>
      <c r="M537" s="10"/>
      <c r="N537" s="10"/>
      <c r="O537" s="10"/>
      <c r="P537" s="10"/>
      <c r="Q537" s="10"/>
      <c r="R537" s="10"/>
      <c r="S537" s="10"/>
      <c r="T537" s="10"/>
      <c r="U537" s="10"/>
    </row>
    <row r="538" ht="15.75" customHeight="1">
      <c r="A538" s="10"/>
      <c r="B538" s="191"/>
      <c r="C538" s="10"/>
      <c r="D538" s="73"/>
      <c r="E538" s="73"/>
      <c r="F538" s="10"/>
      <c r="G538" s="10"/>
      <c r="H538" s="10"/>
      <c r="I538" s="10"/>
      <c r="J538" s="10"/>
      <c r="K538" s="10"/>
      <c r="L538" s="10"/>
      <c r="M538" s="10"/>
      <c r="N538" s="10"/>
      <c r="O538" s="10"/>
      <c r="P538" s="10"/>
      <c r="Q538" s="10"/>
      <c r="R538" s="10"/>
      <c r="S538" s="10"/>
      <c r="T538" s="10"/>
      <c r="U538" s="10"/>
    </row>
    <row r="539" ht="15.75" customHeight="1">
      <c r="A539" s="10"/>
      <c r="B539" s="191"/>
      <c r="C539" s="10"/>
      <c r="D539" s="73"/>
      <c r="E539" s="73"/>
      <c r="F539" s="10"/>
      <c r="G539" s="10"/>
      <c r="H539" s="10"/>
      <c r="I539" s="10"/>
      <c r="J539" s="10"/>
      <c r="K539" s="10"/>
      <c r="L539" s="10"/>
      <c r="M539" s="10"/>
      <c r="N539" s="10"/>
      <c r="O539" s="10"/>
      <c r="P539" s="10"/>
      <c r="Q539" s="10"/>
      <c r="R539" s="10"/>
      <c r="S539" s="10"/>
      <c r="T539" s="10"/>
      <c r="U539" s="10"/>
    </row>
    <row r="540" ht="15.75" customHeight="1">
      <c r="A540" s="10"/>
      <c r="B540" s="191"/>
      <c r="C540" s="10"/>
      <c r="D540" s="73"/>
      <c r="E540" s="73"/>
      <c r="F540" s="10"/>
      <c r="G540" s="10"/>
      <c r="H540" s="10"/>
      <c r="I540" s="10"/>
      <c r="J540" s="10"/>
      <c r="K540" s="10"/>
      <c r="L540" s="10"/>
      <c r="M540" s="10"/>
      <c r="N540" s="10"/>
      <c r="O540" s="10"/>
      <c r="P540" s="10"/>
      <c r="Q540" s="10"/>
      <c r="R540" s="10"/>
      <c r="S540" s="10"/>
      <c r="T540" s="10"/>
      <c r="U540" s="10"/>
    </row>
    <row r="541" ht="15.75" customHeight="1">
      <c r="A541" s="10"/>
      <c r="B541" s="191"/>
      <c r="C541" s="10"/>
      <c r="D541" s="73"/>
      <c r="E541" s="73"/>
      <c r="F541" s="10"/>
      <c r="G541" s="10"/>
      <c r="H541" s="10"/>
      <c r="I541" s="10"/>
      <c r="J541" s="10"/>
      <c r="K541" s="10"/>
      <c r="L541" s="10"/>
      <c r="M541" s="10"/>
      <c r="N541" s="10"/>
      <c r="O541" s="10"/>
      <c r="P541" s="10"/>
      <c r="Q541" s="10"/>
      <c r="R541" s="10"/>
      <c r="S541" s="10"/>
      <c r="T541" s="10"/>
      <c r="U541" s="10"/>
    </row>
    <row r="542" ht="15.75" customHeight="1">
      <c r="A542" s="10"/>
      <c r="B542" s="191"/>
      <c r="C542" s="10"/>
      <c r="D542" s="73"/>
      <c r="E542" s="73"/>
      <c r="F542" s="10"/>
      <c r="G542" s="10"/>
      <c r="H542" s="10"/>
      <c r="I542" s="10"/>
      <c r="J542" s="10"/>
      <c r="K542" s="10"/>
      <c r="L542" s="10"/>
      <c r="M542" s="10"/>
      <c r="N542" s="10"/>
      <c r="O542" s="10"/>
      <c r="P542" s="10"/>
      <c r="Q542" s="10"/>
      <c r="R542" s="10"/>
      <c r="S542" s="10"/>
      <c r="T542" s="10"/>
      <c r="U542" s="10"/>
    </row>
    <row r="543" ht="15.75" customHeight="1">
      <c r="A543" s="10"/>
      <c r="B543" s="191"/>
      <c r="C543" s="10"/>
      <c r="D543" s="73"/>
      <c r="E543" s="73"/>
      <c r="F543" s="10"/>
      <c r="G543" s="10"/>
      <c r="H543" s="10"/>
      <c r="I543" s="10"/>
      <c r="J543" s="10"/>
      <c r="K543" s="10"/>
      <c r="L543" s="10"/>
      <c r="M543" s="10"/>
      <c r="N543" s="10"/>
      <c r="O543" s="10"/>
      <c r="P543" s="10"/>
      <c r="Q543" s="10"/>
      <c r="R543" s="10"/>
      <c r="S543" s="10"/>
      <c r="T543" s="10"/>
      <c r="U543" s="10"/>
    </row>
    <row r="544" ht="15.75" customHeight="1">
      <c r="A544" s="10"/>
      <c r="B544" s="191"/>
      <c r="C544" s="10"/>
      <c r="D544" s="73"/>
      <c r="E544" s="73"/>
      <c r="F544" s="10"/>
      <c r="G544" s="10"/>
      <c r="H544" s="10"/>
      <c r="I544" s="10"/>
      <c r="J544" s="10"/>
      <c r="K544" s="10"/>
      <c r="L544" s="10"/>
      <c r="M544" s="10"/>
      <c r="N544" s="10"/>
      <c r="O544" s="10"/>
      <c r="P544" s="10"/>
      <c r="Q544" s="10"/>
      <c r="R544" s="10"/>
      <c r="S544" s="10"/>
      <c r="T544" s="10"/>
      <c r="U544" s="10"/>
    </row>
    <row r="545" ht="15.75" customHeight="1">
      <c r="A545" s="10"/>
      <c r="B545" s="191"/>
      <c r="C545" s="10"/>
      <c r="D545" s="73"/>
      <c r="E545" s="73"/>
      <c r="F545" s="10"/>
      <c r="G545" s="10"/>
      <c r="H545" s="10"/>
      <c r="I545" s="10"/>
      <c r="J545" s="10"/>
      <c r="K545" s="10"/>
      <c r="L545" s="10"/>
      <c r="M545" s="10"/>
      <c r="N545" s="10"/>
      <c r="O545" s="10"/>
      <c r="P545" s="10"/>
      <c r="Q545" s="10"/>
      <c r="R545" s="10"/>
      <c r="S545" s="10"/>
      <c r="T545" s="10"/>
      <c r="U545" s="10"/>
    </row>
    <row r="546" ht="15.75" customHeight="1">
      <c r="A546" s="10"/>
      <c r="B546" s="191"/>
      <c r="C546" s="10"/>
      <c r="D546" s="73"/>
      <c r="E546" s="73"/>
      <c r="F546" s="10"/>
      <c r="G546" s="10"/>
      <c r="H546" s="10"/>
      <c r="I546" s="10"/>
      <c r="J546" s="10"/>
      <c r="K546" s="10"/>
      <c r="L546" s="10"/>
      <c r="M546" s="10"/>
      <c r="N546" s="10"/>
      <c r="O546" s="10"/>
      <c r="P546" s="10"/>
      <c r="Q546" s="10"/>
      <c r="R546" s="10"/>
      <c r="S546" s="10"/>
      <c r="T546" s="10"/>
      <c r="U546" s="10"/>
    </row>
    <row r="547" ht="15.75" customHeight="1">
      <c r="A547" s="10"/>
      <c r="B547" s="191"/>
      <c r="C547" s="10"/>
      <c r="D547" s="73"/>
      <c r="E547" s="73"/>
      <c r="F547" s="10"/>
      <c r="G547" s="10"/>
      <c r="H547" s="10"/>
      <c r="I547" s="10"/>
      <c r="J547" s="10"/>
      <c r="K547" s="10"/>
      <c r="L547" s="10"/>
      <c r="M547" s="10"/>
      <c r="N547" s="10"/>
      <c r="O547" s="10"/>
      <c r="P547" s="10"/>
      <c r="Q547" s="10"/>
      <c r="R547" s="10"/>
      <c r="S547" s="10"/>
      <c r="T547" s="10"/>
      <c r="U547" s="10"/>
    </row>
    <row r="548" ht="15.75" customHeight="1">
      <c r="A548" s="10"/>
      <c r="B548" s="191"/>
      <c r="C548" s="10"/>
      <c r="D548" s="73"/>
      <c r="E548" s="73"/>
      <c r="F548" s="10"/>
      <c r="G548" s="10"/>
      <c r="H548" s="10"/>
      <c r="I548" s="10"/>
      <c r="J548" s="10"/>
      <c r="K548" s="10"/>
      <c r="L548" s="10"/>
      <c r="M548" s="10"/>
      <c r="N548" s="10"/>
      <c r="O548" s="10"/>
      <c r="P548" s="10"/>
      <c r="Q548" s="10"/>
      <c r="R548" s="10"/>
      <c r="S548" s="10"/>
      <c r="T548" s="10"/>
      <c r="U548" s="10"/>
    </row>
    <row r="549" ht="15.75" customHeight="1">
      <c r="A549" s="10"/>
      <c r="B549" s="191"/>
      <c r="C549" s="10"/>
      <c r="D549" s="73"/>
      <c r="E549" s="73"/>
      <c r="F549" s="10"/>
      <c r="G549" s="10"/>
      <c r="H549" s="10"/>
      <c r="I549" s="10"/>
      <c r="J549" s="10"/>
      <c r="K549" s="10"/>
      <c r="L549" s="10"/>
      <c r="M549" s="10"/>
      <c r="N549" s="10"/>
      <c r="O549" s="10"/>
      <c r="P549" s="10"/>
      <c r="Q549" s="10"/>
      <c r="R549" s="10"/>
      <c r="S549" s="10"/>
      <c r="T549" s="10"/>
      <c r="U549" s="10"/>
    </row>
    <row r="550" ht="15.75" customHeight="1">
      <c r="A550" s="10"/>
      <c r="B550" s="191"/>
      <c r="C550" s="10"/>
      <c r="D550" s="73"/>
      <c r="E550" s="73"/>
      <c r="F550" s="10"/>
      <c r="G550" s="10"/>
      <c r="H550" s="10"/>
      <c r="I550" s="10"/>
      <c r="J550" s="10"/>
      <c r="K550" s="10"/>
      <c r="L550" s="10"/>
      <c r="M550" s="10"/>
      <c r="N550" s="10"/>
      <c r="O550" s="10"/>
      <c r="P550" s="10"/>
      <c r="Q550" s="10"/>
      <c r="R550" s="10"/>
      <c r="S550" s="10"/>
      <c r="T550" s="10"/>
      <c r="U550" s="10"/>
    </row>
    <row r="551" ht="15.75" customHeight="1">
      <c r="A551" s="10"/>
      <c r="B551" s="191"/>
      <c r="C551" s="10"/>
      <c r="D551" s="73"/>
      <c r="E551" s="73"/>
      <c r="F551" s="10"/>
      <c r="G551" s="10"/>
      <c r="H551" s="10"/>
      <c r="I551" s="10"/>
      <c r="J551" s="10"/>
      <c r="K551" s="10"/>
      <c r="L551" s="10"/>
      <c r="M551" s="10"/>
      <c r="N551" s="10"/>
      <c r="O551" s="10"/>
      <c r="P551" s="10"/>
      <c r="Q551" s="10"/>
      <c r="R551" s="10"/>
      <c r="S551" s="10"/>
      <c r="T551" s="10"/>
      <c r="U551" s="10"/>
    </row>
    <row r="552" ht="15.75" customHeight="1">
      <c r="A552" s="10"/>
      <c r="B552" s="191"/>
      <c r="C552" s="10"/>
      <c r="D552" s="73"/>
      <c r="E552" s="73"/>
      <c r="F552" s="10"/>
      <c r="G552" s="10"/>
      <c r="H552" s="10"/>
      <c r="I552" s="10"/>
      <c r="J552" s="10"/>
      <c r="K552" s="10"/>
      <c r="L552" s="10"/>
      <c r="M552" s="10"/>
      <c r="N552" s="10"/>
      <c r="O552" s="10"/>
      <c r="P552" s="10"/>
      <c r="Q552" s="10"/>
      <c r="R552" s="10"/>
      <c r="S552" s="10"/>
      <c r="T552" s="10"/>
      <c r="U552" s="10"/>
    </row>
    <row r="553" ht="15.75" customHeight="1">
      <c r="A553" s="10"/>
      <c r="B553" s="191"/>
      <c r="C553" s="10"/>
      <c r="D553" s="73"/>
      <c r="E553" s="73"/>
      <c r="F553" s="10"/>
      <c r="G553" s="10"/>
      <c r="H553" s="10"/>
      <c r="I553" s="10"/>
      <c r="J553" s="10"/>
      <c r="K553" s="10"/>
      <c r="L553" s="10"/>
      <c r="M553" s="10"/>
      <c r="N553" s="10"/>
      <c r="O553" s="10"/>
      <c r="P553" s="10"/>
      <c r="Q553" s="10"/>
      <c r="R553" s="10"/>
      <c r="S553" s="10"/>
      <c r="T553" s="10"/>
      <c r="U553" s="10"/>
    </row>
    <row r="554" ht="15.75" customHeight="1">
      <c r="A554" s="10"/>
      <c r="B554" s="191"/>
      <c r="C554" s="10"/>
      <c r="D554" s="73"/>
      <c r="E554" s="73"/>
      <c r="F554" s="10"/>
      <c r="G554" s="10"/>
      <c r="H554" s="10"/>
      <c r="I554" s="10"/>
      <c r="J554" s="10"/>
      <c r="K554" s="10"/>
      <c r="L554" s="10"/>
      <c r="M554" s="10"/>
      <c r="N554" s="10"/>
      <c r="O554" s="10"/>
      <c r="P554" s="10"/>
      <c r="Q554" s="10"/>
      <c r="R554" s="10"/>
      <c r="S554" s="10"/>
      <c r="T554" s="10"/>
      <c r="U554" s="10"/>
    </row>
    <row r="555" ht="15.75" customHeight="1">
      <c r="A555" s="10"/>
      <c r="B555" s="191"/>
      <c r="C555" s="10"/>
      <c r="D555" s="73"/>
      <c r="E555" s="73"/>
      <c r="F555" s="10"/>
      <c r="G555" s="10"/>
      <c r="H555" s="10"/>
      <c r="I555" s="10"/>
      <c r="J555" s="10"/>
      <c r="K555" s="10"/>
      <c r="L555" s="10"/>
      <c r="M555" s="10"/>
      <c r="N555" s="10"/>
      <c r="O555" s="10"/>
      <c r="P555" s="10"/>
      <c r="Q555" s="10"/>
      <c r="R555" s="10"/>
      <c r="S555" s="10"/>
      <c r="T555" s="10"/>
      <c r="U555" s="10"/>
    </row>
    <row r="556" ht="15.75" customHeight="1">
      <c r="A556" s="10"/>
      <c r="B556" s="191"/>
      <c r="C556" s="10"/>
      <c r="D556" s="73"/>
      <c r="E556" s="73"/>
      <c r="F556" s="10"/>
      <c r="G556" s="10"/>
      <c r="H556" s="10"/>
      <c r="I556" s="10"/>
      <c r="J556" s="10"/>
      <c r="K556" s="10"/>
      <c r="L556" s="10"/>
      <c r="M556" s="10"/>
      <c r="N556" s="10"/>
      <c r="O556" s="10"/>
      <c r="P556" s="10"/>
      <c r="Q556" s="10"/>
      <c r="R556" s="10"/>
      <c r="S556" s="10"/>
      <c r="T556" s="10"/>
      <c r="U556" s="10"/>
    </row>
    <row r="557" ht="15.75" customHeight="1">
      <c r="A557" s="10"/>
      <c r="B557" s="191"/>
      <c r="C557" s="10"/>
      <c r="D557" s="73"/>
      <c r="E557" s="73"/>
      <c r="F557" s="10"/>
      <c r="G557" s="10"/>
      <c r="H557" s="10"/>
      <c r="I557" s="10"/>
      <c r="J557" s="10"/>
      <c r="K557" s="10"/>
      <c r="L557" s="10"/>
      <c r="M557" s="10"/>
      <c r="N557" s="10"/>
      <c r="O557" s="10"/>
      <c r="P557" s="10"/>
      <c r="Q557" s="10"/>
      <c r="R557" s="10"/>
      <c r="S557" s="10"/>
      <c r="T557" s="10"/>
      <c r="U557" s="10"/>
    </row>
    <row r="558" ht="15.75" customHeight="1">
      <c r="A558" s="10"/>
      <c r="B558" s="191"/>
      <c r="C558" s="10"/>
      <c r="D558" s="73"/>
      <c r="E558" s="73"/>
      <c r="F558" s="10"/>
      <c r="G558" s="10"/>
      <c r="H558" s="10"/>
      <c r="I558" s="10"/>
      <c r="J558" s="10"/>
      <c r="K558" s="10"/>
      <c r="L558" s="10"/>
      <c r="M558" s="10"/>
      <c r="N558" s="10"/>
      <c r="O558" s="10"/>
      <c r="P558" s="10"/>
      <c r="Q558" s="10"/>
      <c r="R558" s="10"/>
      <c r="S558" s="10"/>
      <c r="T558" s="10"/>
      <c r="U558" s="10"/>
    </row>
    <row r="559" ht="15.75" customHeight="1">
      <c r="A559" s="10"/>
      <c r="B559" s="191"/>
      <c r="C559" s="10"/>
      <c r="D559" s="73"/>
      <c r="E559" s="73"/>
      <c r="F559" s="10"/>
      <c r="G559" s="10"/>
      <c r="H559" s="10"/>
      <c r="I559" s="10"/>
      <c r="J559" s="10"/>
      <c r="K559" s="10"/>
      <c r="L559" s="10"/>
      <c r="M559" s="10"/>
      <c r="N559" s="10"/>
      <c r="O559" s="10"/>
      <c r="P559" s="10"/>
      <c r="Q559" s="10"/>
      <c r="R559" s="10"/>
      <c r="S559" s="10"/>
      <c r="T559" s="10"/>
      <c r="U559" s="10"/>
    </row>
    <row r="560" ht="15.75" customHeight="1">
      <c r="A560" s="10"/>
      <c r="B560" s="191"/>
      <c r="C560" s="10"/>
      <c r="D560" s="73"/>
      <c r="E560" s="73"/>
      <c r="F560" s="10"/>
      <c r="G560" s="10"/>
      <c r="H560" s="10"/>
      <c r="I560" s="10"/>
      <c r="J560" s="10"/>
      <c r="K560" s="10"/>
      <c r="L560" s="10"/>
      <c r="M560" s="10"/>
      <c r="N560" s="10"/>
      <c r="O560" s="10"/>
      <c r="P560" s="10"/>
      <c r="Q560" s="10"/>
      <c r="R560" s="10"/>
      <c r="S560" s="10"/>
      <c r="T560" s="10"/>
      <c r="U560" s="10"/>
    </row>
    <row r="561" ht="15.75" customHeight="1">
      <c r="A561" s="10"/>
      <c r="B561" s="191"/>
      <c r="C561" s="10"/>
      <c r="D561" s="73"/>
      <c r="E561" s="73"/>
      <c r="F561" s="10"/>
      <c r="G561" s="10"/>
      <c r="H561" s="10"/>
      <c r="I561" s="10"/>
      <c r="J561" s="10"/>
      <c r="K561" s="10"/>
      <c r="L561" s="10"/>
      <c r="M561" s="10"/>
      <c r="N561" s="10"/>
      <c r="O561" s="10"/>
      <c r="P561" s="10"/>
      <c r="Q561" s="10"/>
      <c r="R561" s="10"/>
      <c r="S561" s="10"/>
      <c r="T561" s="10"/>
      <c r="U561" s="10"/>
    </row>
    <row r="562" ht="15.75" customHeight="1">
      <c r="A562" s="10"/>
      <c r="B562" s="191"/>
      <c r="C562" s="10"/>
      <c r="D562" s="73"/>
      <c r="E562" s="73"/>
      <c r="F562" s="10"/>
      <c r="G562" s="10"/>
      <c r="H562" s="10"/>
      <c r="I562" s="10"/>
      <c r="J562" s="10"/>
      <c r="K562" s="10"/>
      <c r="L562" s="10"/>
      <c r="M562" s="10"/>
      <c r="N562" s="10"/>
      <c r="O562" s="10"/>
      <c r="P562" s="10"/>
      <c r="Q562" s="10"/>
      <c r="R562" s="10"/>
      <c r="S562" s="10"/>
      <c r="T562" s="10"/>
      <c r="U562" s="10"/>
    </row>
    <row r="563" ht="15.75" customHeight="1">
      <c r="A563" s="10"/>
      <c r="B563" s="191"/>
      <c r="C563" s="10"/>
      <c r="D563" s="73"/>
      <c r="E563" s="73"/>
      <c r="F563" s="10"/>
      <c r="G563" s="10"/>
      <c r="H563" s="10"/>
      <c r="I563" s="10"/>
      <c r="J563" s="10"/>
      <c r="K563" s="10"/>
      <c r="L563" s="10"/>
      <c r="M563" s="10"/>
      <c r="N563" s="10"/>
      <c r="O563" s="10"/>
      <c r="P563" s="10"/>
      <c r="Q563" s="10"/>
      <c r="R563" s="10"/>
      <c r="S563" s="10"/>
      <c r="T563" s="10"/>
      <c r="U563" s="10"/>
    </row>
    <row r="564" ht="15.75" customHeight="1">
      <c r="A564" s="10"/>
      <c r="B564" s="191"/>
      <c r="C564" s="10"/>
      <c r="D564" s="73"/>
      <c r="E564" s="73"/>
      <c r="F564" s="10"/>
      <c r="G564" s="10"/>
      <c r="H564" s="10"/>
      <c r="I564" s="10"/>
      <c r="J564" s="10"/>
      <c r="K564" s="10"/>
      <c r="L564" s="10"/>
      <c r="M564" s="10"/>
      <c r="N564" s="10"/>
      <c r="O564" s="10"/>
      <c r="P564" s="10"/>
      <c r="Q564" s="10"/>
      <c r="R564" s="10"/>
      <c r="S564" s="10"/>
      <c r="T564" s="10"/>
      <c r="U564" s="10"/>
    </row>
    <row r="565" ht="15.75" customHeight="1">
      <c r="A565" s="10"/>
      <c r="B565" s="191"/>
      <c r="C565" s="10"/>
      <c r="D565" s="73"/>
      <c r="E565" s="73"/>
      <c r="F565" s="10"/>
      <c r="G565" s="10"/>
      <c r="H565" s="10"/>
      <c r="I565" s="10"/>
      <c r="J565" s="10"/>
      <c r="K565" s="10"/>
      <c r="L565" s="10"/>
      <c r="M565" s="10"/>
      <c r="N565" s="10"/>
      <c r="O565" s="10"/>
      <c r="P565" s="10"/>
      <c r="Q565" s="10"/>
      <c r="R565" s="10"/>
      <c r="S565" s="10"/>
      <c r="T565" s="10"/>
      <c r="U565" s="10"/>
    </row>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D$565"/>
  <customSheetViews>
    <customSheetView guid="{286D910F-B494-43B4-A0A2-71B95F9B2068}" filter="1" showAutoFilter="1">
      <autoFilter ref="$D$1:$D$565"/>
      <extLst>
        <ext uri="GoogleSheetsCustomDataVersion1">
          <go:sheetsCustomData xmlns:go="http://customooxmlschemas.google.com/" filterViewId="558889685"/>
        </ext>
      </extLst>
    </customSheetView>
  </customSheetView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3.0"/>
    <col customWidth="1" min="3" max="3" width="19.25"/>
    <col customWidth="1" min="4" max="4" width="22.75"/>
    <col customWidth="1" min="5" max="6" width="12.63"/>
  </cols>
  <sheetData>
    <row r="1" ht="15.75" customHeight="1">
      <c r="A1" s="133" t="s">
        <v>4</v>
      </c>
      <c r="B1" s="186" t="s">
        <v>2763</v>
      </c>
      <c r="C1" s="133" t="s">
        <v>1</v>
      </c>
      <c r="D1" s="176" t="s">
        <v>7</v>
      </c>
      <c r="E1" s="187"/>
      <c r="F1" s="5"/>
      <c r="G1" s="5"/>
      <c r="H1" s="5"/>
      <c r="I1" s="5"/>
      <c r="J1" s="5"/>
      <c r="K1" s="5"/>
      <c r="L1" s="5"/>
      <c r="M1" s="5"/>
      <c r="N1" s="5"/>
      <c r="O1" s="5"/>
      <c r="P1" s="5"/>
      <c r="Q1" s="5"/>
      <c r="R1" s="5"/>
      <c r="S1" s="5"/>
      <c r="T1" s="5"/>
      <c r="U1" s="5"/>
    </row>
    <row r="2" ht="15.75" customHeight="1">
      <c r="A2" s="58">
        <v>-1.0</v>
      </c>
      <c r="B2" s="188"/>
      <c r="C2" s="58" t="s">
        <v>134</v>
      </c>
      <c r="D2" s="72"/>
      <c r="E2" s="73"/>
      <c r="F2" s="10"/>
      <c r="G2" s="10"/>
      <c r="H2" s="10"/>
      <c r="I2" s="10"/>
      <c r="J2" s="10"/>
      <c r="K2" s="10"/>
      <c r="L2" s="10"/>
      <c r="M2" s="10"/>
      <c r="N2" s="10"/>
      <c r="O2" s="10"/>
      <c r="P2" s="10"/>
      <c r="Q2" s="10"/>
      <c r="R2" s="10"/>
      <c r="S2" s="10"/>
      <c r="T2" s="10"/>
      <c r="U2" s="10"/>
    </row>
    <row r="3" ht="15.75" customHeight="1">
      <c r="A3" s="58">
        <v>-1.0</v>
      </c>
      <c r="B3" s="188"/>
      <c r="C3" s="58" t="s">
        <v>134</v>
      </c>
      <c r="D3" s="72"/>
      <c r="E3" s="73"/>
      <c r="F3" s="10"/>
      <c r="G3" s="10"/>
      <c r="H3" s="10"/>
      <c r="I3" s="10"/>
      <c r="J3" s="10"/>
      <c r="K3" s="10"/>
      <c r="L3" s="10"/>
      <c r="M3" s="10"/>
      <c r="N3" s="10"/>
      <c r="O3" s="10"/>
      <c r="P3" s="10"/>
      <c r="Q3" s="10"/>
      <c r="R3" s="10"/>
      <c r="S3" s="10"/>
      <c r="T3" s="10"/>
      <c r="U3" s="10"/>
    </row>
    <row r="4" ht="15.75" customHeight="1">
      <c r="A4" s="58">
        <v>-2.0</v>
      </c>
      <c r="B4" s="188"/>
      <c r="C4" s="58" t="s">
        <v>134</v>
      </c>
      <c r="D4" s="72"/>
      <c r="E4" s="73"/>
      <c r="F4" s="189"/>
      <c r="G4" s="10"/>
      <c r="H4" s="10"/>
      <c r="I4" s="10"/>
      <c r="J4" s="10"/>
      <c r="K4" s="10"/>
      <c r="L4" s="10"/>
      <c r="M4" s="10"/>
      <c r="N4" s="10"/>
      <c r="O4" s="10"/>
      <c r="P4" s="10"/>
      <c r="Q4" s="10"/>
      <c r="R4" s="10"/>
      <c r="S4" s="10"/>
      <c r="T4" s="10"/>
      <c r="U4" s="10"/>
    </row>
    <row r="5" ht="15.75" customHeight="1">
      <c r="A5" s="58">
        <v>-2.0</v>
      </c>
      <c r="B5" s="188"/>
      <c r="C5" s="58" t="s">
        <v>134</v>
      </c>
      <c r="D5" s="72"/>
      <c r="E5" s="73"/>
      <c r="F5" s="189"/>
      <c r="G5" s="10"/>
      <c r="H5" s="10"/>
      <c r="I5" s="10"/>
      <c r="J5" s="10"/>
      <c r="K5" s="10"/>
      <c r="L5" s="10"/>
      <c r="M5" s="10"/>
      <c r="N5" s="10"/>
      <c r="O5" s="10"/>
      <c r="P5" s="10"/>
      <c r="Q5" s="10"/>
      <c r="R5" s="10"/>
      <c r="S5" s="10"/>
      <c r="T5" s="10"/>
      <c r="U5" s="10"/>
    </row>
    <row r="6" ht="15.75" customHeight="1">
      <c r="A6" s="58">
        <v>0.0</v>
      </c>
      <c r="B6" s="188"/>
      <c r="C6" s="58" t="s">
        <v>134</v>
      </c>
      <c r="D6" s="72"/>
      <c r="E6" s="73"/>
      <c r="F6" s="10"/>
      <c r="G6" s="10"/>
      <c r="H6" s="10"/>
      <c r="I6" s="10"/>
      <c r="J6" s="10"/>
      <c r="K6" s="10"/>
      <c r="L6" s="10"/>
      <c r="M6" s="10"/>
      <c r="N6" s="10"/>
      <c r="O6" s="10"/>
      <c r="P6" s="10"/>
      <c r="Q6" s="10"/>
      <c r="R6" s="10"/>
      <c r="S6" s="10"/>
      <c r="T6" s="10"/>
      <c r="U6" s="10"/>
    </row>
    <row r="7" ht="15.75" customHeight="1">
      <c r="A7" s="58">
        <v>-3.0</v>
      </c>
      <c r="B7" s="188"/>
      <c r="C7" s="58" t="s">
        <v>14</v>
      </c>
      <c r="D7" s="72"/>
      <c r="E7" s="73"/>
      <c r="F7" s="189"/>
      <c r="G7" s="10"/>
      <c r="H7" s="10"/>
      <c r="I7" s="10"/>
      <c r="J7" s="10"/>
      <c r="K7" s="10"/>
      <c r="L7" s="10"/>
      <c r="M7" s="10"/>
      <c r="N7" s="10"/>
      <c r="O7" s="10"/>
      <c r="P7" s="10"/>
      <c r="Q7" s="10"/>
      <c r="R7" s="10"/>
      <c r="S7" s="10"/>
      <c r="T7" s="10"/>
      <c r="U7" s="10"/>
    </row>
    <row r="8" ht="15.75" customHeight="1">
      <c r="A8" s="58">
        <v>-1.0</v>
      </c>
      <c r="B8" s="188"/>
      <c r="C8" s="58" t="s">
        <v>472</v>
      </c>
      <c r="D8" s="72"/>
      <c r="E8" s="73"/>
      <c r="F8" s="10"/>
      <c r="G8" s="10"/>
      <c r="H8" s="10"/>
      <c r="I8" s="10"/>
      <c r="J8" s="10"/>
      <c r="K8" s="10"/>
      <c r="L8" s="10"/>
      <c r="M8" s="10"/>
      <c r="N8" s="10"/>
      <c r="O8" s="10"/>
      <c r="P8" s="10"/>
      <c r="Q8" s="10"/>
      <c r="R8" s="10"/>
      <c r="S8" s="10"/>
      <c r="T8" s="10"/>
      <c r="U8" s="10"/>
    </row>
    <row r="9" ht="15.75" customHeight="1">
      <c r="A9" s="58">
        <v>0.0</v>
      </c>
      <c r="B9" s="188"/>
      <c r="C9" s="58" t="s">
        <v>472</v>
      </c>
      <c r="D9" s="72"/>
      <c r="E9" s="73"/>
      <c r="F9" s="10"/>
      <c r="G9" s="10"/>
      <c r="H9" s="10"/>
      <c r="I9" s="10"/>
      <c r="J9" s="10"/>
      <c r="K9" s="10"/>
      <c r="L9" s="10"/>
      <c r="M9" s="10"/>
      <c r="N9" s="10"/>
      <c r="O9" s="10"/>
      <c r="P9" s="10"/>
      <c r="Q9" s="10"/>
      <c r="R9" s="10"/>
      <c r="S9" s="10"/>
      <c r="T9" s="10"/>
      <c r="U9" s="10"/>
    </row>
    <row r="10" ht="15.75" customHeight="1">
      <c r="A10" s="58">
        <v>-3.0</v>
      </c>
      <c r="B10" s="188"/>
      <c r="C10" s="58" t="s">
        <v>5667</v>
      </c>
      <c r="D10" s="72"/>
      <c r="E10" s="73"/>
      <c r="F10" s="189"/>
      <c r="G10" s="10"/>
      <c r="H10" s="10"/>
      <c r="I10" s="10"/>
      <c r="J10" s="10"/>
      <c r="K10" s="10"/>
      <c r="L10" s="10"/>
      <c r="M10" s="10"/>
      <c r="N10" s="10"/>
      <c r="O10" s="10"/>
      <c r="P10" s="10"/>
      <c r="Q10" s="10"/>
      <c r="R10" s="10"/>
      <c r="S10" s="10"/>
      <c r="T10" s="10"/>
      <c r="U10" s="10"/>
    </row>
    <row r="11" ht="15.75" customHeight="1">
      <c r="A11" s="58">
        <v>-3.0</v>
      </c>
      <c r="B11" s="188"/>
      <c r="C11" s="58" t="s">
        <v>5667</v>
      </c>
      <c r="D11" s="72"/>
      <c r="E11" s="73"/>
      <c r="F11" s="189"/>
      <c r="G11" s="10"/>
      <c r="H11" s="10"/>
      <c r="I11" s="10"/>
      <c r="J11" s="10"/>
      <c r="K11" s="10"/>
      <c r="L11" s="10"/>
      <c r="M11" s="10"/>
      <c r="N11" s="10"/>
      <c r="O11" s="10"/>
      <c r="P11" s="10"/>
      <c r="Q11" s="10"/>
      <c r="R11" s="10"/>
      <c r="S11" s="10"/>
      <c r="T11" s="10"/>
      <c r="U11" s="10"/>
    </row>
    <row r="12" ht="15.75" customHeight="1">
      <c r="A12" s="58">
        <v>-3.0</v>
      </c>
      <c r="B12" s="188"/>
      <c r="C12" s="58" t="s">
        <v>5668</v>
      </c>
      <c r="D12" s="72"/>
      <c r="E12" s="73"/>
      <c r="F12" s="189"/>
      <c r="G12" s="10"/>
      <c r="H12" s="10"/>
      <c r="I12" s="10"/>
      <c r="J12" s="10"/>
      <c r="K12" s="10"/>
      <c r="L12" s="10"/>
      <c r="M12" s="10"/>
      <c r="N12" s="10"/>
      <c r="O12" s="10"/>
      <c r="P12" s="10"/>
      <c r="Q12" s="10"/>
      <c r="R12" s="10"/>
      <c r="S12" s="10"/>
      <c r="T12" s="10"/>
      <c r="U12" s="10"/>
    </row>
    <row r="13" ht="15.75" customHeight="1">
      <c r="A13" s="58">
        <v>0.0</v>
      </c>
      <c r="B13" s="188"/>
      <c r="C13" s="58" t="s">
        <v>985</v>
      </c>
      <c r="D13" s="72"/>
      <c r="E13" s="73"/>
      <c r="F13" s="10"/>
      <c r="G13" s="10"/>
      <c r="H13" s="10"/>
      <c r="I13" s="10"/>
      <c r="J13" s="10"/>
      <c r="K13" s="10"/>
      <c r="L13" s="10"/>
      <c r="M13" s="10"/>
      <c r="N13" s="10"/>
      <c r="O13" s="10"/>
      <c r="P13" s="10"/>
      <c r="Q13" s="10"/>
      <c r="R13" s="10"/>
      <c r="S13" s="10"/>
      <c r="T13" s="10"/>
      <c r="U13" s="10"/>
    </row>
    <row r="14" ht="15.75" customHeight="1">
      <c r="A14" s="58">
        <v>0.0</v>
      </c>
      <c r="B14" s="188"/>
      <c r="C14" s="58" t="s">
        <v>982</v>
      </c>
      <c r="D14" s="72"/>
      <c r="E14" s="73"/>
      <c r="F14" s="10"/>
      <c r="G14" s="10"/>
      <c r="H14" s="10"/>
      <c r="I14" s="10"/>
      <c r="J14" s="10"/>
      <c r="K14" s="10"/>
      <c r="L14" s="10"/>
      <c r="M14" s="10"/>
      <c r="N14" s="10"/>
      <c r="O14" s="10"/>
      <c r="P14" s="10"/>
      <c r="Q14" s="10"/>
      <c r="R14" s="10"/>
      <c r="S14" s="10"/>
      <c r="T14" s="10"/>
      <c r="U14" s="10"/>
    </row>
    <row r="15" ht="15.75" customHeight="1">
      <c r="A15" s="58">
        <v>-2.0</v>
      </c>
      <c r="B15" s="188"/>
      <c r="C15" s="58" t="s">
        <v>2386</v>
      </c>
      <c r="D15" s="72" t="s">
        <v>24</v>
      </c>
      <c r="E15" s="73"/>
      <c r="F15" s="189"/>
      <c r="G15" s="10"/>
      <c r="H15" s="10"/>
      <c r="I15" s="10"/>
      <c r="J15" s="10"/>
      <c r="K15" s="10"/>
      <c r="L15" s="10"/>
      <c r="M15" s="10"/>
      <c r="N15" s="10"/>
      <c r="O15" s="10"/>
      <c r="P15" s="10"/>
      <c r="Q15" s="10"/>
      <c r="R15" s="10"/>
      <c r="S15" s="10"/>
      <c r="T15" s="10"/>
      <c r="U15" s="10"/>
    </row>
    <row r="16" ht="15.75" customHeight="1">
      <c r="A16" s="58">
        <v>-2.0</v>
      </c>
      <c r="B16" s="188"/>
      <c r="C16" s="138" t="s">
        <v>457</v>
      </c>
      <c r="D16" s="72" t="s">
        <v>459</v>
      </c>
      <c r="E16" s="10"/>
      <c r="F16" s="16"/>
      <c r="G16" s="10"/>
      <c r="H16" s="10"/>
      <c r="I16" s="15"/>
      <c r="J16" s="10"/>
      <c r="K16" s="10"/>
      <c r="L16" s="10"/>
      <c r="M16" s="16"/>
      <c r="N16" s="10"/>
      <c r="O16" s="10"/>
      <c r="P16" s="10"/>
      <c r="Q16" s="10"/>
      <c r="R16" s="10"/>
      <c r="S16" s="10"/>
      <c r="T16" s="10"/>
      <c r="U16" s="10"/>
    </row>
    <row r="17" ht="15.75" customHeight="1">
      <c r="A17" s="58">
        <v>-2.0</v>
      </c>
      <c r="B17" s="188"/>
      <c r="C17" s="138" t="s">
        <v>457</v>
      </c>
      <c r="D17" s="72" t="s">
        <v>459</v>
      </c>
      <c r="E17" s="10"/>
      <c r="F17" s="16"/>
      <c r="G17" s="10"/>
      <c r="H17" s="10"/>
      <c r="I17" s="15"/>
      <c r="J17" s="10"/>
      <c r="K17" s="10"/>
      <c r="L17" s="10"/>
      <c r="M17" s="16"/>
      <c r="N17" s="10"/>
      <c r="O17" s="10"/>
      <c r="P17" s="10"/>
      <c r="Q17" s="10"/>
      <c r="R17" s="10"/>
      <c r="S17" s="10"/>
      <c r="T17" s="10"/>
      <c r="U17" s="10"/>
    </row>
    <row r="18" ht="15.75" customHeight="1">
      <c r="A18" s="58">
        <v>-1.0</v>
      </c>
      <c r="B18" s="188"/>
      <c r="C18" s="58" t="s">
        <v>5669</v>
      </c>
      <c r="D18" s="72" t="s">
        <v>459</v>
      </c>
      <c r="E18" s="73"/>
      <c r="F18" s="10"/>
      <c r="G18" s="10"/>
      <c r="H18" s="10"/>
      <c r="I18" s="10"/>
      <c r="J18" s="10"/>
      <c r="K18" s="10"/>
      <c r="L18" s="10"/>
      <c r="M18" s="10"/>
      <c r="N18" s="10"/>
      <c r="O18" s="10"/>
      <c r="P18" s="10"/>
      <c r="Q18" s="10"/>
      <c r="R18" s="10"/>
      <c r="S18" s="10"/>
      <c r="T18" s="10"/>
      <c r="U18" s="10"/>
    </row>
    <row r="19" ht="15.75" customHeight="1">
      <c r="A19" s="58">
        <v>-2.0</v>
      </c>
      <c r="B19" s="188"/>
      <c r="C19" s="58" t="s">
        <v>5669</v>
      </c>
      <c r="D19" s="72" t="s">
        <v>459</v>
      </c>
      <c r="E19" s="73"/>
      <c r="F19" s="189"/>
      <c r="G19" s="10"/>
      <c r="H19" s="10"/>
      <c r="I19" s="10"/>
      <c r="J19" s="10"/>
      <c r="K19" s="10"/>
      <c r="L19" s="10"/>
      <c r="M19" s="10"/>
      <c r="N19" s="10"/>
      <c r="O19" s="10"/>
      <c r="P19" s="10"/>
      <c r="Q19" s="10"/>
      <c r="R19" s="10"/>
      <c r="S19" s="10"/>
      <c r="T19" s="10"/>
      <c r="U19" s="10"/>
    </row>
    <row r="20" ht="15.75" customHeight="1">
      <c r="A20" s="58">
        <v>-3.0</v>
      </c>
      <c r="B20" s="188"/>
      <c r="C20" s="58" t="s">
        <v>5670</v>
      </c>
      <c r="D20" s="72"/>
      <c r="E20" s="73"/>
      <c r="F20" s="189"/>
      <c r="G20" s="10"/>
      <c r="H20" s="10"/>
      <c r="I20" s="10"/>
      <c r="J20" s="10"/>
      <c r="K20" s="10"/>
      <c r="L20" s="10"/>
      <c r="M20" s="10"/>
      <c r="N20" s="10"/>
      <c r="O20" s="10"/>
      <c r="P20" s="10"/>
      <c r="Q20" s="10"/>
      <c r="R20" s="10"/>
      <c r="S20" s="10"/>
      <c r="T20" s="10"/>
      <c r="U20" s="10"/>
    </row>
    <row r="21" ht="15.75" customHeight="1">
      <c r="A21" s="58">
        <v>-1.0</v>
      </c>
      <c r="B21" s="188"/>
      <c r="C21" s="58" t="s">
        <v>945</v>
      </c>
      <c r="D21" s="72" t="s">
        <v>70</v>
      </c>
      <c r="E21" s="73"/>
      <c r="F21" s="10"/>
      <c r="G21" s="10"/>
      <c r="H21" s="10"/>
      <c r="I21" s="10"/>
      <c r="J21" s="10"/>
      <c r="K21" s="10"/>
      <c r="L21" s="10"/>
      <c r="M21" s="10"/>
      <c r="N21" s="10"/>
      <c r="O21" s="10"/>
      <c r="P21" s="10"/>
      <c r="Q21" s="10"/>
      <c r="R21" s="10"/>
      <c r="S21" s="10"/>
      <c r="T21" s="10"/>
      <c r="U21" s="10"/>
    </row>
    <row r="22" ht="15.75" customHeight="1">
      <c r="A22" s="58">
        <v>-1.0</v>
      </c>
      <c r="B22" s="188"/>
      <c r="C22" s="58" t="s">
        <v>945</v>
      </c>
      <c r="D22" s="72" t="s">
        <v>70</v>
      </c>
      <c r="E22" s="73"/>
      <c r="F22" s="10"/>
      <c r="G22" s="10"/>
      <c r="H22" s="10"/>
      <c r="I22" s="10"/>
      <c r="J22" s="10"/>
      <c r="K22" s="10"/>
      <c r="L22" s="10"/>
      <c r="M22" s="10"/>
      <c r="N22" s="10"/>
      <c r="O22" s="10"/>
      <c r="P22" s="10"/>
      <c r="Q22" s="10"/>
      <c r="R22" s="10"/>
      <c r="S22" s="10"/>
      <c r="T22" s="10"/>
      <c r="U22" s="10"/>
    </row>
    <row r="23" ht="15.75" customHeight="1">
      <c r="A23" s="58">
        <v>1.0</v>
      </c>
      <c r="B23" s="188"/>
      <c r="C23" s="58" t="s">
        <v>1717</v>
      </c>
      <c r="D23" s="72" t="s">
        <v>459</v>
      </c>
      <c r="E23" s="73"/>
      <c r="F23" s="10"/>
      <c r="G23" s="10"/>
      <c r="H23" s="10"/>
      <c r="I23" s="10"/>
      <c r="J23" s="10"/>
      <c r="K23" s="10"/>
      <c r="L23" s="10"/>
      <c r="M23" s="10"/>
      <c r="N23" s="10"/>
      <c r="O23" s="10"/>
      <c r="P23" s="10"/>
      <c r="Q23" s="10"/>
      <c r="R23" s="10"/>
      <c r="S23" s="10"/>
      <c r="T23" s="10"/>
      <c r="U23" s="10"/>
    </row>
    <row r="24" ht="15.75" customHeight="1">
      <c r="A24" s="58">
        <v>-1.0</v>
      </c>
      <c r="B24" s="188"/>
      <c r="C24" s="58" t="s">
        <v>957</v>
      </c>
      <c r="D24" s="72" t="s">
        <v>459</v>
      </c>
      <c r="E24" s="73"/>
      <c r="F24" s="10"/>
      <c r="G24" s="10"/>
      <c r="H24" s="10"/>
      <c r="I24" s="10"/>
      <c r="J24" s="10"/>
      <c r="K24" s="10"/>
      <c r="L24" s="10"/>
      <c r="M24" s="10"/>
      <c r="N24" s="10"/>
      <c r="O24" s="10"/>
      <c r="P24" s="10"/>
      <c r="Q24" s="10"/>
      <c r="R24" s="10"/>
      <c r="S24" s="10"/>
      <c r="T24" s="10"/>
      <c r="U24" s="10"/>
    </row>
    <row r="25" ht="15.75" customHeight="1">
      <c r="A25" s="58">
        <v>0.0</v>
      </c>
      <c r="B25" s="188"/>
      <c r="C25" s="58" t="s">
        <v>957</v>
      </c>
      <c r="D25" s="72" t="s">
        <v>459</v>
      </c>
      <c r="E25" s="73"/>
      <c r="F25" s="10"/>
      <c r="G25" s="10"/>
      <c r="H25" s="10"/>
      <c r="I25" s="10"/>
      <c r="J25" s="10"/>
      <c r="K25" s="10"/>
      <c r="L25" s="10"/>
      <c r="M25" s="10"/>
      <c r="N25" s="10"/>
      <c r="O25" s="10"/>
      <c r="P25" s="10"/>
      <c r="Q25" s="10"/>
      <c r="R25" s="10"/>
      <c r="S25" s="10"/>
      <c r="T25" s="10"/>
      <c r="U25" s="10"/>
    </row>
    <row r="26" ht="15.75" customHeight="1">
      <c r="A26" s="58">
        <v>-1.0</v>
      </c>
      <c r="B26" s="188"/>
      <c r="C26" s="58" t="s">
        <v>466</v>
      </c>
      <c r="D26" s="72"/>
      <c r="E26" s="73"/>
      <c r="F26" s="10"/>
      <c r="G26" s="10"/>
      <c r="H26" s="10"/>
      <c r="I26" s="10"/>
      <c r="J26" s="10"/>
      <c r="K26" s="10"/>
      <c r="L26" s="10"/>
      <c r="M26" s="10"/>
      <c r="N26" s="10"/>
      <c r="O26" s="10"/>
      <c r="P26" s="10"/>
      <c r="Q26" s="10"/>
      <c r="R26" s="10"/>
      <c r="S26" s="10"/>
      <c r="T26" s="10"/>
      <c r="U26" s="10"/>
    </row>
    <row r="27" ht="15.75" customHeight="1">
      <c r="A27" s="58">
        <v>-1.0</v>
      </c>
      <c r="B27" s="188"/>
      <c r="C27" s="58" t="s">
        <v>466</v>
      </c>
      <c r="D27" s="72"/>
      <c r="E27" s="73"/>
      <c r="F27" s="10"/>
      <c r="G27" s="10"/>
      <c r="H27" s="10"/>
      <c r="I27" s="10"/>
      <c r="J27" s="10"/>
      <c r="K27" s="10"/>
      <c r="L27" s="10"/>
      <c r="M27" s="10"/>
      <c r="N27" s="10"/>
      <c r="O27" s="10"/>
      <c r="P27" s="10"/>
      <c r="Q27" s="10"/>
      <c r="R27" s="10"/>
      <c r="S27" s="10"/>
      <c r="T27" s="10"/>
      <c r="U27" s="10"/>
    </row>
    <row r="28" ht="15.75" customHeight="1">
      <c r="A28" s="58">
        <v>-2.0</v>
      </c>
      <c r="B28" s="188"/>
      <c r="C28" s="58" t="s">
        <v>466</v>
      </c>
      <c r="D28" s="72"/>
      <c r="E28" s="73"/>
      <c r="F28" s="189"/>
      <c r="G28" s="10"/>
      <c r="H28" s="10"/>
      <c r="I28" s="10"/>
      <c r="J28" s="10"/>
      <c r="K28" s="10"/>
      <c r="L28" s="10"/>
      <c r="M28" s="10"/>
      <c r="N28" s="10"/>
      <c r="O28" s="10"/>
      <c r="P28" s="10"/>
      <c r="Q28" s="10"/>
      <c r="R28" s="10"/>
      <c r="S28" s="10"/>
      <c r="T28" s="10"/>
      <c r="U28" s="10"/>
    </row>
    <row r="29" ht="15.75" customHeight="1">
      <c r="A29" s="58">
        <v>-2.0</v>
      </c>
      <c r="B29" s="188"/>
      <c r="C29" s="58" t="s">
        <v>466</v>
      </c>
      <c r="D29" s="72"/>
      <c r="E29" s="73"/>
      <c r="F29" s="189"/>
      <c r="G29" s="10"/>
      <c r="H29" s="10"/>
      <c r="I29" s="10"/>
      <c r="J29" s="10"/>
      <c r="K29" s="10"/>
      <c r="L29" s="10"/>
      <c r="M29" s="10"/>
      <c r="N29" s="10"/>
      <c r="O29" s="10"/>
      <c r="P29" s="10"/>
      <c r="Q29" s="10"/>
      <c r="R29" s="10"/>
      <c r="S29" s="10"/>
      <c r="T29" s="10"/>
      <c r="U29" s="10"/>
    </row>
    <row r="30" ht="15.75" customHeight="1">
      <c r="A30" s="58">
        <v>0.0</v>
      </c>
      <c r="B30" s="188"/>
      <c r="C30" s="58" t="s">
        <v>466</v>
      </c>
      <c r="D30" s="72"/>
      <c r="E30" s="73"/>
      <c r="F30" s="10"/>
      <c r="G30" s="10"/>
      <c r="H30" s="10"/>
      <c r="I30" s="10"/>
      <c r="J30" s="10"/>
      <c r="K30" s="10"/>
      <c r="L30" s="10"/>
      <c r="M30" s="10"/>
      <c r="N30" s="10"/>
      <c r="O30" s="10"/>
      <c r="P30" s="10"/>
      <c r="Q30" s="10"/>
      <c r="R30" s="10"/>
      <c r="S30" s="10"/>
      <c r="T30" s="10"/>
      <c r="U30" s="10"/>
    </row>
    <row r="31" ht="15.75" customHeight="1">
      <c r="A31" s="58">
        <v>0.0</v>
      </c>
      <c r="B31" s="188"/>
      <c r="C31" s="58" t="s">
        <v>466</v>
      </c>
      <c r="D31" s="72"/>
      <c r="E31" s="73"/>
      <c r="F31" s="10"/>
      <c r="G31" s="10"/>
      <c r="H31" s="10"/>
      <c r="I31" s="10"/>
      <c r="J31" s="10"/>
      <c r="K31" s="10"/>
      <c r="L31" s="10"/>
      <c r="M31" s="10"/>
      <c r="N31" s="10"/>
      <c r="O31" s="10"/>
      <c r="P31" s="10"/>
      <c r="Q31" s="10"/>
      <c r="R31" s="10"/>
      <c r="S31" s="10"/>
      <c r="T31" s="10"/>
      <c r="U31" s="10"/>
    </row>
    <row r="32" ht="15.75" customHeight="1">
      <c r="A32" s="58">
        <v>0.0</v>
      </c>
      <c r="B32" s="188"/>
      <c r="C32" s="58" t="s">
        <v>466</v>
      </c>
      <c r="D32" s="72"/>
      <c r="E32" s="73"/>
      <c r="F32" s="10"/>
      <c r="G32" s="10"/>
      <c r="H32" s="10"/>
      <c r="I32" s="10"/>
      <c r="J32" s="10"/>
      <c r="K32" s="10"/>
      <c r="L32" s="10"/>
      <c r="M32" s="10"/>
      <c r="N32" s="10"/>
      <c r="O32" s="10"/>
      <c r="P32" s="10"/>
      <c r="Q32" s="10"/>
      <c r="R32" s="10"/>
      <c r="S32" s="10"/>
      <c r="T32" s="10"/>
      <c r="U32" s="10"/>
    </row>
    <row r="33" ht="15.75" customHeight="1">
      <c r="A33" s="58">
        <v>0.0</v>
      </c>
      <c r="B33" s="188"/>
      <c r="C33" s="58" t="s">
        <v>466</v>
      </c>
      <c r="D33" s="72"/>
      <c r="E33" s="73"/>
      <c r="F33" s="10"/>
      <c r="G33" s="10"/>
      <c r="H33" s="10"/>
      <c r="I33" s="10"/>
      <c r="J33" s="10"/>
      <c r="K33" s="10"/>
      <c r="L33" s="10"/>
      <c r="M33" s="10"/>
      <c r="N33" s="10"/>
      <c r="O33" s="10"/>
      <c r="P33" s="10"/>
      <c r="Q33" s="10"/>
      <c r="R33" s="10"/>
      <c r="S33" s="10"/>
      <c r="T33" s="10"/>
      <c r="U33" s="10"/>
    </row>
    <row r="34" ht="15.75" customHeight="1">
      <c r="A34" s="58">
        <v>1.0</v>
      </c>
      <c r="B34" s="188"/>
      <c r="C34" s="58" t="s">
        <v>466</v>
      </c>
      <c r="D34" s="72"/>
      <c r="E34" s="73"/>
      <c r="F34" s="10"/>
      <c r="G34" s="10"/>
      <c r="H34" s="10"/>
      <c r="I34" s="10"/>
      <c r="J34" s="10"/>
      <c r="K34" s="10"/>
      <c r="L34" s="10"/>
      <c r="M34" s="10"/>
      <c r="N34" s="10"/>
      <c r="O34" s="10"/>
      <c r="P34" s="10"/>
      <c r="Q34" s="10"/>
      <c r="R34" s="10"/>
      <c r="S34" s="10"/>
      <c r="T34" s="10"/>
      <c r="U34" s="10"/>
    </row>
    <row r="35" ht="15.75" customHeight="1">
      <c r="A35" s="58">
        <v>1.0</v>
      </c>
      <c r="B35" s="188"/>
      <c r="C35" s="58" t="s">
        <v>466</v>
      </c>
      <c r="D35" s="72"/>
      <c r="E35" s="73"/>
      <c r="F35" s="10"/>
      <c r="G35" s="10"/>
      <c r="H35" s="10"/>
      <c r="I35" s="10"/>
      <c r="J35" s="10"/>
      <c r="K35" s="10"/>
      <c r="L35" s="10"/>
      <c r="M35" s="10"/>
      <c r="N35" s="10"/>
      <c r="O35" s="10"/>
      <c r="P35" s="10"/>
      <c r="Q35" s="10"/>
      <c r="R35" s="10"/>
      <c r="S35" s="10"/>
      <c r="T35" s="10"/>
      <c r="U35" s="10"/>
    </row>
    <row r="36" ht="15.75" customHeight="1">
      <c r="A36" s="58">
        <v>1.0</v>
      </c>
      <c r="B36" s="188"/>
      <c r="C36" s="58" t="s">
        <v>466</v>
      </c>
      <c r="D36" s="72"/>
      <c r="E36" s="73"/>
      <c r="F36" s="10"/>
      <c r="G36" s="10"/>
      <c r="H36" s="10"/>
      <c r="I36" s="10"/>
      <c r="J36" s="10"/>
      <c r="K36" s="10"/>
      <c r="L36" s="10"/>
      <c r="M36" s="10"/>
      <c r="N36" s="10"/>
      <c r="O36" s="10"/>
      <c r="P36" s="10"/>
      <c r="Q36" s="10"/>
      <c r="R36" s="10"/>
      <c r="S36" s="10"/>
      <c r="T36" s="10"/>
      <c r="U36" s="10"/>
    </row>
    <row r="37" ht="15.75" hidden="1" customHeight="1">
      <c r="A37" s="58">
        <v>0.0</v>
      </c>
      <c r="B37" s="58"/>
      <c r="C37" s="58" t="s">
        <v>5671</v>
      </c>
      <c r="D37" s="131" t="s">
        <v>901</v>
      </c>
      <c r="E37" s="73"/>
      <c r="F37" s="189"/>
      <c r="G37" s="10"/>
      <c r="H37" s="10"/>
      <c r="I37" s="10"/>
      <c r="J37" s="10"/>
      <c r="K37" s="10"/>
      <c r="L37" s="10"/>
      <c r="M37" s="10"/>
      <c r="N37" s="10"/>
      <c r="O37" s="10"/>
      <c r="P37" s="10"/>
      <c r="Q37" s="10"/>
      <c r="R37" s="10"/>
      <c r="S37" s="10"/>
      <c r="T37" s="10"/>
      <c r="U37" s="10"/>
    </row>
    <row r="38" ht="15.75" customHeight="1">
      <c r="A38" s="58">
        <v>-2.0</v>
      </c>
      <c r="B38" s="188" t="s">
        <v>5672</v>
      </c>
      <c r="C38" s="58" t="s">
        <v>255</v>
      </c>
      <c r="D38" s="72" t="s">
        <v>163</v>
      </c>
      <c r="E38" s="73"/>
      <c r="F38" s="189"/>
      <c r="G38" s="10"/>
      <c r="H38" s="10"/>
      <c r="I38" s="10"/>
      <c r="J38" s="10"/>
      <c r="K38" s="10"/>
      <c r="L38" s="10"/>
      <c r="M38" s="10"/>
      <c r="N38" s="10"/>
      <c r="O38" s="10"/>
      <c r="P38" s="10"/>
      <c r="Q38" s="10"/>
      <c r="R38" s="10"/>
      <c r="S38" s="10"/>
      <c r="T38" s="10"/>
      <c r="U38" s="10"/>
    </row>
    <row r="39" ht="15.75" customHeight="1">
      <c r="A39" s="58">
        <v>0.0</v>
      </c>
      <c r="B39" s="188" t="s">
        <v>5673</v>
      </c>
      <c r="C39" s="58" t="s">
        <v>1349</v>
      </c>
      <c r="D39" s="72" t="s">
        <v>163</v>
      </c>
      <c r="E39" s="73"/>
      <c r="F39" s="10"/>
      <c r="G39" s="10"/>
      <c r="H39" s="10"/>
      <c r="I39" s="10"/>
      <c r="J39" s="10"/>
      <c r="K39" s="10"/>
      <c r="L39" s="10"/>
      <c r="M39" s="10"/>
      <c r="N39" s="10"/>
      <c r="O39" s="10"/>
      <c r="P39" s="10"/>
      <c r="Q39" s="10"/>
      <c r="R39" s="10"/>
      <c r="S39" s="10"/>
      <c r="T39" s="10"/>
      <c r="U39" s="10"/>
    </row>
    <row r="40" ht="15.75" customHeight="1">
      <c r="A40" s="58">
        <v>-2.0</v>
      </c>
      <c r="B40" s="188" t="s">
        <v>5674</v>
      </c>
      <c r="C40" s="58" t="s">
        <v>205</v>
      </c>
      <c r="D40" s="72" t="s">
        <v>163</v>
      </c>
      <c r="E40" s="73"/>
      <c r="F40" s="189"/>
      <c r="G40" s="10"/>
      <c r="H40" s="10"/>
      <c r="I40" s="10"/>
      <c r="J40" s="10"/>
      <c r="K40" s="10"/>
      <c r="L40" s="10"/>
      <c r="M40" s="10"/>
      <c r="N40" s="10"/>
      <c r="O40" s="10"/>
      <c r="P40" s="10"/>
      <c r="Q40" s="10"/>
      <c r="R40" s="10"/>
      <c r="S40" s="10"/>
      <c r="T40" s="10"/>
      <c r="U40" s="10"/>
    </row>
    <row r="41" ht="15.75" customHeight="1">
      <c r="A41" s="58">
        <v>-2.0</v>
      </c>
      <c r="B41" s="188" t="s">
        <v>5675</v>
      </c>
      <c r="C41" s="58" t="s">
        <v>5676</v>
      </c>
      <c r="D41" s="58" t="s">
        <v>155</v>
      </c>
      <c r="E41" s="10"/>
      <c r="F41" s="16"/>
      <c r="G41" s="10"/>
      <c r="H41" s="10"/>
      <c r="I41" s="15"/>
      <c r="J41" s="10"/>
      <c r="K41" s="10"/>
      <c r="L41" s="10"/>
      <c r="M41" s="16"/>
      <c r="N41" s="10"/>
      <c r="O41" s="10"/>
      <c r="P41" s="10"/>
      <c r="Q41" s="10"/>
      <c r="R41" s="10"/>
      <c r="S41" s="10"/>
      <c r="T41" s="10"/>
      <c r="U41" s="10"/>
    </row>
    <row r="42" ht="15.75" hidden="1" customHeight="1">
      <c r="A42" s="58">
        <v>-1.0</v>
      </c>
      <c r="B42" s="58"/>
      <c r="C42" s="58" t="s">
        <v>903</v>
      </c>
      <c r="D42" s="131" t="s">
        <v>901</v>
      </c>
      <c r="E42" s="73"/>
      <c r="F42" s="189"/>
      <c r="G42" s="10"/>
      <c r="H42" s="10"/>
      <c r="I42" s="10"/>
      <c r="J42" s="10"/>
      <c r="K42" s="10"/>
      <c r="L42" s="10"/>
      <c r="M42" s="10"/>
      <c r="N42" s="10"/>
      <c r="O42" s="10"/>
      <c r="P42" s="10"/>
      <c r="Q42" s="10"/>
      <c r="R42" s="10"/>
      <c r="S42" s="10"/>
      <c r="T42" s="10"/>
      <c r="U42" s="10"/>
    </row>
    <row r="43" ht="15.75" customHeight="1">
      <c r="A43" s="58">
        <v>0.0</v>
      </c>
      <c r="B43" s="188" t="s">
        <v>5677</v>
      </c>
      <c r="C43" s="58" t="s">
        <v>5678</v>
      </c>
      <c r="D43" s="72" t="s">
        <v>179</v>
      </c>
      <c r="E43" s="73"/>
      <c r="F43" s="10"/>
      <c r="G43" s="10"/>
      <c r="H43" s="10"/>
      <c r="I43" s="10"/>
      <c r="J43" s="10"/>
      <c r="K43" s="10"/>
      <c r="L43" s="10"/>
      <c r="M43" s="10"/>
      <c r="N43" s="10"/>
      <c r="O43" s="10"/>
      <c r="P43" s="10"/>
      <c r="Q43" s="10"/>
      <c r="R43" s="10"/>
      <c r="S43" s="10"/>
      <c r="T43" s="10"/>
      <c r="U43" s="10"/>
    </row>
    <row r="44" ht="15.75" customHeight="1">
      <c r="A44" s="58">
        <v>0.0</v>
      </c>
      <c r="B44" s="188" t="s">
        <v>5679</v>
      </c>
      <c r="C44" s="58" t="s">
        <v>5680</v>
      </c>
      <c r="D44" s="72" t="s">
        <v>459</v>
      </c>
      <c r="E44" s="73"/>
      <c r="F44" s="10"/>
      <c r="G44" s="10"/>
      <c r="H44" s="10"/>
      <c r="I44" s="10"/>
      <c r="J44" s="10"/>
      <c r="K44" s="10"/>
      <c r="L44" s="10"/>
      <c r="M44" s="10"/>
      <c r="N44" s="10"/>
      <c r="O44" s="10"/>
      <c r="P44" s="10"/>
      <c r="Q44" s="10"/>
      <c r="R44" s="10"/>
      <c r="S44" s="10"/>
      <c r="T44" s="10"/>
      <c r="U44" s="10"/>
    </row>
    <row r="45" ht="15.75" customHeight="1">
      <c r="A45" s="58">
        <v>1.0</v>
      </c>
      <c r="B45" s="188" t="s">
        <v>5681</v>
      </c>
      <c r="C45" s="58" t="s">
        <v>5682</v>
      </c>
      <c r="D45" s="72" t="s">
        <v>459</v>
      </c>
      <c r="E45" s="73"/>
      <c r="F45" s="10"/>
      <c r="G45" s="10"/>
      <c r="H45" s="10"/>
      <c r="I45" s="10"/>
      <c r="J45" s="10"/>
      <c r="K45" s="10"/>
      <c r="L45" s="10"/>
      <c r="M45" s="10"/>
      <c r="N45" s="10"/>
      <c r="O45" s="10"/>
      <c r="P45" s="10"/>
      <c r="Q45" s="10"/>
      <c r="R45" s="10"/>
      <c r="S45" s="10"/>
      <c r="T45" s="10"/>
      <c r="U45" s="10"/>
    </row>
    <row r="46" ht="15.75" customHeight="1">
      <c r="A46" s="58">
        <v>-2.0</v>
      </c>
      <c r="B46" s="188" t="s">
        <v>5673</v>
      </c>
      <c r="C46" s="58" t="s">
        <v>285</v>
      </c>
      <c r="D46" s="72" t="s">
        <v>179</v>
      </c>
      <c r="E46" s="73"/>
      <c r="F46" s="189"/>
      <c r="G46" s="10"/>
      <c r="H46" s="10"/>
      <c r="I46" s="10"/>
      <c r="J46" s="10"/>
      <c r="K46" s="10"/>
      <c r="L46" s="10"/>
      <c r="M46" s="10"/>
      <c r="N46" s="10"/>
      <c r="O46" s="10"/>
      <c r="P46" s="10"/>
      <c r="Q46" s="10"/>
      <c r="R46" s="10"/>
      <c r="S46" s="10"/>
      <c r="T46" s="10"/>
      <c r="U46" s="10"/>
    </row>
    <row r="47" ht="15.75" hidden="1" customHeight="1">
      <c r="A47" s="58">
        <v>0.0</v>
      </c>
      <c r="B47" s="58"/>
      <c r="C47" s="58" t="s">
        <v>1491</v>
      </c>
      <c r="D47" s="131" t="s">
        <v>901</v>
      </c>
      <c r="E47" s="73"/>
      <c r="F47" s="189"/>
      <c r="G47" s="10"/>
      <c r="H47" s="10"/>
      <c r="I47" s="10"/>
      <c r="J47" s="10"/>
      <c r="K47" s="10"/>
      <c r="L47" s="10"/>
      <c r="M47" s="10"/>
      <c r="N47" s="10"/>
      <c r="O47" s="10"/>
      <c r="P47" s="10"/>
      <c r="Q47" s="10"/>
      <c r="R47" s="10"/>
      <c r="S47" s="10"/>
      <c r="T47" s="10"/>
      <c r="U47" s="10"/>
    </row>
    <row r="48" ht="15.75" customHeight="1">
      <c r="A48" s="58">
        <v>0.0</v>
      </c>
      <c r="B48" s="188" t="s">
        <v>5679</v>
      </c>
      <c r="C48" s="58" t="s">
        <v>5683</v>
      </c>
      <c r="D48" s="72" t="s">
        <v>459</v>
      </c>
      <c r="E48" s="73"/>
      <c r="F48" s="10"/>
      <c r="G48" s="10"/>
      <c r="H48" s="10"/>
      <c r="I48" s="10"/>
      <c r="J48" s="10"/>
      <c r="K48" s="10"/>
      <c r="L48" s="10"/>
      <c r="M48" s="10"/>
      <c r="N48" s="10"/>
      <c r="O48" s="10"/>
      <c r="P48" s="10"/>
      <c r="Q48" s="10"/>
      <c r="R48" s="10"/>
      <c r="S48" s="10"/>
      <c r="T48" s="10"/>
      <c r="U48" s="10"/>
    </row>
    <row r="49" ht="15.75" customHeight="1">
      <c r="A49" s="58">
        <v>0.0</v>
      </c>
      <c r="B49" s="188" t="s">
        <v>5681</v>
      </c>
      <c r="C49" s="58" t="s">
        <v>865</v>
      </c>
      <c r="D49" s="72" t="s">
        <v>125</v>
      </c>
      <c r="E49" s="73"/>
      <c r="F49" s="10"/>
      <c r="G49" s="10"/>
      <c r="H49" s="10"/>
      <c r="I49" s="10"/>
      <c r="J49" s="10"/>
      <c r="K49" s="10"/>
      <c r="L49" s="10"/>
      <c r="M49" s="10"/>
      <c r="N49" s="10"/>
      <c r="O49" s="10"/>
      <c r="P49" s="10"/>
      <c r="Q49" s="10"/>
      <c r="R49" s="10"/>
      <c r="S49" s="10"/>
      <c r="T49" s="10"/>
      <c r="U49" s="10"/>
    </row>
    <row r="50" ht="15.75" customHeight="1">
      <c r="A50" s="58">
        <v>1.0</v>
      </c>
      <c r="B50" s="188" t="s">
        <v>5684</v>
      </c>
      <c r="C50" s="58" t="s">
        <v>1585</v>
      </c>
      <c r="D50" s="72" t="s">
        <v>125</v>
      </c>
      <c r="E50" s="73"/>
      <c r="F50" s="10"/>
      <c r="G50" s="10"/>
      <c r="H50" s="10"/>
      <c r="I50" s="10"/>
      <c r="J50" s="10"/>
      <c r="K50" s="10"/>
      <c r="L50" s="10"/>
      <c r="M50" s="10"/>
      <c r="N50" s="10"/>
      <c r="O50" s="10"/>
      <c r="P50" s="10"/>
      <c r="Q50" s="10"/>
      <c r="R50" s="10"/>
      <c r="S50" s="10"/>
      <c r="T50" s="10"/>
      <c r="U50" s="10"/>
    </row>
    <row r="51" ht="15.75" customHeight="1">
      <c r="A51" s="58">
        <v>-1.0</v>
      </c>
      <c r="B51" s="188" t="s">
        <v>5685</v>
      </c>
      <c r="C51" s="58" t="s">
        <v>399</v>
      </c>
      <c r="D51" s="72" t="s">
        <v>92</v>
      </c>
      <c r="E51" s="73"/>
      <c r="F51" s="10"/>
      <c r="G51" s="10"/>
      <c r="H51" s="10"/>
      <c r="I51" s="10"/>
      <c r="J51" s="10"/>
      <c r="K51" s="10"/>
      <c r="L51" s="10"/>
      <c r="M51" s="10"/>
      <c r="N51" s="10"/>
      <c r="O51" s="10"/>
      <c r="P51" s="10"/>
      <c r="Q51" s="10"/>
      <c r="R51" s="10"/>
      <c r="S51" s="10"/>
      <c r="T51" s="10"/>
      <c r="U51" s="10"/>
    </row>
    <row r="52" ht="15.75" customHeight="1">
      <c r="A52" s="58">
        <v>-2.0</v>
      </c>
      <c r="B52" s="188" t="s">
        <v>5684</v>
      </c>
      <c r="C52" s="58" t="s">
        <v>399</v>
      </c>
      <c r="D52" s="72" t="s">
        <v>92</v>
      </c>
      <c r="E52" s="73"/>
      <c r="F52" s="189"/>
      <c r="G52" s="10"/>
      <c r="H52" s="10"/>
      <c r="I52" s="10"/>
      <c r="J52" s="10"/>
      <c r="K52" s="10"/>
      <c r="L52" s="10"/>
      <c r="M52" s="10"/>
      <c r="N52" s="10"/>
      <c r="O52" s="10"/>
      <c r="P52" s="10"/>
      <c r="Q52" s="10"/>
      <c r="R52" s="10"/>
      <c r="S52" s="10"/>
      <c r="T52" s="10"/>
      <c r="U52" s="10"/>
    </row>
    <row r="53" ht="15.75" customHeight="1">
      <c r="A53" s="58">
        <v>-1.0</v>
      </c>
      <c r="B53" s="188" t="s">
        <v>5686</v>
      </c>
      <c r="C53" s="58" t="s">
        <v>579</v>
      </c>
      <c r="D53" s="72" t="s">
        <v>561</v>
      </c>
      <c r="E53" s="73"/>
      <c r="F53" s="10"/>
      <c r="G53" s="10"/>
      <c r="H53" s="10"/>
      <c r="I53" s="10"/>
      <c r="J53" s="10"/>
      <c r="K53" s="10"/>
      <c r="L53" s="10"/>
      <c r="M53" s="10"/>
      <c r="N53" s="10"/>
      <c r="O53" s="10"/>
      <c r="P53" s="10"/>
      <c r="Q53" s="10"/>
      <c r="R53" s="10"/>
      <c r="S53" s="10"/>
      <c r="T53" s="10"/>
      <c r="U53" s="10"/>
    </row>
    <row r="54" ht="15.75" customHeight="1">
      <c r="A54" s="58">
        <v>0.0</v>
      </c>
      <c r="B54" s="188" t="s">
        <v>5687</v>
      </c>
      <c r="C54" s="58" t="s">
        <v>1406</v>
      </c>
      <c r="D54" s="72" t="s">
        <v>1392</v>
      </c>
      <c r="E54" s="73"/>
      <c r="F54" s="10"/>
      <c r="G54" s="10"/>
      <c r="H54" s="10"/>
      <c r="I54" s="10"/>
      <c r="J54" s="10"/>
      <c r="K54" s="10"/>
      <c r="L54" s="10"/>
      <c r="M54" s="10"/>
      <c r="N54" s="10"/>
      <c r="O54" s="10"/>
      <c r="P54" s="10"/>
      <c r="Q54" s="10"/>
      <c r="R54" s="10"/>
      <c r="S54" s="10"/>
      <c r="T54" s="10"/>
      <c r="U54" s="10"/>
    </row>
    <row r="55" ht="15.75" hidden="1" customHeight="1">
      <c r="A55" s="58">
        <v>0.0</v>
      </c>
      <c r="B55" s="58"/>
      <c r="C55" s="58" t="s">
        <v>5688</v>
      </c>
      <c r="D55" s="131" t="s">
        <v>901</v>
      </c>
      <c r="E55" s="73"/>
      <c r="F55" s="189"/>
      <c r="G55" s="10"/>
      <c r="H55" s="10"/>
      <c r="I55" s="10"/>
      <c r="J55" s="10"/>
      <c r="K55" s="10"/>
      <c r="L55" s="10"/>
      <c r="M55" s="10"/>
      <c r="N55" s="10"/>
      <c r="O55" s="10"/>
      <c r="P55" s="10"/>
      <c r="Q55" s="10"/>
      <c r="R55" s="10"/>
      <c r="S55" s="10"/>
      <c r="T55" s="10"/>
      <c r="U55" s="10"/>
    </row>
    <row r="56" ht="15.75" customHeight="1">
      <c r="A56" s="58">
        <v>-1.0</v>
      </c>
      <c r="B56" s="188" t="s">
        <v>5689</v>
      </c>
      <c r="C56" s="58" t="s">
        <v>705</v>
      </c>
      <c r="D56" s="72" t="s">
        <v>155</v>
      </c>
      <c r="E56" s="73"/>
      <c r="F56" s="10"/>
      <c r="G56" s="10"/>
      <c r="H56" s="10"/>
      <c r="I56" s="10"/>
      <c r="J56" s="10"/>
      <c r="K56" s="10"/>
      <c r="L56" s="10"/>
      <c r="M56" s="10"/>
      <c r="N56" s="10"/>
      <c r="O56" s="10"/>
      <c r="P56" s="10"/>
      <c r="Q56" s="10"/>
      <c r="R56" s="10"/>
      <c r="S56" s="10"/>
      <c r="T56" s="10"/>
      <c r="U56" s="10"/>
    </row>
    <row r="57" ht="15.75" customHeight="1">
      <c r="A57" s="58">
        <v>-2.0</v>
      </c>
      <c r="B57" s="188" t="s">
        <v>5690</v>
      </c>
      <c r="C57" s="58" t="s">
        <v>380</v>
      </c>
      <c r="D57" s="72" t="s">
        <v>70</v>
      </c>
      <c r="E57" s="73"/>
      <c r="F57" s="189"/>
      <c r="G57" s="10"/>
      <c r="H57" s="10"/>
      <c r="I57" s="10"/>
      <c r="J57" s="10"/>
      <c r="K57" s="10"/>
      <c r="L57" s="10"/>
      <c r="M57" s="10"/>
      <c r="N57" s="10"/>
      <c r="O57" s="10"/>
      <c r="P57" s="10"/>
      <c r="Q57" s="10"/>
      <c r="R57" s="10"/>
      <c r="S57" s="10"/>
      <c r="T57" s="10"/>
      <c r="U57" s="10"/>
    </row>
    <row r="58" ht="15.75" customHeight="1">
      <c r="A58" s="58">
        <v>0.0</v>
      </c>
      <c r="B58" s="188" t="s">
        <v>5673</v>
      </c>
      <c r="C58" s="58" t="s">
        <v>1262</v>
      </c>
      <c r="D58" s="72" t="s">
        <v>155</v>
      </c>
      <c r="E58" s="73"/>
      <c r="F58" s="10"/>
      <c r="G58" s="10"/>
      <c r="H58" s="10"/>
      <c r="I58" s="10"/>
      <c r="J58" s="10"/>
      <c r="K58" s="10"/>
      <c r="L58" s="10"/>
      <c r="M58" s="10"/>
      <c r="N58" s="10"/>
      <c r="O58" s="10"/>
      <c r="P58" s="10"/>
      <c r="Q58" s="10"/>
      <c r="R58" s="10"/>
      <c r="S58" s="10"/>
      <c r="T58" s="10"/>
      <c r="U58" s="10"/>
    </row>
    <row r="59" ht="15.75" hidden="1" customHeight="1">
      <c r="A59" s="58">
        <v>-1.0</v>
      </c>
      <c r="B59" s="58"/>
      <c r="C59" s="58" t="s">
        <v>5691</v>
      </c>
      <c r="D59" s="131" t="s">
        <v>901</v>
      </c>
      <c r="E59" s="73"/>
      <c r="F59" s="189"/>
      <c r="G59" s="10"/>
      <c r="H59" s="10"/>
      <c r="I59" s="10"/>
      <c r="J59" s="10"/>
      <c r="K59" s="10"/>
      <c r="L59" s="10"/>
      <c r="M59" s="10"/>
      <c r="N59" s="10"/>
      <c r="O59" s="10"/>
      <c r="P59" s="10"/>
      <c r="Q59" s="10"/>
      <c r="R59" s="10"/>
      <c r="S59" s="10"/>
      <c r="T59" s="10"/>
      <c r="U59" s="10"/>
    </row>
    <row r="60" ht="15.75" customHeight="1">
      <c r="A60" s="58">
        <v>-2.0</v>
      </c>
      <c r="B60" s="188" t="s">
        <v>5692</v>
      </c>
      <c r="C60" s="58" t="s">
        <v>5693</v>
      </c>
      <c r="D60" s="72" t="s">
        <v>70</v>
      </c>
      <c r="E60" s="73"/>
      <c r="F60" s="189"/>
      <c r="G60" s="10"/>
      <c r="H60" s="10"/>
      <c r="I60" s="10"/>
      <c r="J60" s="10"/>
      <c r="K60" s="10"/>
      <c r="L60" s="10"/>
      <c r="M60" s="10"/>
      <c r="N60" s="10"/>
      <c r="O60" s="10"/>
      <c r="P60" s="10"/>
      <c r="Q60" s="10"/>
      <c r="R60" s="10"/>
      <c r="S60" s="10"/>
      <c r="T60" s="10"/>
      <c r="U60" s="10"/>
    </row>
    <row r="61" ht="15.75" hidden="1" customHeight="1">
      <c r="A61" s="58">
        <v>-1.0</v>
      </c>
      <c r="B61" s="58"/>
      <c r="C61" s="58" t="s">
        <v>5502</v>
      </c>
      <c r="D61" s="131" t="s">
        <v>901</v>
      </c>
      <c r="E61" s="73"/>
      <c r="F61" s="189"/>
      <c r="G61" s="10"/>
      <c r="H61" s="10"/>
      <c r="I61" s="10"/>
      <c r="J61" s="10"/>
      <c r="K61" s="10"/>
      <c r="L61" s="10"/>
      <c r="M61" s="10"/>
      <c r="N61" s="10"/>
      <c r="O61" s="10"/>
      <c r="P61" s="10"/>
      <c r="Q61" s="10"/>
      <c r="R61" s="10"/>
      <c r="S61" s="10"/>
      <c r="T61" s="10"/>
      <c r="U61" s="10"/>
    </row>
    <row r="62" ht="15.75" customHeight="1">
      <c r="A62" s="58">
        <v>-3.0</v>
      </c>
      <c r="B62" s="188" t="s">
        <v>5694</v>
      </c>
      <c r="C62" s="58" t="s">
        <v>2301</v>
      </c>
      <c r="D62" s="72" t="s">
        <v>44</v>
      </c>
      <c r="E62" s="73"/>
      <c r="F62" s="189"/>
      <c r="G62" s="10"/>
      <c r="H62" s="10"/>
      <c r="I62" s="10"/>
      <c r="J62" s="10"/>
      <c r="K62" s="10"/>
      <c r="L62" s="10"/>
      <c r="M62" s="10"/>
      <c r="N62" s="10"/>
      <c r="O62" s="10"/>
      <c r="P62" s="10"/>
      <c r="Q62" s="10"/>
      <c r="R62" s="10"/>
      <c r="S62" s="10"/>
      <c r="T62" s="10"/>
      <c r="U62" s="10"/>
    </row>
    <row r="63" ht="15.75" customHeight="1">
      <c r="A63" s="58">
        <v>-1.0</v>
      </c>
      <c r="B63" s="188" t="s">
        <v>5695</v>
      </c>
      <c r="C63" s="58" t="s">
        <v>682</v>
      </c>
      <c r="D63" s="72" t="s">
        <v>163</v>
      </c>
      <c r="E63" s="73"/>
      <c r="F63" s="10"/>
      <c r="G63" s="10"/>
      <c r="H63" s="10"/>
      <c r="I63" s="10"/>
      <c r="J63" s="10"/>
      <c r="K63" s="10"/>
      <c r="L63" s="10"/>
      <c r="M63" s="10"/>
      <c r="N63" s="10"/>
      <c r="O63" s="10"/>
      <c r="P63" s="10"/>
      <c r="Q63" s="10"/>
      <c r="R63" s="10"/>
      <c r="S63" s="10"/>
      <c r="T63" s="10"/>
      <c r="U63" s="10"/>
    </row>
    <row r="64" ht="15.75" customHeight="1">
      <c r="A64" s="58">
        <v>0.0</v>
      </c>
      <c r="B64" s="188" t="s">
        <v>5675</v>
      </c>
      <c r="C64" s="58" t="s">
        <v>682</v>
      </c>
      <c r="D64" s="72" t="s">
        <v>163</v>
      </c>
      <c r="E64" s="73"/>
      <c r="F64" s="10"/>
      <c r="G64" s="10"/>
      <c r="H64" s="10"/>
      <c r="I64" s="10"/>
      <c r="J64" s="10"/>
      <c r="K64" s="10"/>
      <c r="L64" s="10"/>
      <c r="M64" s="10"/>
      <c r="N64" s="10"/>
      <c r="O64" s="10"/>
      <c r="P64" s="10"/>
      <c r="Q64" s="10"/>
      <c r="R64" s="10"/>
      <c r="S64" s="10"/>
      <c r="T64" s="10"/>
      <c r="U64" s="10"/>
    </row>
    <row r="65" ht="15.75" customHeight="1">
      <c r="A65" s="58">
        <v>-1.0</v>
      </c>
      <c r="B65" s="188" t="s">
        <v>5681</v>
      </c>
      <c r="C65" s="58" t="s">
        <v>752</v>
      </c>
      <c r="D65" s="72" t="s">
        <v>163</v>
      </c>
      <c r="E65" s="73"/>
      <c r="F65" s="10"/>
      <c r="G65" s="10"/>
      <c r="H65" s="10"/>
      <c r="I65" s="10"/>
      <c r="J65" s="10"/>
      <c r="K65" s="10"/>
      <c r="L65" s="10"/>
      <c r="M65" s="10"/>
      <c r="N65" s="10"/>
      <c r="O65" s="10"/>
      <c r="P65" s="10"/>
      <c r="Q65" s="10"/>
      <c r="R65" s="10"/>
      <c r="S65" s="10"/>
      <c r="T65" s="10"/>
      <c r="U65" s="10"/>
    </row>
    <row r="66" ht="15.75" hidden="1" customHeight="1">
      <c r="A66" s="58">
        <v>-1.0</v>
      </c>
      <c r="B66" s="58"/>
      <c r="C66" s="58" t="s">
        <v>907</v>
      </c>
      <c r="D66" s="131" t="s">
        <v>901</v>
      </c>
      <c r="E66" s="73"/>
      <c r="F66" s="189"/>
      <c r="G66" s="10"/>
      <c r="H66" s="10"/>
      <c r="I66" s="10"/>
      <c r="J66" s="10"/>
      <c r="K66" s="10"/>
      <c r="L66" s="10"/>
      <c r="M66" s="10"/>
      <c r="N66" s="10"/>
      <c r="O66" s="10"/>
      <c r="P66" s="10"/>
      <c r="Q66" s="10"/>
      <c r="R66" s="10"/>
      <c r="S66" s="10"/>
      <c r="T66" s="10"/>
      <c r="U66" s="10"/>
    </row>
    <row r="67" ht="15.75" customHeight="1">
      <c r="A67" s="58">
        <v>-1.0</v>
      </c>
      <c r="B67" s="188" t="s">
        <v>5696</v>
      </c>
      <c r="C67" s="58" t="s">
        <v>961</v>
      </c>
      <c r="D67" s="72" t="s">
        <v>459</v>
      </c>
      <c r="E67" s="73"/>
      <c r="F67" s="10"/>
      <c r="G67" s="10"/>
      <c r="H67" s="10"/>
      <c r="I67" s="10"/>
      <c r="J67" s="10"/>
      <c r="K67" s="10"/>
      <c r="L67" s="10"/>
      <c r="M67" s="10"/>
      <c r="N67" s="10"/>
      <c r="O67" s="10"/>
      <c r="P67" s="10"/>
      <c r="Q67" s="10"/>
      <c r="R67" s="10"/>
      <c r="S67" s="10"/>
      <c r="T67" s="10"/>
      <c r="U67" s="10"/>
    </row>
    <row r="68" ht="15.75" customHeight="1">
      <c r="A68" s="58">
        <v>-3.0</v>
      </c>
      <c r="B68" s="188" t="s">
        <v>5694</v>
      </c>
      <c r="C68" s="58" t="s">
        <v>5697</v>
      </c>
      <c r="D68" s="72" t="s">
        <v>459</v>
      </c>
      <c r="E68" s="73"/>
      <c r="F68" s="189"/>
      <c r="G68" s="10"/>
      <c r="H68" s="10"/>
      <c r="I68" s="10"/>
      <c r="J68" s="10"/>
      <c r="K68" s="10"/>
      <c r="L68" s="10"/>
      <c r="M68" s="10"/>
      <c r="N68" s="10"/>
      <c r="O68" s="10"/>
      <c r="P68" s="10"/>
      <c r="Q68" s="10"/>
      <c r="R68" s="10"/>
      <c r="S68" s="10"/>
      <c r="T68" s="10"/>
      <c r="U68" s="10"/>
    </row>
    <row r="69" ht="15.75" customHeight="1">
      <c r="A69" s="58">
        <v>0.0</v>
      </c>
      <c r="B69" s="188" t="s">
        <v>5698</v>
      </c>
      <c r="C69" s="58" t="s">
        <v>1524</v>
      </c>
      <c r="D69" s="72" t="s">
        <v>459</v>
      </c>
      <c r="E69" s="73"/>
      <c r="F69" s="10"/>
      <c r="G69" s="10"/>
      <c r="H69" s="10"/>
      <c r="I69" s="10"/>
      <c r="J69" s="10"/>
      <c r="K69" s="10"/>
      <c r="L69" s="10"/>
      <c r="M69" s="10"/>
      <c r="N69" s="10"/>
      <c r="O69" s="10"/>
      <c r="P69" s="10"/>
      <c r="Q69" s="10"/>
      <c r="R69" s="10"/>
      <c r="S69" s="10"/>
      <c r="T69" s="10"/>
      <c r="U69" s="10"/>
    </row>
    <row r="70" ht="15.75" customHeight="1">
      <c r="A70" s="58">
        <v>-1.0</v>
      </c>
      <c r="B70" s="188" t="s">
        <v>5675</v>
      </c>
      <c r="C70" s="58" t="s">
        <v>694</v>
      </c>
      <c r="D70" s="72" t="s">
        <v>163</v>
      </c>
      <c r="E70" s="73"/>
      <c r="F70" s="10"/>
      <c r="G70" s="10"/>
      <c r="H70" s="10"/>
      <c r="I70" s="10"/>
      <c r="J70" s="10"/>
      <c r="K70" s="10"/>
      <c r="L70" s="10"/>
      <c r="M70" s="10"/>
      <c r="N70" s="10"/>
      <c r="O70" s="10"/>
      <c r="P70" s="10"/>
      <c r="Q70" s="10"/>
      <c r="R70" s="10"/>
      <c r="S70" s="10"/>
      <c r="T70" s="10"/>
      <c r="U70" s="10"/>
    </row>
    <row r="71" ht="15.75" hidden="1" customHeight="1">
      <c r="A71" s="58">
        <v>-1.0</v>
      </c>
      <c r="B71" s="58"/>
      <c r="C71" s="58" t="s">
        <v>908</v>
      </c>
      <c r="D71" s="72" t="s">
        <v>901</v>
      </c>
      <c r="E71" s="73"/>
      <c r="F71" s="10"/>
      <c r="G71" s="10"/>
      <c r="H71" s="10"/>
      <c r="I71" s="10"/>
      <c r="J71" s="10"/>
      <c r="K71" s="10"/>
      <c r="L71" s="10"/>
      <c r="M71" s="10"/>
      <c r="N71" s="10"/>
      <c r="O71" s="10"/>
      <c r="P71" s="10"/>
      <c r="Q71" s="10"/>
      <c r="R71" s="10"/>
      <c r="S71" s="10"/>
      <c r="T71" s="10"/>
      <c r="U71" s="10"/>
    </row>
    <row r="72" ht="15.75" hidden="1" customHeight="1">
      <c r="A72" s="58">
        <v>0.0</v>
      </c>
      <c r="B72" s="58"/>
      <c r="C72" s="58" t="s">
        <v>5699</v>
      </c>
      <c r="D72" s="72" t="s">
        <v>901</v>
      </c>
      <c r="E72" s="73"/>
      <c r="F72" s="10"/>
      <c r="G72" s="10"/>
      <c r="H72" s="10"/>
      <c r="I72" s="10"/>
      <c r="J72" s="10"/>
      <c r="K72" s="10"/>
      <c r="L72" s="10"/>
      <c r="M72" s="10"/>
      <c r="N72" s="10"/>
      <c r="O72" s="10"/>
      <c r="P72" s="10"/>
      <c r="Q72" s="10"/>
      <c r="R72" s="10"/>
      <c r="S72" s="10"/>
      <c r="T72" s="10"/>
      <c r="U72" s="10"/>
    </row>
    <row r="73" ht="15.75" customHeight="1">
      <c r="A73" s="58">
        <v>0.0</v>
      </c>
      <c r="B73" s="188" t="s">
        <v>5700</v>
      </c>
      <c r="C73" s="58" t="s">
        <v>1100</v>
      </c>
      <c r="D73" s="72" t="s">
        <v>163</v>
      </c>
      <c r="E73" s="73"/>
      <c r="F73" s="10"/>
      <c r="G73" s="10"/>
      <c r="H73" s="10"/>
      <c r="I73" s="10"/>
      <c r="J73" s="10"/>
      <c r="K73" s="10"/>
      <c r="L73" s="10"/>
      <c r="M73" s="10"/>
      <c r="N73" s="10"/>
      <c r="O73" s="10"/>
      <c r="P73" s="10"/>
      <c r="Q73" s="10"/>
      <c r="R73" s="10"/>
      <c r="S73" s="10"/>
      <c r="T73" s="10"/>
      <c r="U73" s="10"/>
    </row>
    <row r="74" ht="15.75" customHeight="1">
      <c r="A74" s="58">
        <v>-2.0</v>
      </c>
      <c r="B74" s="188" t="s">
        <v>5701</v>
      </c>
      <c r="C74" s="58" t="s">
        <v>2297</v>
      </c>
      <c r="D74" s="72" t="s">
        <v>171</v>
      </c>
      <c r="E74" s="73"/>
      <c r="F74" s="189"/>
      <c r="G74" s="10"/>
      <c r="H74" s="10"/>
      <c r="I74" s="10"/>
      <c r="J74" s="10"/>
      <c r="K74" s="10"/>
      <c r="L74" s="10"/>
      <c r="M74" s="10"/>
      <c r="N74" s="10"/>
      <c r="O74" s="10"/>
      <c r="P74" s="10"/>
      <c r="Q74" s="10"/>
      <c r="R74" s="10"/>
      <c r="S74" s="10"/>
      <c r="T74" s="10"/>
      <c r="U74" s="10"/>
    </row>
    <row r="75" ht="15.75" customHeight="1">
      <c r="A75" s="58">
        <v>-1.0</v>
      </c>
      <c r="B75" s="188" t="s">
        <v>5702</v>
      </c>
      <c r="C75" s="58" t="s">
        <v>569</v>
      </c>
      <c r="D75" s="72" t="s">
        <v>561</v>
      </c>
      <c r="E75" s="73"/>
      <c r="F75" s="10"/>
      <c r="G75" s="10"/>
      <c r="H75" s="10"/>
      <c r="I75" s="10"/>
      <c r="J75" s="10"/>
      <c r="K75" s="10"/>
      <c r="L75" s="10"/>
      <c r="M75" s="10"/>
      <c r="N75" s="10"/>
      <c r="O75" s="10"/>
      <c r="P75" s="10"/>
      <c r="Q75" s="10"/>
      <c r="R75" s="10"/>
      <c r="S75" s="10"/>
      <c r="T75" s="10"/>
      <c r="U75" s="10"/>
    </row>
    <row r="76" ht="15.75" customHeight="1">
      <c r="A76" s="58">
        <v>0.0</v>
      </c>
      <c r="B76" s="188" t="s">
        <v>5703</v>
      </c>
      <c r="C76" s="58" t="s">
        <v>1272</v>
      </c>
      <c r="D76" s="72" t="s">
        <v>155</v>
      </c>
      <c r="E76" s="73"/>
      <c r="F76" s="10"/>
      <c r="G76" s="10"/>
      <c r="H76" s="10"/>
      <c r="I76" s="10"/>
      <c r="J76" s="10"/>
      <c r="K76" s="10"/>
      <c r="L76" s="10"/>
      <c r="M76" s="10"/>
      <c r="N76" s="10"/>
      <c r="O76" s="10"/>
      <c r="P76" s="10"/>
      <c r="Q76" s="10"/>
      <c r="R76" s="10"/>
      <c r="S76" s="10"/>
      <c r="T76" s="10"/>
      <c r="U76" s="10"/>
    </row>
    <row r="77" ht="15.75" customHeight="1">
      <c r="A77" s="58">
        <v>-2.0</v>
      </c>
      <c r="B77" s="188" t="s">
        <v>5673</v>
      </c>
      <c r="C77" s="58" t="s">
        <v>291</v>
      </c>
      <c r="D77" s="72" t="s">
        <v>163</v>
      </c>
      <c r="E77" s="73"/>
      <c r="F77" s="189"/>
      <c r="G77" s="10"/>
      <c r="H77" s="10"/>
      <c r="I77" s="10"/>
      <c r="J77" s="10"/>
      <c r="K77" s="10"/>
      <c r="L77" s="10"/>
      <c r="M77" s="10"/>
      <c r="N77" s="10"/>
      <c r="O77" s="10"/>
      <c r="P77" s="10"/>
      <c r="Q77" s="10"/>
      <c r="R77" s="10"/>
      <c r="S77" s="10"/>
      <c r="T77" s="10"/>
      <c r="U77" s="10"/>
    </row>
    <row r="78" ht="15.75" customHeight="1">
      <c r="A78" s="58">
        <v>-1.0</v>
      </c>
      <c r="B78" s="188" t="s">
        <v>5704</v>
      </c>
      <c r="C78" s="58" t="s">
        <v>549</v>
      </c>
      <c r="D78" s="72" t="s">
        <v>187</v>
      </c>
      <c r="E78" s="73"/>
      <c r="F78" s="10"/>
      <c r="G78" s="10"/>
      <c r="H78" s="10"/>
      <c r="I78" s="10"/>
      <c r="J78" s="10"/>
      <c r="K78" s="10"/>
      <c r="L78" s="10"/>
      <c r="M78" s="10"/>
      <c r="N78" s="10"/>
      <c r="O78" s="10"/>
      <c r="P78" s="10"/>
      <c r="Q78" s="10"/>
      <c r="R78" s="10"/>
      <c r="S78" s="10"/>
      <c r="T78" s="10"/>
      <c r="U78" s="10"/>
    </row>
    <row r="79" ht="15.75" customHeight="1">
      <c r="A79" s="58">
        <v>-1.0</v>
      </c>
      <c r="B79" s="188" t="s">
        <v>5672</v>
      </c>
      <c r="C79" s="58" t="s">
        <v>5705</v>
      </c>
      <c r="D79" s="72" t="s">
        <v>163</v>
      </c>
      <c r="E79" s="73"/>
      <c r="F79" s="10"/>
      <c r="G79" s="10"/>
      <c r="H79" s="10"/>
      <c r="I79" s="10"/>
      <c r="J79" s="10"/>
      <c r="K79" s="10"/>
      <c r="L79" s="10"/>
      <c r="M79" s="10"/>
      <c r="N79" s="10"/>
      <c r="O79" s="10"/>
      <c r="P79" s="10"/>
      <c r="Q79" s="10"/>
      <c r="R79" s="10"/>
      <c r="S79" s="10"/>
      <c r="T79" s="10"/>
      <c r="U79" s="10"/>
    </row>
    <row r="80" ht="15.75" customHeight="1">
      <c r="A80" s="58">
        <v>-1.0</v>
      </c>
      <c r="B80" s="188" t="s">
        <v>5687</v>
      </c>
      <c r="C80" s="58" t="s">
        <v>521</v>
      </c>
      <c r="D80" s="72" t="s">
        <v>163</v>
      </c>
      <c r="E80" s="73"/>
      <c r="F80" s="10"/>
      <c r="G80" s="10"/>
      <c r="H80" s="10"/>
      <c r="I80" s="10"/>
      <c r="J80" s="10"/>
      <c r="K80" s="10"/>
      <c r="L80" s="10"/>
      <c r="M80" s="10"/>
      <c r="N80" s="10"/>
      <c r="O80" s="10"/>
      <c r="P80" s="10"/>
      <c r="Q80" s="10"/>
      <c r="R80" s="10"/>
      <c r="S80" s="10"/>
      <c r="T80" s="10"/>
      <c r="U80" s="10"/>
    </row>
    <row r="81" ht="15.75" customHeight="1">
      <c r="A81" s="58">
        <v>0.0</v>
      </c>
      <c r="B81" s="188" t="s">
        <v>5674</v>
      </c>
      <c r="C81" s="58" t="s">
        <v>1106</v>
      </c>
      <c r="D81" s="72" t="s">
        <v>187</v>
      </c>
      <c r="E81" s="73"/>
      <c r="F81" s="10"/>
      <c r="G81" s="10"/>
      <c r="H81" s="10"/>
      <c r="I81" s="10"/>
      <c r="J81" s="10"/>
      <c r="K81" s="10"/>
      <c r="L81" s="10"/>
      <c r="M81" s="10"/>
      <c r="N81" s="10"/>
      <c r="O81" s="10"/>
      <c r="P81" s="10"/>
      <c r="Q81" s="10"/>
      <c r="R81" s="10"/>
      <c r="S81" s="10"/>
      <c r="T81" s="10"/>
      <c r="U81" s="10"/>
    </row>
    <row r="82" ht="15.75" hidden="1" customHeight="1">
      <c r="A82" s="58">
        <v>0.0</v>
      </c>
      <c r="B82" s="58"/>
      <c r="C82" s="58" t="s">
        <v>5706</v>
      </c>
      <c r="D82" s="72" t="s">
        <v>901</v>
      </c>
      <c r="E82" s="73"/>
      <c r="F82" s="10"/>
      <c r="G82" s="10"/>
      <c r="H82" s="10"/>
      <c r="I82" s="10"/>
      <c r="J82" s="10"/>
      <c r="K82" s="10"/>
      <c r="L82" s="10"/>
      <c r="M82" s="10"/>
      <c r="N82" s="10"/>
      <c r="O82" s="10"/>
      <c r="P82" s="10"/>
      <c r="Q82" s="10"/>
      <c r="R82" s="10"/>
      <c r="S82" s="10"/>
      <c r="T82" s="10"/>
      <c r="U82" s="10"/>
    </row>
    <row r="83" ht="15.75" customHeight="1">
      <c r="A83" s="58">
        <v>-1.0</v>
      </c>
      <c r="B83" s="188" t="s">
        <v>5701</v>
      </c>
      <c r="C83" s="58" t="s">
        <v>618</v>
      </c>
      <c r="D83" s="72" t="s">
        <v>561</v>
      </c>
      <c r="E83" s="73"/>
      <c r="F83" s="10"/>
      <c r="G83" s="10"/>
      <c r="H83" s="10"/>
      <c r="I83" s="10"/>
      <c r="J83" s="10"/>
      <c r="K83" s="10"/>
      <c r="L83" s="10"/>
      <c r="M83" s="10"/>
      <c r="N83" s="10"/>
      <c r="O83" s="10"/>
      <c r="P83" s="10"/>
      <c r="Q83" s="10"/>
      <c r="R83" s="10"/>
      <c r="S83" s="10"/>
      <c r="T83" s="10"/>
      <c r="U83" s="10"/>
    </row>
    <row r="84" ht="15.75" customHeight="1">
      <c r="A84" s="58">
        <v>-2.0</v>
      </c>
      <c r="B84" s="188" t="s">
        <v>5694</v>
      </c>
      <c r="C84" s="58" t="s">
        <v>5707</v>
      </c>
      <c r="D84" s="72" t="s">
        <v>171</v>
      </c>
      <c r="E84" s="73"/>
      <c r="F84" s="189"/>
      <c r="G84" s="10"/>
      <c r="H84" s="10"/>
      <c r="I84" s="10"/>
      <c r="J84" s="10"/>
      <c r="K84" s="10"/>
      <c r="L84" s="10"/>
      <c r="M84" s="10"/>
      <c r="N84" s="10"/>
      <c r="O84" s="10"/>
      <c r="P84" s="10"/>
      <c r="Q84" s="10"/>
      <c r="R84" s="10"/>
      <c r="S84" s="10"/>
      <c r="T84" s="10"/>
      <c r="U84" s="10"/>
    </row>
    <row r="85" ht="15.75" hidden="1" customHeight="1">
      <c r="A85" s="58">
        <v>-1.0</v>
      </c>
      <c r="B85" s="58"/>
      <c r="C85" s="58" t="s">
        <v>5708</v>
      </c>
      <c r="D85" s="72" t="s">
        <v>901</v>
      </c>
      <c r="E85" s="73"/>
      <c r="F85" s="10"/>
      <c r="G85" s="10"/>
      <c r="H85" s="10"/>
      <c r="I85" s="10"/>
      <c r="J85" s="10"/>
      <c r="K85" s="10"/>
      <c r="L85" s="10"/>
      <c r="M85" s="10"/>
      <c r="N85" s="10"/>
      <c r="O85" s="10"/>
      <c r="P85" s="10"/>
      <c r="Q85" s="10"/>
      <c r="R85" s="10"/>
      <c r="S85" s="10"/>
      <c r="T85" s="10"/>
      <c r="U85" s="10"/>
    </row>
    <row r="86" ht="15.75" hidden="1" customHeight="1">
      <c r="A86" s="58">
        <v>0.0</v>
      </c>
      <c r="B86" s="58"/>
      <c r="C86" s="58" t="s">
        <v>1458</v>
      </c>
      <c r="D86" s="72" t="s">
        <v>901</v>
      </c>
      <c r="E86" s="73"/>
      <c r="F86" s="10"/>
      <c r="G86" s="10"/>
      <c r="H86" s="10"/>
      <c r="I86" s="10"/>
      <c r="J86" s="10"/>
      <c r="K86" s="10"/>
      <c r="L86" s="10"/>
      <c r="M86" s="10"/>
      <c r="N86" s="10"/>
      <c r="O86" s="10"/>
      <c r="P86" s="10"/>
      <c r="Q86" s="10"/>
      <c r="R86" s="10"/>
      <c r="S86" s="10"/>
      <c r="T86" s="10"/>
      <c r="U86" s="10"/>
    </row>
    <row r="87" ht="15.75" customHeight="1">
      <c r="A87" s="58">
        <v>1.0</v>
      </c>
      <c r="B87" s="188" t="s">
        <v>5698</v>
      </c>
      <c r="C87" s="58" t="s">
        <v>1708</v>
      </c>
      <c r="D87" s="72" t="s">
        <v>125</v>
      </c>
      <c r="E87" s="10"/>
      <c r="F87" s="10"/>
      <c r="G87" s="10"/>
      <c r="H87" s="10"/>
      <c r="I87" s="10"/>
      <c r="J87" s="10"/>
      <c r="K87" s="10"/>
      <c r="L87" s="10"/>
      <c r="M87" s="10"/>
      <c r="N87" s="10"/>
      <c r="O87" s="10"/>
      <c r="P87" s="10"/>
      <c r="Q87" s="10"/>
      <c r="R87" s="10"/>
      <c r="S87" s="10"/>
      <c r="T87" s="10"/>
      <c r="U87" s="10"/>
    </row>
    <row r="88" ht="15.75" hidden="1" customHeight="1">
      <c r="A88" s="58">
        <v>-1.0</v>
      </c>
      <c r="B88" s="58"/>
      <c r="C88" s="58" t="s">
        <v>5709</v>
      </c>
      <c r="D88" s="72" t="s">
        <v>901</v>
      </c>
      <c r="E88" s="73"/>
      <c r="F88" s="10"/>
      <c r="G88" s="10"/>
      <c r="H88" s="10"/>
      <c r="I88" s="10"/>
      <c r="J88" s="10"/>
      <c r="K88" s="10"/>
      <c r="L88" s="10"/>
      <c r="M88" s="10"/>
      <c r="N88" s="10"/>
      <c r="O88" s="10"/>
      <c r="P88" s="10"/>
      <c r="Q88" s="10"/>
      <c r="R88" s="10"/>
      <c r="S88" s="10"/>
      <c r="T88" s="10"/>
      <c r="U88" s="10"/>
    </row>
    <row r="89" ht="15.75" customHeight="1">
      <c r="A89" s="58">
        <v>-2.0</v>
      </c>
      <c r="B89" s="188" t="s">
        <v>5710</v>
      </c>
      <c r="C89" s="58" t="s">
        <v>2387</v>
      </c>
      <c r="D89" s="72" t="s">
        <v>44</v>
      </c>
      <c r="E89" s="73"/>
      <c r="F89" s="10"/>
      <c r="G89" s="10"/>
      <c r="H89" s="10"/>
      <c r="I89" s="10"/>
      <c r="J89" s="10"/>
      <c r="K89" s="10"/>
      <c r="L89" s="10"/>
      <c r="M89" s="10"/>
      <c r="N89" s="10"/>
      <c r="O89" s="10"/>
      <c r="P89" s="10"/>
      <c r="Q89" s="10"/>
      <c r="R89" s="10"/>
      <c r="S89" s="10"/>
      <c r="T89" s="10"/>
      <c r="U89" s="10"/>
    </row>
    <row r="90" ht="15.75" customHeight="1">
      <c r="A90" s="58">
        <v>-2.0</v>
      </c>
      <c r="B90" s="188" t="s">
        <v>5685</v>
      </c>
      <c r="C90" s="58" t="s">
        <v>5711</v>
      </c>
      <c r="D90" s="72" t="s">
        <v>459</v>
      </c>
      <c r="E90" s="73"/>
      <c r="F90" s="189"/>
      <c r="G90" s="10"/>
      <c r="H90" s="10"/>
      <c r="I90" s="10"/>
      <c r="J90" s="10"/>
      <c r="K90" s="10"/>
      <c r="L90" s="10"/>
      <c r="M90" s="10"/>
      <c r="N90" s="10"/>
      <c r="O90" s="10"/>
      <c r="P90" s="10"/>
      <c r="Q90" s="10"/>
      <c r="R90" s="10"/>
      <c r="S90" s="10"/>
      <c r="T90" s="10"/>
      <c r="U90" s="10"/>
    </row>
    <row r="91" ht="15.75" customHeight="1">
      <c r="A91" s="58">
        <v>-2.0</v>
      </c>
      <c r="B91" s="188" t="s">
        <v>5712</v>
      </c>
      <c r="C91" s="58" t="s">
        <v>356</v>
      </c>
      <c r="D91" s="72" t="s">
        <v>163</v>
      </c>
      <c r="E91" s="73"/>
      <c r="F91" s="189"/>
      <c r="G91" s="10"/>
      <c r="H91" s="10"/>
      <c r="I91" s="10"/>
      <c r="J91" s="10"/>
      <c r="K91" s="10"/>
      <c r="L91" s="10"/>
      <c r="M91" s="10"/>
      <c r="N91" s="10"/>
      <c r="O91" s="10"/>
      <c r="P91" s="10"/>
      <c r="Q91" s="10"/>
      <c r="R91" s="10"/>
      <c r="S91" s="10"/>
      <c r="T91" s="10"/>
      <c r="U91" s="10"/>
    </row>
    <row r="92" ht="15.75" customHeight="1">
      <c r="A92" s="58">
        <v>0.0</v>
      </c>
      <c r="B92" s="188" t="s">
        <v>5713</v>
      </c>
      <c r="C92" s="58" t="s">
        <v>1374</v>
      </c>
      <c r="D92" s="72" t="s">
        <v>459</v>
      </c>
      <c r="E92" s="73"/>
      <c r="F92" s="10"/>
      <c r="G92" s="10"/>
      <c r="H92" s="10"/>
      <c r="I92" s="10"/>
      <c r="J92" s="10"/>
      <c r="K92" s="10"/>
      <c r="L92" s="10"/>
      <c r="M92" s="10"/>
      <c r="N92" s="10"/>
      <c r="O92" s="10"/>
      <c r="P92" s="10"/>
      <c r="Q92" s="10"/>
      <c r="R92" s="10"/>
      <c r="S92" s="10"/>
      <c r="T92" s="10"/>
      <c r="U92" s="10"/>
    </row>
    <row r="93" ht="15.75" customHeight="1">
      <c r="A93" s="58">
        <v>-1.0</v>
      </c>
      <c r="B93" s="188" t="s">
        <v>5685</v>
      </c>
      <c r="C93" s="58" t="s">
        <v>777</v>
      </c>
      <c r="D93" s="72" t="s">
        <v>163</v>
      </c>
      <c r="E93" s="73"/>
      <c r="F93" s="10"/>
      <c r="G93" s="10"/>
      <c r="H93" s="10"/>
      <c r="I93" s="10"/>
      <c r="J93" s="10"/>
      <c r="K93" s="10"/>
      <c r="L93" s="10"/>
      <c r="M93" s="10"/>
      <c r="N93" s="10"/>
      <c r="O93" s="10"/>
      <c r="P93" s="10"/>
      <c r="Q93" s="10"/>
      <c r="R93" s="10"/>
      <c r="S93" s="10"/>
      <c r="T93" s="10"/>
      <c r="U93" s="10"/>
    </row>
    <row r="94" ht="15.75" customHeight="1">
      <c r="A94" s="58">
        <v>0.0</v>
      </c>
      <c r="B94" s="188" t="s">
        <v>5704</v>
      </c>
      <c r="C94" s="58" t="s">
        <v>1015</v>
      </c>
      <c r="D94" s="72" t="s">
        <v>187</v>
      </c>
      <c r="E94" s="73"/>
      <c r="F94" s="10"/>
      <c r="G94" s="10"/>
      <c r="H94" s="10"/>
      <c r="I94" s="10"/>
      <c r="J94" s="10"/>
      <c r="K94" s="10"/>
      <c r="L94" s="10"/>
      <c r="M94" s="10"/>
      <c r="N94" s="10"/>
      <c r="O94" s="10"/>
      <c r="P94" s="10"/>
      <c r="Q94" s="10"/>
      <c r="R94" s="10"/>
      <c r="S94" s="10"/>
      <c r="T94" s="10"/>
      <c r="U94" s="10"/>
    </row>
    <row r="95" ht="15.75" customHeight="1">
      <c r="A95" s="58">
        <v>-1.0</v>
      </c>
      <c r="B95" s="188" t="s">
        <v>5696</v>
      </c>
      <c r="C95" s="58" t="s">
        <v>699</v>
      </c>
      <c r="D95" s="72" t="s">
        <v>187</v>
      </c>
      <c r="E95" s="73"/>
      <c r="F95" s="10"/>
      <c r="G95" s="10"/>
      <c r="H95" s="10"/>
      <c r="I95" s="10"/>
      <c r="J95" s="10"/>
      <c r="K95" s="10"/>
      <c r="L95" s="10"/>
      <c r="M95" s="10"/>
      <c r="N95" s="10"/>
      <c r="O95" s="10"/>
      <c r="P95" s="10"/>
      <c r="Q95" s="10"/>
      <c r="R95" s="10"/>
      <c r="S95" s="10"/>
      <c r="T95" s="10"/>
      <c r="U95" s="10"/>
    </row>
    <row r="96" ht="15.75" customHeight="1">
      <c r="A96" s="58">
        <v>1.0</v>
      </c>
      <c r="B96" s="188" t="s">
        <v>5703</v>
      </c>
      <c r="C96" s="58" t="s">
        <v>1579</v>
      </c>
      <c r="D96" s="72" t="s">
        <v>44</v>
      </c>
      <c r="E96" s="73"/>
      <c r="F96" s="10"/>
      <c r="G96" s="10"/>
      <c r="H96" s="10"/>
      <c r="I96" s="10"/>
      <c r="J96" s="10"/>
      <c r="K96" s="10"/>
      <c r="L96" s="10"/>
      <c r="M96" s="10"/>
      <c r="N96" s="10"/>
      <c r="O96" s="10"/>
      <c r="P96" s="10"/>
      <c r="Q96" s="10"/>
      <c r="R96" s="10"/>
      <c r="S96" s="10"/>
      <c r="T96" s="10"/>
      <c r="U96" s="10"/>
    </row>
    <row r="97" ht="15.75" customHeight="1">
      <c r="A97" s="58">
        <v>-2.0</v>
      </c>
      <c r="B97" s="188" t="s">
        <v>5714</v>
      </c>
      <c r="C97" s="58" t="s">
        <v>157</v>
      </c>
      <c r="D97" s="72" t="s">
        <v>163</v>
      </c>
      <c r="E97" s="73"/>
      <c r="F97" s="189"/>
      <c r="G97" s="10"/>
      <c r="H97" s="10"/>
      <c r="I97" s="10"/>
      <c r="J97" s="10"/>
      <c r="K97" s="10"/>
      <c r="L97" s="10"/>
      <c r="M97" s="10"/>
      <c r="N97" s="10"/>
      <c r="O97" s="10"/>
      <c r="P97" s="10"/>
      <c r="Q97" s="10"/>
      <c r="R97" s="10"/>
      <c r="S97" s="10"/>
      <c r="T97" s="10"/>
      <c r="U97" s="10"/>
    </row>
    <row r="98" ht="15.75" customHeight="1">
      <c r="A98" s="58">
        <v>0.0</v>
      </c>
      <c r="B98" s="188" t="s">
        <v>5679</v>
      </c>
      <c r="C98" s="58" t="s">
        <v>5715</v>
      </c>
      <c r="D98" s="72" t="s">
        <v>459</v>
      </c>
      <c r="E98" s="73"/>
      <c r="F98" s="10"/>
      <c r="G98" s="10"/>
      <c r="H98" s="10"/>
      <c r="I98" s="10"/>
      <c r="J98" s="10"/>
      <c r="K98" s="10"/>
      <c r="L98" s="10"/>
      <c r="M98" s="10"/>
      <c r="N98" s="10"/>
      <c r="O98" s="10"/>
      <c r="P98" s="10"/>
      <c r="Q98" s="10"/>
      <c r="R98" s="10"/>
      <c r="S98" s="10"/>
      <c r="T98" s="10"/>
      <c r="U98" s="10"/>
    </row>
    <row r="99" ht="15.75" customHeight="1">
      <c r="A99" s="58">
        <v>-1.0</v>
      </c>
      <c r="B99" s="188" t="s">
        <v>5677</v>
      </c>
      <c r="C99" s="58" t="s">
        <v>740</v>
      </c>
      <c r="D99" s="72" t="s">
        <v>163</v>
      </c>
      <c r="E99" s="73"/>
      <c r="F99" s="10"/>
      <c r="G99" s="10"/>
      <c r="H99" s="10"/>
      <c r="I99" s="10"/>
      <c r="J99" s="10"/>
      <c r="K99" s="10"/>
      <c r="L99" s="10"/>
      <c r="M99" s="10"/>
      <c r="N99" s="10"/>
      <c r="O99" s="10"/>
      <c r="P99" s="10"/>
      <c r="Q99" s="10"/>
      <c r="R99" s="10"/>
      <c r="S99" s="10"/>
      <c r="T99" s="10"/>
      <c r="U99" s="10"/>
    </row>
    <row r="100" ht="15.75" customHeight="1">
      <c r="A100" s="58">
        <v>0.0</v>
      </c>
      <c r="B100" s="188" t="s">
        <v>5698</v>
      </c>
      <c r="C100" s="58" t="s">
        <v>1290</v>
      </c>
      <c r="D100" s="72" t="s">
        <v>163</v>
      </c>
      <c r="E100" s="73"/>
      <c r="F100" s="10"/>
      <c r="G100" s="10"/>
      <c r="H100" s="10"/>
      <c r="I100" s="10"/>
      <c r="J100" s="10"/>
      <c r="K100" s="10"/>
      <c r="L100" s="10"/>
      <c r="M100" s="10"/>
      <c r="N100" s="10"/>
      <c r="O100" s="10"/>
      <c r="P100" s="10"/>
      <c r="Q100" s="10"/>
      <c r="R100" s="10"/>
      <c r="S100" s="10"/>
      <c r="T100" s="10"/>
      <c r="U100" s="10"/>
    </row>
    <row r="101" ht="15.75" customHeight="1">
      <c r="A101" s="58">
        <v>-1.0</v>
      </c>
      <c r="B101" s="188" t="s">
        <v>5716</v>
      </c>
      <c r="C101" s="58" t="s">
        <v>543</v>
      </c>
      <c r="D101" s="72" t="s">
        <v>179</v>
      </c>
      <c r="E101" s="73"/>
      <c r="F101" s="10"/>
      <c r="G101" s="10"/>
      <c r="H101" s="10"/>
      <c r="I101" s="10"/>
      <c r="J101" s="10"/>
      <c r="K101" s="10"/>
      <c r="L101" s="10"/>
      <c r="M101" s="10"/>
      <c r="N101" s="10"/>
      <c r="O101" s="10"/>
      <c r="P101" s="10"/>
      <c r="Q101" s="10"/>
      <c r="R101" s="10"/>
      <c r="S101" s="10"/>
      <c r="T101" s="10"/>
      <c r="U101" s="10"/>
    </row>
    <row r="102" ht="15.75" customHeight="1">
      <c r="A102" s="58">
        <v>0.0</v>
      </c>
      <c r="B102" s="188" t="s">
        <v>5701</v>
      </c>
      <c r="C102" s="58" t="s">
        <v>2426</v>
      </c>
      <c r="D102" s="72" t="s">
        <v>163</v>
      </c>
      <c r="E102" s="73"/>
      <c r="F102" s="10"/>
      <c r="G102" s="10"/>
      <c r="H102" s="10"/>
      <c r="I102" s="10"/>
      <c r="J102" s="10"/>
      <c r="K102" s="10"/>
      <c r="L102" s="10"/>
      <c r="M102" s="10"/>
      <c r="N102" s="10"/>
      <c r="O102" s="10"/>
      <c r="P102" s="10"/>
      <c r="Q102" s="10"/>
      <c r="R102" s="10"/>
      <c r="S102" s="10"/>
      <c r="T102" s="10"/>
      <c r="U102" s="10"/>
    </row>
    <row r="103" ht="15.75" customHeight="1">
      <c r="A103" s="58">
        <v>-1.0</v>
      </c>
      <c r="B103" s="188" t="s">
        <v>5686</v>
      </c>
      <c r="C103" s="58" t="s">
        <v>2083</v>
      </c>
      <c r="D103" s="72" t="s">
        <v>561</v>
      </c>
      <c r="E103" s="73"/>
      <c r="F103" s="10"/>
      <c r="G103" s="10"/>
      <c r="H103" s="10"/>
      <c r="I103" s="10"/>
      <c r="J103" s="10"/>
      <c r="K103" s="10"/>
      <c r="L103" s="10"/>
      <c r="M103" s="10"/>
      <c r="N103" s="10"/>
      <c r="O103" s="10"/>
      <c r="P103" s="10"/>
      <c r="Q103" s="10"/>
      <c r="R103" s="10"/>
      <c r="S103" s="10"/>
      <c r="T103" s="10"/>
      <c r="U103" s="10"/>
    </row>
    <row r="104" ht="15.75" customHeight="1">
      <c r="A104" s="58">
        <v>1.0</v>
      </c>
      <c r="B104" s="188" t="s">
        <v>5694</v>
      </c>
      <c r="C104" s="58" t="s">
        <v>5717</v>
      </c>
      <c r="D104" s="72" t="s">
        <v>125</v>
      </c>
      <c r="E104" s="73"/>
      <c r="F104" s="10"/>
      <c r="G104" s="10"/>
      <c r="H104" s="10"/>
      <c r="I104" s="10"/>
      <c r="J104" s="10"/>
      <c r="K104" s="10"/>
      <c r="L104" s="10"/>
      <c r="M104" s="10"/>
      <c r="N104" s="10"/>
      <c r="O104" s="10"/>
      <c r="P104" s="10"/>
      <c r="Q104" s="10"/>
      <c r="R104" s="10"/>
      <c r="S104" s="10"/>
      <c r="T104" s="10"/>
      <c r="U104" s="10"/>
    </row>
    <row r="105" ht="15.75" hidden="1" customHeight="1">
      <c r="A105" s="58">
        <v>0.0</v>
      </c>
      <c r="B105" s="58"/>
      <c r="C105" s="58" t="s">
        <v>5718</v>
      </c>
      <c r="D105" s="72" t="s">
        <v>901</v>
      </c>
      <c r="E105" s="73"/>
      <c r="F105" s="10"/>
      <c r="G105" s="10"/>
      <c r="H105" s="10"/>
      <c r="I105" s="10"/>
      <c r="J105" s="10"/>
      <c r="K105" s="10"/>
      <c r="L105" s="10"/>
      <c r="M105" s="10"/>
      <c r="N105" s="10"/>
      <c r="O105" s="10"/>
      <c r="P105" s="10"/>
      <c r="Q105" s="10"/>
      <c r="R105" s="10"/>
      <c r="S105" s="10"/>
      <c r="T105" s="10"/>
      <c r="U105" s="10"/>
    </row>
    <row r="106" ht="15.75" hidden="1" customHeight="1">
      <c r="A106" s="58">
        <v>-1.0</v>
      </c>
      <c r="B106" s="58"/>
      <c r="C106" s="58" t="s">
        <v>911</v>
      </c>
      <c r="D106" s="72" t="s">
        <v>901</v>
      </c>
      <c r="E106" s="73"/>
      <c r="F106" s="10"/>
      <c r="G106" s="10"/>
      <c r="H106" s="10"/>
      <c r="I106" s="10"/>
      <c r="J106" s="10"/>
      <c r="K106" s="10"/>
      <c r="L106" s="10"/>
      <c r="M106" s="10"/>
      <c r="N106" s="10"/>
      <c r="O106" s="10"/>
      <c r="P106" s="10"/>
      <c r="Q106" s="10"/>
      <c r="R106" s="10"/>
      <c r="S106" s="10"/>
      <c r="T106" s="10"/>
      <c r="U106" s="10"/>
    </row>
    <row r="107" ht="15.75" hidden="1" customHeight="1">
      <c r="A107" s="58">
        <v>0.0</v>
      </c>
      <c r="B107" s="58"/>
      <c r="C107" s="58" t="s">
        <v>5719</v>
      </c>
      <c r="D107" s="72" t="s">
        <v>901</v>
      </c>
      <c r="E107" s="73"/>
      <c r="F107" s="10"/>
      <c r="G107" s="10"/>
      <c r="H107" s="10"/>
      <c r="I107" s="10"/>
      <c r="J107" s="10"/>
      <c r="K107" s="10"/>
      <c r="L107" s="10"/>
      <c r="M107" s="10"/>
      <c r="N107" s="10"/>
      <c r="O107" s="10"/>
      <c r="P107" s="10"/>
      <c r="Q107" s="10"/>
      <c r="R107" s="10"/>
      <c r="S107" s="10"/>
      <c r="T107" s="10"/>
      <c r="U107" s="10"/>
    </row>
    <row r="108" ht="15.75" hidden="1" customHeight="1">
      <c r="A108" s="58">
        <v>0.0</v>
      </c>
      <c r="B108" s="58"/>
      <c r="C108" s="58" t="s">
        <v>1459</v>
      </c>
      <c r="D108" s="72" t="s">
        <v>901</v>
      </c>
      <c r="E108" s="73"/>
      <c r="F108" s="10"/>
      <c r="G108" s="10"/>
      <c r="H108" s="10"/>
      <c r="I108" s="10"/>
      <c r="J108" s="10"/>
      <c r="K108" s="10"/>
      <c r="L108" s="10"/>
      <c r="M108" s="10"/>
      <c r="N108" s="10"/>
      <c r="O108" s="10"/>
      <c r="P108" s="10"/>
      <c r="Q108" s="10"/>
      <c r="R108" s="10"/>
      <c r="S108" s="10"/>
      <c r="T108" s="10"/>
      <c r="U108" s="10"/>
    </row>
    <row r="109" ht="15.75" hidden="1" customHeight="1">
      <c r="A109" s="58">
        <v>-1.0</v>
      </c>
      <c r="B109" s="58"/>
      <c r="C109" s="58" t="s">
        <v>5720</v>
      </c>
      <c r="D109" s="72" t="s">
        <v>901</v>
      </c>
      <c r="E109" s="73"/>
      <c r="F109" s="10"/>
      <c r="G109" s="10"/>
      <c r="H109" s="10"/>
      <c r="I109" s="10"/>
      <c r="J109" s="10"/>
      <c r="K109" s="10"/>
      <c r="L109" s="10"/>
      <c r="M109" s="10"/>
      <c r="N109" s="10"/>
      <c r="O109" s="10"/>
      <c r="P109" s="10"/>
      <c r="Q109" s="10"/>
      <c r="R109" s="10"/>
      <c r="S109" s="10"/>
      <c r="T109" s="10"/>
      <c r="U109" s="10"/>
    </row>
    <row r="110" ht="15.75" hidden="1" customHeight="1">
      <c r="A110" s="58">
        <v>-1.0</v>
      </c>
      <c r="B110" s="58"/>
      <c r="C110" s="58" t="s">
        <v>5721</v>
      </c>
      <c r="D110" s="72" t="s">
        <v>901</v>
      </c>
      <c r="E110" s="73"/>
      <c r="F110" s="10"/>
      <c r="G110" s="10"/>
      <c r="H110" s="10"/>
      <c r="I110" s="10"/>
      <c r="J110" s="10"/>
      <c r="K110" s="10"/>
      <c r="L110" s="10"/>
      <c r="M110" s="10"/>
      <c r="N110" s="10"/>
      <c r="O110" s="10"/>
      <c r="P110" s="10"/>
      <c r="Q110" s="10"/>
      <c r="R110" s="10"/>
      <c r="S110" s="10"/>
      <c r="T110" s="10"/>
      <c r="U110" s="10"/>
    </row>
    <row r="111" ht="15.75" hidden="1" customHeight="1">
      <c r="A111" s="58">
        <v>-1.0</v>
      </c>
      <c r="B111" s="58"/>
      <c r="C111" s="58" t="s">
        <v>5512</v>
      </c>
      <c r="D111" s="72" t="s">
        <v>901</v>
      </c>
      <c r="E111" s="73"/>
      <c r="F111" s="10"/>
      <c r="G111" s="10"/>
      <c r="H111" s="10"/>
      <c r="I111" s="10"/>
      <c r="J111" s="10"/>
      <c r="K111" s="10"/>
      <c r="L111" s="10"/>
      <c r="M111" s="10"/>
      <c r="N111" s="10"/>
      <c r="O111" s="10"/>
      <c r="P111" s="10"/>
      <c r="Q111" s="10"/>
      <c r="R111" s="10"/>
      <c r="S111" s="10"/>
      <c r="T111" s="10"/>
      <c r="U111" s="10"/>
    </row>
    <row r="112" ht="15.75" hidden="1" customHeight="1">
      <c r="A112" s="58">
        <v>0.0</v>
      </c>
      <c r="B112" s="58"/>
      <c r="C112" s="58" t="s">
        <v>1498</v>
      </c>
      <c r="D112" s="72" t="s">
        <v>901</v>
      </c>
      <c r="E112" s="73"/>
      <c r="F112" s="10"/>
      <c r="G112" s="10"/>
      <c r="H112" s="10"/>
      <c r="I112" s="10"/>
      <c r="J112" s="10"/>
      <c r="K112" s="10"/>
      <c r="L112" s="10"/>
      <c r="M112" s="10"/>
      <c r="N112" s="10"/>
      <c r="O112" s="10"/>
      <c r="P112" s="10"/>
      <c r="Q112" s="10"/>
      <c r="R112" s="10"/>
      <c r="S112" s="10"/>
      <c r="T112" s="10"/>
      <c r="U112" s="10"/>
    </row>
    <row r="113" ht="15.75" customHeight="1">
      <c r="A113" s="58">
        <v>-3.0</v>
      </c>
      <c r="B113" s="188" t="s">
        <v>5694</v>
      </c>
      <c r="C113" s="58" t="s">
        <v>17</v>
      </c>
      <c r="D113" s="72" t="s">
        <v>24</v>
      </c>
      <c r="E113" s="73"/>
      <c r="F113" s="10"/>
      <c r="G113" s="10"/>
      <c r="H113" s="10"/>
      <c r="I113" s="10"/>
      <c r="J113" s="10"/>
      <c r="K113" s="10"/>
      <c r="L113" s="10"/>
      <c r="M113" s="10"/>
      <c r="N113" s="10"/>
      <c r="O113" s="10"/>
      <c r="P113" s="10"/>
      <c r="Q113" s="10"/>
      <c r="R113" s="10"/>
      <c r="S113" s="10"/>
      <c r="T113" s="10"/>
      <c r="U113" s="10"/>
    </row>
    <row r="114" ht="15.75" customHeight="1">
      <c r="A114" s="58">
        <v>-3.0</v>
      </c>
      <c r="B114" s="188" t="s">
        <v>5694</v>
      </c>
      <c r="C114" s="58" t="s">
        <v>52</v>
      </c>
      <c r="D114" s="72" t="s">
        <v>24</v>
      </c>
      <c r="E114" s="73"/>
      <c r="F114" s="189"/>
      <c r="G114" s="10"/>
      <c r="H114" s="10"/>
      <c r="I114" s="10"/>
      <c r="J114" s="10"/>
      <c r="K114" s="10"/>
      <c r="L114" s="10"/>
      <c r="M114" s="10"/>
      <c r="N114" s="10"/>
      <c r="O114" s="10"/>
      <c r="P114" s="10"/>
      <c r="Q114" s="10"/>
      <c r="R114" s="10"/>
      <c r="S114" s="10"/>
      <c r="T114" s="10"/>
      <c r="U114" s="10"/>
    </row>
    <row r="115" ht="15.75" customHeight="1">
      <c r="A115" s="58">
        <v>0.0</v>
      </c>
      <c r="B115" s="188" t="s">
        <v>5722</v>
      </c>
      <c r="C115" s="58" t="s">
        <v>5723</v>
      </c>
      <c r="D115" s="72" t="s">
        <v>163</v>
      </c>
      <c r="E115" s="73"/>
      <c r="F115" s="10"/>
      <c r="G115" s="10"/>
      <c r="H115" s="10"/>
      <c r="I115" s="10"/>
      <c r="J115" s="10"/>
      <c r="K115" s="10"/>
      <c r="L115" s="10"/>
      <c r="M115" s="10"/>
      <c r="N115" s="10"/>
      <c r="O115" s="10"/>
      <c r="P115" s="10"/>
      <c r="Q115" s="10"/>
      <c r="R115" s="10"/>
      <c r="S115" s="10"/>
      <c r="T115" s="10"/>
      <c r="U115" s="10"/>
    </row>
    <row r="116" ht="15.75" customHeight="1">
      <c r="A116" s="58">
        <v>1.0</v>
      </c>
      <c r="B116" s="188" t="s">
        <v>5685</v>
      </c>
      <c r="C116" s="58" t="s">
        <v>5724</v>
      </c>
      <c r="D116" s="72" t="s">
        <v>125</v>
      </c>
      <c r="E116" s="73"/>
      <c r="F116" s="10"/>
      <c r="G116" s="10"/>
      <c r="H116" s="10"/>
      <c r="I116" s="10"/>
      <c r="J116" s="10"/>
      <c r="K116" s="10"/>
      <c r="L116" s="10"/>
      <c r="M116" s="10"/>
      <c r="N116" s="10"/>
      <c r="O116" s="10"/>
      <c r="P116" s="10"/>
      <c r="Q116" s="10"/>
      <c r="R116" s="10"/>
      <c r="S116" s="10"/>
      <c r="T116" s="10"/>
      <c r="U116" s="10"/>
    </row>
    <row r="117" ht="15.75" customHeight="1">
      <c r="A117" s="58">
        <v>1.0</v>
      </c>
      <c r="B117" s="188" t="s">
        <v>5698</v>
      </c>
      <c r="C117" s="58" t="s">
        <v>1603</v>
      </c>
      <c r="D117" s="72" t="s">
        <v>187</v>
      </c>
      <c r="E117" s="73"/>
      <c r="F117" s="10"/>
      <c r="G117" s="10"/>
      <c r="H117" s="10"/>
      <c r="I117" s="10"/>
      <c r="J117" s="10"/>
      <c r="K117" s="10"/>
      <c r="L117" s="10"/>
      <c r="M117" s="10"/>
      <c r="N117" s="10"/>
      <c r="O117" s="10"/>
      <c r="P117" s="10"/>
      <c r="Q117" s="10"/>
      <c r="R117" s="10"/>
      <c r="S117" s="10"/>
      <c r="T117" s="10"/>
      <c r="U117" s="10"/>
    </row>
    <row r="118" ht="15.75" customHeight="1">
      <c r="A118" s="58">
        <v>0.0</v>
      </c>
      <c r="B118" s="188" t="s">
        <v>5725</v>
      </c>
      <c r="C118" s="58" t="s">
        <v>5726</v>
      </c>
      <c r="D118" s="72" t="s">
        <v>1392</v>
      </c>
      <c r="E118" s="73"/>
      <c r="F118" s="10"/>
      <c r="G118" s="10"/>
      <c r="H118" s="10"/>
      <c r="I118" s="10"/>
      <c r="J118" s="10"/>
      <c r="K118" s="10"/>
      <c r="L118" s="10"/>
      <c r="M118" s="10"/>
      <c r="N118" s="10"/>
      <c r="O118" s="10"/>
      <c r="P118" s="10"/>
      <c r="Q118" s="10"/>
      <c r="R118" s="10"/>
      <c r="S118" s="10"/>
      <c r="T118" s="10"/>
      <c r="U118" s="10"/>
    </row>
    <row r="119" ht="15.75" customHeight="1">
      <c r="A119" s="58">
        <v>0.0</v>
      </c>
      <c r="B119" s="188" t="s">
        <v>5686</v>
      </c>
      <c r="C119" s="58" t="s">
        <v>998</v>
      </c>
      <c r="D119" s="72" t="s">
        <v>163</v>
      </c>
      <c r="E119" s="73"/>
      <c r="F119" s="10"/>
      <c r="G119" s="10"/>
      <c r="H119" s="10"/>
      <c r="I119" s="10"/>
      <c r="J119" s="10"/>
      <c r="K119" s="10"/>
      <c r="L119" s="10"/>
      <c r="M119" s="10"/>
      <c r="N119" s="10"/>
      <c r="O119" s="10"/>
      <c r="P119" s="10"/>
      <c r="Q119" s="10"/>
      <c r="R119" s="10"/>
      <c r="S119" s="10"/>
      <c r="T119" s="10"/>
      <c r="U119" s="10"/>
    </row>
    <row r="120" ht="15.75" hidden="1" customHeight="1">
      <c r="A120" s="58">
        <v>-1.0</v>
      </c>
      <c r="B120" s="58"/>
      <c r="C120" s="58" t="s">
        <v>913</v>
      </c>
      <c r="D120" s="72" t="s">
        <v>901</v>
      </c>
      <c r="E120" s="73"/>
      <c r="F120" s="10"/>
      <c r="G120" s="10"/>
      <c r="H120" s="10"/>
      <c r="I120" s="10"/>
      <c r="J120" s="10"/>
      <c r="K120" s="10"/>
      <c r="L120" s="10"/>
      <c r="M120" s="10"/>
      <c r="N120" s="10"/>
      <c r="O120" s="10"/>
      <c r="P120" s="10"/>
      <c r="Q120" s="10"/>
      <c r="R120" s="10"/>
      <c r="S120" s="10"/>
      <c r="T120" s="10"/>
      <c r="U120" s="10"/>
    </row>
    <row r="121" ht="15.75" customHeight="1">
      <c r="A121" s="58">
        <v>-2.0</v>
      </c>
      <c r="B121" s="188" t="s">
        <v>5690</v>
      </c>
      <c r="C121" s="58" t="s">
        <v>386</v>
      </c>
      <c r="D121" s="72" t="s">
        <v>155</v>
      </c>
      <c r="E121" s="73"/>
      <c r="F121" s="189"/>
      <c r="G121" s="10"/>
      <c r="H121" s="10"/>
      <c r="I121" s="10"/>
      <c r="J121" s="10"/>
      <c r="K121" s="10"/>
      <c r="L121" s="10"/>
      <c r="M121" s="10"/>
      <c r="N121" s="10"/>
      <c r="O121" s="10"/>
      <c r="P121" s="10"/>
      <c r="Q121" s="10"/>
      <c r="R121" s="10"/>
      <c r="S121" s="10"/>
      <c r="T121" s="10"/>
      <c r="U121" s="10"/>
    </row>
    <row r="122" ht="15.75" customHeight="1">
      <c r="A122" s="58">
        <v>1.0</v>
      </c>
      <c r="B122" s="188" t="s">
        <v>5703</v>
      </c>
      <c r="C122" s="58" t="s">
        <v>1573</v>
      </c>
      <c r="D122" s="72" t="s">
        <v>125</v>
      </c>
      <c r="E122" s="73"/>
      <c r="F122" s="10"/>
      <c r="G122" s="10"/>
      <c r="H122" s="10"/>
      <c r="I122" s="10"/>
      <c r="J122" s="10"/>
      <c r="K122" s="10"/>
      <c r="L122" s="10"/>
      <c r="M122" s="10"/>
      <c r="N122" s="10"/>
      <c r="O122" s="10"/>
      <c r="P122" s="10"/>
      <c r="Q122" s="10"/>
      <c r="R122" s="10"/>
      <c r="S122" s="10"/>
      <c r="T122" s="10"/>
      <c r="U122" s="10"/>
    </row>
    <row r="123" ht="15.75" hidden="1" customHeight="1">
      <c r="A123" s="58">
        <v>-1.0</v>
      </c>
      <c r="B123" s="58"/>
      <c r="C123" s="58" t="s">
        <v>5516</v>
      </c>
      <c r="D123" s="72" t="s">
        <v>901</v>
      </c>
      <c r="E123" s="73"/>
      <c r="F123" s="10"/>
      <c r="G123" s="10"/>
      <c r="H123" s="10"/>
      <c r="I123" s="10"/>
      <c r="J123" s="10"/>
      <c r="K123" s="10"/>
      <c r="L123" s="10"/>
      <c r="M123" s="10"/>
      <c r="N123" s="10"/>
      <c r="O123" s="10"/>
      <c r="P123" s="10"/>
      <c r="Q123" s="10"/>
      <c r="R123" s="10"/>
      <c r="S123" s="10"/>
      <c r="T123" s="10"/>
      <c r="U123" s="10"/>
    </row>
    <row r="124" ht="15.75" hidden="1" customHeight="1">
      <c r="A124" s="58">
        <v>0.0</v>
      </c>
      <c r="B124" s="58"/>
      <c r="C124" s="58" t="s">
        <v>5727</v>
      </c>
      <c r="D124" s="72" t="s">
        <v>901</v>
      </c>
      <c r="E124" s="73"/>
      <c r="F124" s="10"/>
      <c r="G124" s="10"/>
      <c r="H124" s="10"/>
      <c r="I124" s="10"/>
      <c r="J124" s="10"/>
      <c r="K124" s="10"/>
      <c r="L124" s="10"/>
      <c r="M124" s="10"/>
      <c r="N124" s="10"/>
      <c r="O124" s="10"/>
      <c r="P124" s="10"/>
      <c r="Q124" s="10"/>
      <c r="R124" s="10"/>
      <c r="S124" s="10"/>
      <c r="T124" s="10"/>
      <c r="U124" s="10"/>
    </row>
    <row r="125" ht="15.75" customHeight="1">
      <c r="A125" s="58">
        <v>-1.0</v>
      </c>
      <c r="B125" s="188" t="s">
        <v>5714</v>
      </c>
      <c r="C125" s="58" t="s">
        <v>2284</v>
      </c>
      <c r="D125" s="72" t="s">
        <v>561</v>
      </c>
      <c r="E125" s="73"/>
      <c r="F125" s="10"/>
      <c r="G125" s="10"/>
      <c r="H125" s="10"/>
      <c r="I125" s="10"/>
      <c r="J125" s="10"/>
      <c r="K125" s="10"/>
      <c r="L125" s="10"/>
      <c r="M125" s="10"/>
      <c r="N125" s="10"/>
      <c r="O125" s="10"/>
      <c r="P125" s="10"/>
      <c r="Q125" s="10"/>
      <c r="R125" s="10"/>
      <c r="S125" s="10"/>
      <c r="T125" s="10"/>
      <c r="U125" s="10"/>
    </row>
    <row r="126" ht="15.75" customHeight="1">
      <c r="A126" s="58">
        <v>-3.0</v>
      </c>
      <c r="B126" s="188" t="s">
        <v>5728</v>
      </c>
      <c r="C126" s="58" t="s">
        <v>38</v>
      </c>
      <c r="D126" s="72" t="s">
        <v>44</v>
      </c>
      <c r="E126" s="73"/>
      <c r="F126" s="189"/>
      <c r="G126" s="10"/>
      <c r="H126" s="10"/>
      <c r="I126" s="10"/>
      <c r="J126" s="10"/>
      <c r="K126" s="10"/>
      <c r="L126" s="10"/>
      <c r="M126" s="10"/>
      <c r="N126" s="10"/>
      <c r="O126" s="10"/>
      <c r="P126" s="10"/>
      <c r="Q126" s="10"/>
      <c r="R126" s="10"/>
      <c r="S126" s="10"/>
      <c r="T126" s="10"/>
      <c r="U126" s="10"/>
    </row>
    <row r="127" ht="15.75" customHeight="1">
      <c r="A127" s="58">
        <v>0.0</v>
      </c>
      <c r="B127" s="188" t="s">
        <v>5695</v>
      </c>
      <c r="C127" s="58" t="s">
        <v>5729</v>
      </c>
      <c r="D127" s="72" t="s">
        <v>187</v>
      </c>
      <c r="E127" s="73"/>
      <c r="F127" s="10"/>
      <c r="G127" s="10"/>
      <c r="H127" s="10"/>
      <c r="I127" s="10"/>
      <c r="J127" s="10"/>
      <c r="K127" s="10"/>
      <c r="L127" s="10"/>
      <c r="M127" s="10"/>
      <c r="N127" s="10"/>
      <c r="O127" s="10"/>
      <c r="P127" s="10"/>
      <c r="Q127" s="10"/>
      <c r="R127" s="10"/>
      <c r="S127" s="10"/>
      <c r="T127" s="10"/>
      <c r="U127" s="10"/>
    </row>
    <row r="128" ht="15.75" customHeight="1">
      <c r="A128" s="58">
        <v>0.0</v>
      </c>
      <c r="B128" s="188" t="s">
        <v>5684</v>
      </c>
      <c r="C128" s="58" t="s">
        <v>1284</v>
      </c>
      <c r="D128" s="72" t="s">
        <v>163</v>
      </c>
      <c r="E128" s="73"/>
      <c r="F128" s="10"/>
      <c r="G128" s="10"/>
      <c r="H128" s="10"/>
      <c r="I128" s="10"/>
      <c r="J128" s="10"/>
      <c r="K128" s="10"/>
      <c r="L128" s="10"/>
      <c r="M128" s="10"/>
      <c r="N128" s="10"/>
      <c r="O128" s="10"/>
      <c r="P128" s="10"/>
      <c r="Q128" s="10"/>
      <c r="R128" s="10"/>
      <c r="S128" s="10"/>
      <c r="T128" s="10"/>
      <c r="U128" s="10"/>
    </row>
    <row r="129" ht="15.75" hidden="1" customHeight="1">
      <c r="A129" s="58">
        <v>0.0</v>
      </c>
      <c r="B129" s="58"/>
      <c r="C129" s="58" t="s">
        <v>5730</v>
      </c>
      <c r="D129" s="72" t="s">
        <v>901</v>
      </c>
      <c r="E129" s="73"/>
      <c r="F129" s="10"/>
      <c r="G129" s="10"/>
      <c r="H129" s="10"/>
      <c r="I129" s="10"/>
      <c r="J129" s="10"/>
      <c r="K129" s="10"/>
      <c r="L129" s="10"/>
      <c r="M129" s="10"/>
      <c r="N129" s="10"/>
      <c r="O129" s="10"/>
      <c r="P129" s="10"/>
      <c r="Q129" s="10"/>
      <c r="R129" s="10"/>
      <c r="S129" s="10"/>
      <c r="T129" s="10"/>
      <c r="U129" s="10"/>
    </row>
    <row r="130" ht="15.75" hidden="1" customHeight="1">
      <c r="A130" s="58">
        <v>-1.0</v>
      </c>
      <c r="B130" s="58"/>
      <c r="C130" s="58" t="s">
        <v>5731</v>
      </c>
      <c r="D130" s="72" t="s">
        <v>901</v>
      </c>
      <c r="E130" s="73"/>
      <c r="F130" s="10"/>
      <c r="G130" s="10"/>
      <c r="H130" s="10"/>
      <c r="I130" s="10"/>
      <c r="J130" s="10"/>
      <c r="K130" s="10"/>
      <c r="L130" s="10"/>
      <c r="M130" s="10"/>
      <c r="N130" s="10"/>
      <c r="O130" s="10"/>
      <c r="P130" s="10"/>
      <c r="Q130" s="10"/>
      <c r="R130" s="10"/>
      <c r="S130" s="10"/>
      <c r="T130" s="10"/>
      <c r="U130" s="10"/>
    </row>
    <row r="131" ht="15.75" hidden="1" customHeight="1">
      <c r="A131" s="58">
        <v>-1.0</v>
      </c>
      <c r="B131" s="58"/>
      <c r="C131" s="58" t="s">
        <v>915</v>
      </c>
      <c r="D131" s="72" t="s">
        <v>901</v>
      </c>
      <c r="E131" s="73"/>
      <c r="F131" s="10"/>
      <c r="G131" s="10"/>
      <c r="H131" s="10"/>
      <c r="I131" s="10"/>
      <c r="J131" s="10"/>
      <c r="K131" s="10"/>
      <c r="L131" s="10"/>
      <c r="M131" s="10"/>
      <c r="N131" s="10"/>
      <c r="O131" s="10"/>
      <c r="P131" s="10"/>
      <c r="Q131" s="10"/>
      <c r="R131" s="10"/>
      <c r="S131" s="10"/>
      <c r="T131" s="10"/>
      <c r="U131" s="10"/>
    </row>
    <row r="132" ht="15.75" customHeight="1">
      <c r="A132" s="58">
        <v>0.0</v>
      </c>
      <c r="B132" s="188" t="s">
        <v>5672</v>
      </c>
      <c r="C132" s="58" t="s">
        <v>1218</v>
      </c>
      <c r="D132" s="72" t="s">
        <v>155</v>
      </c>
      <c r="E132" s="73"/>
      <c r="F132" s="10"/>
      <c r="G132" s="10"/>
      <c r="H132" s="10"/>
      <c r="I132" s="10"/>
      <c r="J132" s="10"/>
      <c r="K132" s="10"/>
      <c r="L132" s="10"/>
      <c r="M132" s="10"/>
      <c r="N132" s="10"/>
      <c r="O132" s="10"/>
      <c r="P132" s="10"/>
      <c r="Q132" s="10"/>
      <c r="R132" s="10"/>
      <c r="S132" s="10"/>
      <c r="T132" s="10"/>
      <c r="U132" s="10"/>
    </row>
    <row r="133" ht="15.75" customHeight="1">
      <c r="A133" s="58">
        <v>1.0</v>
      </c>
      <c r="B133" s="188" t="s">
        <v>5712</v>
      </c>
      <c r="C133" s="58" t="s">
        <v>1626</v>
      </c>
      <c r="D133" s="72" t="s">
        <v>44</v>
      </c>
      <c r="E133" s="73"/>
      <c r="F133" s="10"/>
      <c r="G133" s="10"/>
      <c r="H133" s="10"/>
      <c r="I133" s="10"/>
      <c r="J133" s="10"/>
      <c r="K133" s="10"/>
      <c r="L133" s="10"/>
      <c r="M133" s="10"/>
      <c r="N133" s="10"/>
      <c r="O133" s="10"/>
      <c r="P133" s="10"/>
      <c r="Q133" s="10"/>
      <c r="R133" s="10"/>
      <c r="S133" s="10"/>
      <c r="T133" s="10"/>
      <c r="U133" s="10"/>
    </row>
    <row r="134" ht="15.75" customHeight="1">
      <c r="A134" s="58">
        <v>-1.0</v>
      </c>
      <c r="B134" s="188" t="s">
        <v>5703</v>
      </c>
      <c r="C134" s="58" t="s">
        <v>765</v>
      </c>
      <c r="D134" s="72" t="s">
        <v>163</v>
      </c>
      <c r="E134" s="73"/>
      <c r="F134" s="10"/>
      <c r="G134" s="10"/>
      <c r="H134" s="10"/>
      <c r="I134" s="10"/>
      <c r="J134" s="10"/>
      <c r="K134" s="10"/>
      <c r="L134" s="10"/>
      <c r="M134" s="10"/>
      <c r="N134" s="10"/>
      <c r="O134" s="10"/>
      <c r="P134" s="10"/>
      <c r="Q134" s="10"/>
      <c r="R134" s="10"/>
      <c r="S134" s="10"/>
      <c r="T134" s="10"/>
      <c r="U134" s="10"/>
    </row>
    <row r="135" ht="15.75" customHeight="1">
      <c r="A135" s="58">
        <v>-2.0</v>
      </c>
      <c r="B135" s="188" t="s">
        <v>5675</v>
      </c>
      <c r="C135" s="58" t="s">
        <v>222</v>
      </c>
      <c r="D135" s="72" t="s">
        <v>163</v>
      </c>
      <c r="E135" s="10"/>
      <c r="F135" s="189"/>
      <c r="G135" s="10"/>
      <c r="H135" s="10"/>
      <c r="I135" s="10"/>
      <c r="J135" s="10"/>
      <c r="K135" s="10"/>
      <c r="L135" s="10"/>
      <c r="M135" s="10"/>
      <c r="N135" s="10"/>
      <c r="O135" s="10"/>
      <c r="P135" s="10"/>
      <c r="Q135" s="10"/>
      <c r="R135" s="10"/>
      <c r="S135" s="10"/>
      <c r="T135" s="10"/>
      <c r="U135" s="10"/>
    </row>
    <row r="136" ht="15.75" customHeight="1">
      <c r="A136" s="58">
        <v>0.0</v>
      </c>
      <c r="B136" s="188" t="s">
        <v>5679</v>
      </c>
      <c r="C136" s="58" t="s">
        <v>5732</v>
      </c>
      <c r="D136" s="72" t="s">
        <v>459</v>
      </c>
      <c r="E136" s="73"/>
      <c r="F136" s="10"/>
      <c r="G136" s="10"/>
      <c r="H136" s="10"/>
      <c r="I136" s="10"/>
      <c r="J136" s="10"/>
      <c r="K136" s="10"/>
      <c r="L136" s="10"/>
      <c r="M136" s="10"/>
      <c r="N136" s="10"/>
      <c r="O136" s="10"/>
      <c r="P136" s="10"/>
      <c r="Q136" s="10"/>
      <c r="R136" s="10"/>
      <c r="S136" s="10"/>
      <c r="T136" s="10"/>
      <c r="U136" s="10"/>
    </row>
    <row r="137" ht="15.75" hidden="1" customHeight="1">
      <c r="A137" s="58">
        <v>0.0</v>
      </c>
      <c r="B137" s="58"/>
      <c r="C137" s="58" t="s">
        <v>1500</v>
      </c>
      <c r="D137" s="72" t="s">
        <v>901</v>
      </c>
      <c r="E137" s="73"/>
      <c r="F137" s="10"/>
      <c r="G137" s="10"/>
      <c r="H137" s="10"/>
      <c r="I137" s="10"/>
      <c r="J137" s="10"/>
      <c r="K137" s="10"/>
      <c r="L137" s="10"/>
      <c r="M137" s="10"/>
      <c r="N137" s="10"/>
      <c r="O137" s="10"/>
      <c r="P137" s="10"/>
      <c r="Q137" s="10"/>
      <c r="R137" s="10"/>
      <c r="S137" s="10"/>
      <c r="T137" s="10"/>
      <c r="U137" s="10"/>
    </row>
    <row r="138" ht="15.75" customHeight="1">
      <c r="A138" s="58">
        <v>-2.0</v>
      </c>
      <c r="B138" s="188" t="s">
        <v>5696</v>
      </c>
      <c r="C138" s="58" t="s">
        <v>5733</v>
      </c>
      <c r="D138" s="72" t="s">
        <v>163</v>
      </c>
      <c r="E138" s="73"/>
      <c r="F138" s="189"/>
      <c r="G138" s="10"/>
      <c r="H138" s="10"/>
      <c r="I138" s="10"/>
      <c r="J138" s="10"/>
      <c r="K138" s="10"/>
      <c r="L138" s="10"/>
      <c r="M138" s="10"/>
      <c r="N138" s="10"/>
      <c r="O138" s="10"/>
      <c r="P138" s="10"/>
      <c r="Q138" s="10"/>
      <c r="R138" s="10"/>
      <c r="S138" s="10"/>
      <c r="T138" s="10"/>
      <c r="U138" s="10"/>
    </row>
    <row r="139" ht="15.75" customHeight="1">
      <c r="A139" s="58">
        <v>-1.0</v>
      </c>
      <c r="B139" s="188" t="s">
        <v>5695</v>
      </c>
      <c r="C139" s="58" t="s">
        <v>955</v>
      </c>
      <c r="D139" s="72" t="s">
        <v>459</v>
      </c>
      <c r="E139" s="73"/>
      <c r="F139" s="10"/>
      <c r="G139" s="10"/>
      <c r="H139" s="10"/>
      <c r="I139" s="10"/>
      <c r="J139" s="10"/>
      <c r="K139" s="10"/>
      <c r="L139" s="10"/>
      <c r="M139" s="10"/>
      <c r="N139" s="10"/>
      <c r="O139" s="10"/>
      <c r="P139" s="10"/>
      <c r="Q139" s="10"/>
      <c r="R139" s="10"/>
      <c r="S139" s="10"/>
      <c r="T139" s="10"/>
      <c r="U139" s="10"/>
    </row>
    <row r="140" ht="15.75" customHeight="1">
      <c r="A140" s="58">
        <v>0.0</v>
      </c>
      <c r="B140" s="188" t="s">
        <v>5713</v>
      </c>
      <c r="C140" s="58" t="s">
        <v>5734</v>
      </c>
      <c r="D140" s="72" t="s">
        <v>459</v>
      </c>
      <c r="E140" s="73"/>
      <c r="F140" s="10"/>
      <c r="G140" s="10"/>
      <c r="H140" s="10"/>
      <c r="I140" s="10"/>
      <c r="J140" s="10"/>
      <c r="K140" s="10"/>
      <c r="L140" s="10"/>
      <c r="M140" s="10"/>
      <c r="N140" s="10"/>
      <c r="O140" s="10"/>
      <c r="P140" s="10"/>
      <c r="Q140" s="10"/>
      <c r="R140" s="10"/>
      <c r="S140" s="10"/>
      <c r="T140" s="10"/>
      <c r="U140" s="10"/>
    </row>
    <row r="141" ht="15.75" hidden="1" customHeight="1">
      <c r="A141" s="58">
        <v>-1.0</v>
      </c>
      <c r="B141" s="58"/>
      <c r="C141" s="58" t="s">
        <v>917</v>
      </c>
      <c r="D141" s="72" t="s">
        <v>901</v>
      </c>
      <c r="E141" s="73"/>
      <c r="F141" s="10"/>
      <c r="G141" s="10"/>
      <c r="H141" s="10"/>
      <c r="I141" s="10"/>
      <c r="J141" s="10"/>
      <c r="K141" s="10"/>
      <c r="L141" s="10"/>
      <c r="M141" s="10"/>
      <c r="N141" s="10"/>
      <c r="O141" s="10"/>
      <c r="P141" s="10"/>
      <c r="Q141" s="10"/>
      <c r="R141" s="10"/>
      <c r="S141" s="10"/>
      <c r="T141" s="10"/>
      <c r="U141" s="10"/>
    </row>
    <row r="142" ht="15.75" customHeight="1">
      <c r="A142" s="58">
        <v>0.0</v>
      </c>
      <c r="B142" s="188" t="s">
        <v>5694</v>
      </c>
      <c r="C142" s="58" t="s">
        <v>1337</v>
      </c>
      <c r="D142" s="72" t="s">
        <v>187</v>
      </c>
      <c r="E142" s="73"/>
      <c r="F142" s="10"/>
      <c r="G142" s="10"/>
      <c r="H142" s="10"/>
      <c r="I142" s="10"/>
      <c r="J142" s="10"/>
      <c r="K142" s="10"/>
      <c r="L142" s="10"/>
      <c r="M142" s="10"/>
      <c r="N142" s="10"/>
      <c r="O142" s="10"/>
      <c r="P142" s="10"/>
      <c r="Q142" s="10"/>
      <c r="R142" s="10"/>
      <c r="S142" s="10"/>
      <c r="T142" s="10"/>
      <c r="U142" s="10"/>
    </row>
    <row r="143" ht="15.75" customHeight="1">
      <c r="A143" s="58">
        <v>-1.0</v>
      </c>
      <c r="B143" s="188" t="s">
        <v>5690</v>
      </c>
      <c r="C143" s="58" t="s">
        <v>2412</v>
      </c>
      <c r="D143" s="72" t="s">
        <v>155</v>
      </c>
      <c r="E143" s="73"/>
      <c r="F143" s="10"/>
      <c r="G143" s="10"/>
      <c r="H143" s="10"/>
      <c r="I143" s="10"/>
      <c r="J143" s="10"/>
      <c r="K143" s="10"/>
      <c r="L143" s="10"/>
      <c r="M143" s="10"/>
      <c r="N143" s="10"/>
      <c r="O143" s="10"/>
      <c r="P143" s="10"/>
      <c r="Q143" s="10"/>
      <c r="R143" s="10"/>
      <c r="S143" s="10"/>
      <c r="T143" s="10"/>
      <c r="U143" s="10"/>
    </row>
    <row r="144" ht="15.75" customHeight="1">
      <c r="A144" s="58">
        <v>-1.0</v>
      </c>
      <c r="B144" s="188" t="s">
        <v>5735</v>
      </c>
      <c r="C144" s="58" t="s">
        <v>5736</v>
      </c>
      <c r="D144" s="72" t="s">
        <v>70</v>
      </c>
      <c r="E144" s="73"/>
      <c r="F144" s="10"/>
      <c r="G144" s="10"/>
      <c r="H144" s="10"/>
      <c r="I144" s="10"/>
      <c r="J144" s="10"/>
      <c r="K144" s="10"/>
      <c r="L144" s="10"/>
      <c r="M144" s="10"/>
      <c r="N144" s="10"/>
      <c r="O144" s="10"/>
      <c r="P144" s="10"/>
      <c r="Q144" s="10"/>
      <c r="R144" s="10"/>
      <c r="S144" s="10"/>
      <c r="T144" s="10"/>
      <c r="U144" s="10"/>
    </row>
    <row r="145" ht="15.75" hidden="1" customHeight="1">
      <c r="A145" s="58">
        <v>0.0</v>
      </c>
      <c r="B145" s="58"/>
      <c r="C145" s="58" t="s">
        <v>1461</v>
      </c>
      <c r="D145" s="72" t="s">
        <v>901</v>
      </c>
      <c r="E145" s="73"/>
      <c r="F145" s="10"/>
      <c r="G145" s="10"/>
      <c r="H145" s="10"/>
      <c r="I145" s="10"/>
      <c r="J145" s="10"/>
      <c r="K145" s="10"/>
      <c r="L145" s="10"/>
      <c r="M145" s="10"/>
      <c r="N145" s="10"/>
      <c r="O145" s="10"/>
      <c r="P145" s="10"/>
      <c r="Q145" s="10"/>
      <c r="R145" s="10"/>
      <c r="S145" s="10"/>
      <c r="T145" s="10"/>
      <c r="U145" s="10"/>
    </row>
    <row r="146" ht="15.75" customHeight="1">
      <c r="A146" s="58">
        <v>-1.0</v>
      </c>
      <c r="B146" s="188" t="s">
        <v>5674</v>
      </c>
      <c r="C146" s="58" t="s">
        <v>646</v>
      </c>
      <c r="D146" s="72" t="s">
        <v>561</v>
      </c>
      <c r="E146" s="73"/>
      <c r="F146" s="10"/>
      <c r="G146" s="10"/>
      <c r="H146" s="10"/>
      <c r="I146" s="10"/>
      <c r="J146" s="10"/>
      <c r="K146" s="10"/>
      <c r="L146" s="10"/>
      <c r="M146" s="10"/>
      <c r="N146" s="10"/>
      <c r="O146" s="10"/>
      <c r="P146" s="10"/>
      <c r="Q146" s="10"/>
      <c r="R146" s="10"/>
      <c r="S146" s="10"/>
      <c r="T146" s="10"/>
      <c r="U146" s="10"/>
    </row>
    <row r="147" ht="15.75" customHeight="1">
      <c r="A147" s="58">
        <v>0.0</v>
      </c>
      <c r="B147" s="188" t="s">
        <v>5689</v>
      </c>
      <c r="C147" s="58" t="s">
        <v>1207</v>
      </c>
      <c r="D147" s="72" t="s">
        <v>155</v>
      </c>
      <c r="E147" s="73"/>
      <c r="F147" s="10"/>
      <c r="G147" s="10"/>
      <c r="H147" s="10"/>
      <c r="I147" s="10"/>
      <c r="J147" s="10"/>
      <c r="K147" s="10"/>
      <c r="L147" s="10"/>
      <c r="M147" s="10"/>
      <c r="N147" s="10"/>
      <c r="O147" s="10"/>
      <c r="P147" s="10"/>
      <c r="Q147" s="10"/>
      <c r="R147" s="10"/>
      <c r="S147" s="10"/>
      <c r="T147" s="10"/>
      <c r="U147" s="10"/>
    </row>
    <row r="148" ht="15.75" customHeight="1">
      <c r="A148" s="58">
        <v>0.0</v>
      </c>
      <c r="B148" s="188" t="s">
        <v>5737</v>
      </c>
      <c r="C148" s="58" t="s">
        <v>5738</v>
      </c>
      <c r="D148" s="72" t="s">
        <v>187</v>
      </c>
      <c r="E148" s="73"/>
      <c r="F148" s="10"/>
      <c r="G148" s="10"/>
      <c r="H148" s="10"/>
      <c r="I148" s="10"/>
      <c r="J148" s="10"/>
      <c r="K148" s="10"/>
      <c r="L148" s="10"/>
      <c r="M148" s="10"/>
      <c r="N148" s="10"/>
      <c r="O148" s="10"/>
      <c r="P148" s="10"/>
      <c r="Q148" s="10"/>
      <c r="R148" s="10"/>
      <c r="S148" s="10"/>
      <c r="T148" s="10"/>
      <c r="U148" s="10"/>
    </row>
    <row r="149" ht="15.75" customHeight="1">
      <c r="A149" s="58">
        <v>-1.0</v>
      </c>
      <c r="B149" s="188" t="s">
        <v>5704</v>
      </c>
      <c r="C149" s="58" t="s">
        <v>2404</v>
      </c>
      <c r="D149" s="72" t="s">
        <v>561</v>
      </c>
      <c r="E149" s="73"/>
      <c r="F149" s="10"/>
      <c r="G149" s="10"/>
      <c r="H149" s="10"/>
      <c r="I149" s="10"/>
      <c r="J149" s="10"/>
      <c r="K149" s="10"/>
      <c r="L149" s="10"/>
      <c r="M149" s="10"/>
      <c r="N149" s="10"/>
      <c r="O149" s="10"/>
      <c r="P149" s="10"/>
      <c r="Q149" s="10"/>
      <c r="R149" s="10"/>
      <c r="S149" s="10"/>
      <c r="T149" s="10"/>
      <c r="U149" s="10"/>
    </row>
    <row r="150" ht="15.75" hidden="1" customHeight="1">
      <c r="A150" s="58">
        <v>-1.0</v>
      </c>
      <c r="B150" s="58"/>
      <c r="C150" s="58" t="s">
        <v>919</v>
      </c>
      <c r="D150" s="72" t="s">
        <v>901</v>
      </c>
      <c r="E150" s="73"/>
      <c r="F150" s="10"/>
      <c r="G150" s="10"/>
      <c r="H150" s="10"/>
      <c r="I150" s="10"/>
      <c r="J150" s="10"/>
      <c r="K150" s="10"/>
      <c r="L150" s="10"/>
      <c r="M150" s="10"/>
      <c r="N150" s="10"/>
      <c r="O150" s="10"/>
      <c r="P150" s="10"/>
      <c r="Q150" s="10"/>
      <c r="R150" s="10"/>
      <c r="S150" s="10"/>
      <c r="T150" s="10"/>
      <c r="U150" s="10"/>
    </row>
    <row r="151" ht="15.75" customHeight="1">
      <c r="A151" s="58">
        <v>-2.0</v>
      </c>
      <c r="B151" s="188" t="s">
        <v>5739</v>
      </c>
      <c r="C151" s="58" t="s">
        <v>267</v>
      </c>
      <c r="D151" s="72" t="s">
        <v>163</v>
      </c>
      <c r="E151" s="73"/>
      <c r="F151" s="189"/>
      <c r="G151" s="10"/>
      <c r="H151" s="10"/>
      <c r="I151" s="10"/>
      <c r="J151" s="10"/>
      <c r="K151" s="10"/>
      <c r="L151" s="10"/>
      <c r="M151" s="10"/>
      <c r="N151" s="10"/>
      <c r="O151" s="10"/>
      <c r="P151" s="10"/>
      <c r="Q151" s="10"/>
      <c r="R151" s="10"/>
      <c r="S151" s="10"/>
      <c r="T151" s="10"/>
      <c r="U151" s="10"/>
    </row>
    <row r="152" ht="15.75" customHeight="1">
      <c r="A152" s="58">
        <v>0.0</v>
      </c>
      <c r="B152" s="188" t="s">
        <v>5740</v>
      </c>
      <c r="C152" s="58" t="s">
        <v>5741</v>
      </c>
      <c r="D152" s="58" t="s">
        <v>187</v>
      </c>
      <c r="E152" s="10"/>
      <c r="F152" s="10"/>
      <c r="G152" s="10"/>
      <c r="H152" s="10"/>
      <c r="I152" s="10"/>
      <c r="J152" s="10"/>
      <c r="K152" s="10"/>
      <c r="L152" s="10"/>
      <c r="M152" s="10"/>
      <c r="N152" s="10"/>
      <c r="O152" s="10"/>
      <c r="P152" s="10"/>
      <c r="Q152" s="10"/>
      <c r="R152" s="10"/>
      <c r="S152" s="10"/>
      <c r="T152" s="10"/>
      <c r="U152" s="10"/>
    </row>
    <row r="153" ht="15.75" customHeight="1">
      <c r="A153" s="58">
        <v>0.0</v>
      </c>
      <c r="B153" s="188" t="s">
        <v>5679</v>
      </c>
      <c r="C153" s="58" t="s">
        <v>5742</v>
      </c>
      <c r="D153" s="72" t="s">
        <v>459</v>
      </c>
      <c r="E153" s="73"/>
      <c r="F153" s="10"/>
      <c r="G153" s="10"/>
      <c r="H153" s="10"/>
      <c r="I153" s="10"/>
      <c r="J153" s="10"/>
      <c r="K153" s="10"/>
      <c r="L153" s="10"/>
      <c r="M153" s="10"/>
      <c r="N153" s="10"/>
      <c r="O153" s="10"/>
      <c r="P153" s="10"/>
      <c r="Q153" s="10"/>
      <c r="R153" s="10"/>
      <c r="S153" s="10"/>
      <c r="T153" s="10"/>
      <c r="U153" s="10"/>
    </row>
    <row r="154" ht="15.75" customHeight="1">
      <c r="A154" s="58">
        <v>1.0</v>
      </c>
      <c r="B154" s="188" t="s">
        <v>5694</v>
      </c>
      <c r="C154" s="58" t="s">
        <v>1634</v>
      </c>
      <c r="D154" s="72" t="s">
        <v>24</v>
      </c>
      <c r="E154" s="73"/>
      <c r="F154" s="10"/>
      <c r="G154" s="10"/>
      <c r="H154" s="10"/>
      <c r="I154" s="10"/>
      <c r="J154" s="10"/>
      <c r="K154" s="10"/>
      <c r="L154" s="10"/>
      <c r="M154" s="10"/>
      <c r="N154" s="10"/>
      <c r="O154" s="10"/>
      <c r="P154" s="10"/>
      <c r="Q154" s="10"/>
      <c r="R154" s="10"/>
      <c r="S154" s="10"/>
      <c r="T154" s="10"/>
      <c r="U154" s="10"/>
    </row>
    <row r="155" ht="15.75" customHeight="1">
      <c r="A155" s="58">
        <v>0.0</v>
      </c>
      <c r="B155" s="188" t="s">
        <v>5716</v>
      </c>
      <c r="C155" s="58" t="s">
        <v>1031</v>
      </c>
      <c r="D155" s="72" t="s">
        <v>187</v>
      </c>
      <c r="E155" s="73"/>
      <c r="F155" s="10"/>
      <c r="G155" s="10"/>
      <c r="H155" s="10"/>
      <c r="I155" s="10"/>
      <c r="J155" s="10"/>
      <c r="K155" s="10"/>
      <c r="L155" s="10"/>
      <c r="M155" s="10"/>
      <c r="N155" s="10"/>
      <c r="O155" s="10"/>
      <c r="P155" s="10"/>
      <c r="Q155" s="10"/>
      <c r="R155" s="10"/>
      <c r="S155" s="10"/>
      <c r="T155" s="10"/>
      <c r="U155" s="10"/>
    </row>
    <row r="156" ht="15.75" customHeight="1">
      <c r="A156" s="58">
        <v>0.0</v>
      </c>
      <c r="B156" s="188" t="s">
        <v>5689</v>
      </c>
      <c r="C156" s="58" t="s">
        <v>5743</v>
      </c>
      <c r="D156" s="72" t="s">
        <v>125</v>
      </c>
      <c r="E156" s="73"/>
      <c r="F156" s="10"/>
      <c r="G156" s="10"/>
      <c r="H156" s="10"/>
      <c r="I156" s="10"/>
      <c r="J156" s="10"/>
      <c r="K156" s="10"/>
      <c r="L156" s="10"/>
      <c r="M156" s="10"/>
      <c r="N156" s="10"/>
      <c r="O156" s="10"/>
      <c r="P156" s="10"/>
      <c r="Q156" s="10"/>
      <c r="R156" s="10"/>
      <c r="S156" s="10"/>
      <c r="T156" s="10"/>
      <c r="U156" s="10"/>
    </row>
    <row r="157" ht="15.75" customHeight="1">
      <c r="A157" s="58">
        <v>1.0</v>
      </c>
      <c r="B157" s="188" t="s">
        <v>5685</v>
      </c>
      <c r="C157" s="58" t="s">
        <v>5744</v>
      </c>
      <c r="D157" s="72" t="s">
        <v>92</v>
      </c>
      <c r="E157" s="73"/>
      <c r="F157" s="10"/>
      <c r="G157" s="10"/>
      <c r="H157" s="10"/>
      <c r="I157" s="10"/>
      <c r="J157" s="10"/>
      <c r="K157" s="10"/>
      <c r="L157" s="10"/>
      <c r="M157" s="10"/>
      <c r="N157" s="10"/>
      <c r="O157" s="10"/>
      <c r="P157" s="10"/>
      <c r="Q157" s="10"/>
      <c r="R157" s="10"/>
      <c r="S157" s="10"/>
      <c r="T157" s="10"/>
      <c r="U157" s="10"/>
    </row>
    <row r="158" ht="15.75" customHeight="1">
      <c r="A158" s="58">
        <v>0.0</v>
      </c>
      <c r="B158" s="188" t="s">
        <v>5687</v>
      </c>
      <c r="C158" s="58" t="s">
        <v>5745</v>
      </c>
      <c r="D158" s="72" t="s">
        <v>187</v>
      </c>
      <c r="E158" s="73"/>
      <c r="F158" s="10"/>
      <c r="G158" s="10"/>
      <c r="H158" s="10"/>
      <c r="I158" s="10"/>
      <c r="J158" s="10"/>
      <c r="K158" s="10"/>
      <c r="L158" s="10"/>
      <c r="M158" s="10"/>
      <c r="N158" s="10"/>
      <c r="O158" s="10"/>
      <c r="P158" s="10"/>
      <c r="Q158" s="10"/>
      <c r="R158" s="10"/>
      <c r="S158" s="10"/>
      <c r="T158" s="10"/>
      <c r="U158" s="10"/>
    </row>
    <row r="159" ht="15.75" customHeight="1">
      <c r="A159" s="58">
        <v>-2.0</v>
      </c>
      <c r="B159" s="188" t="s">
        <v>5728</v>
      </c>
      <c r="C159" s="58" t="s">
        <v>392</v>
      </c>
      <c r="D159" s="72" t="s">
        <v>187</v>
      </c>
      <c r="E159" s="73"/>
      <c r="F159" s="189"/>
      <c r="G159" s="10"/>
      <c r="H159" s="10"/>
      <c r="I159" s="10"/>
      <c r="J159" s="10"/>
      <c r="K159" s="10"/>
      <c r="L159" s="10"/>
      <c r="M159" s="10"/>
      <c r="N159" s="10"/>
      <c r="O159" s="10"/>
      <c r="P159" s="10"/>
      <c r="Q159" s="10"/>
      <c r="R159" s="10"/>
      <c r="S159" s="10"/>
      <c r="T159" s="10"/>
      <c r="U159" s="10"/>
    </row>
    <row r="160" ht="15.75" customHeight="1">
      <c r="A160" s="58">
        <v>-1.0</v>
      </c>
      <c r="B160" s="188" t="s">
        <v>5687</v>
      </c>
      <c r="C160" s="58" t="s">
        <v>5746</v>
      </c>
      <c r="D160" s="72" t="s">
        <v>179</v>
      </c>
      <c r="E160" s="73"/>
      <c r="F160" s="10"/>
      <c r="G160" s="10"/>
      <c r="H160" s="10"/>
      <c r="I160" s="10"/>
      <c r="J160" s="10"/>
      <c r="K160" s="10"/>
      <c r="L160" s="10"/>
      <c r="M160" s="10"/>
      <c r="N160" s="10"/>
      <c r="O160" s="10"/>
      <c r="P160" s="10"/>
      <c r="Q160" s="10"/>
      <c r="R160" s="10"/>
      <c r="S160" s="10"/>
      <c r="T160" s="10"/>
      <c r="U160" s="10"/>
    </row>
    <row r="161" ht="15.75" customHeight="1">
      <c r="A161" s="58">
        <v>0.0</v>
      </c>
      <c r="B161" s="188" t="s">
        <v>5679</v>
      </c>
      <c r="C161" s="58" t="s">
        <v>5747</v>
      </c>
      <c r="D161" s="72" t="s">
        <v>459</v>
      </c>
      <c r="E161" s="73"/>
      <c r="F161" s="10"/>
      <c r="G161" s="10"/>
      <c r="H161" s="10"/>
      <c r="I161" s="10"/>
      <c r="J161" s="10"/>
      <c r="K161" s="10"/>
      <c r="L161" s="10"/>
      <c r="M161" s="10"/>
      <c r="N161" s="10"/>
      <c r="O161" s="10"/>
      <c r="P161" s="10"/>
      <c r="Q161" s="10"/>
      <c r="R161" s="10"/>
      <c r="S161" s="10"/>
      <c r="T161" s="10"/>
      <c r="U161" s="10"/>
    </row>
    <row r="162" ht="15.75" customHeight="1">
      <c r="A162" s="58">
        <v>0.0</v>
      </c>
      <c r="B162" s="188" t="s">
        <v>5673</v>
      </c>
      <c r="C162" s="58" t="s">
        <v>2012</v>
      </c>
      <c r="D162" s="72" t="s">
        <v>187</v>
      </c>
      <c r="E162" s="73"/>
      <c r="F162" s="10"/>
      <c r="G162" s="10"/>
      <c r="H162" s="10"/>
      <c r="I162" s="10"/>
      <c r="J162" s="10"/>
      <c r="K162" s="10"/>
      <c r="L162" s="10"/>
      <c r="M162" s="10"/>
      <c r="N162" s="10"/>
      <c r="O162" s="10"/>
      <c r="P162" s="10"/>
      <c r="Q162" s="10"/>
      <c r="R162" s="10"/>
      <c r="S162" s="10"/>
      <c r="T162" s="10"/>
      <c r="U162" s="10"/>
    </row>
    <row r="163" ht="15.75" hidden="1" customHeight="1">
      <c r="A163" s="58">
        <v>0.0</v>
      </c>
      <c r="B163" s="58"/>
      <c r="C163" s="58" t="s">
        <v>5748</v>
      </c>
      <c r="D163" s="72" t="s">
        <v>901</v>
      </c>
      <c r="E163" s="73"/>
      <c r="F163" s="10"/>
      <c r="G163" s="10"/>
      <c r="H163" s="10"/>
      <c r="I163" s="10"/>
      <c r="J163" s="10"/>
      <c r="K163" s="10"/>
      <c r="L163" s="10"/>
      <c r="M163" s="10"/>
      <c r="N163" s="10"/>
      <c r="O163" s="10"/>
      <c r="P163" s="10"/>
      <c r="Q163" s="10"/>
      <c r="R163" s="10"/>
      <c r="S163" s="10"/>
      <c r="T163" s="10"/>
      <c r="U163" s="10"/>
    </row>
    <row r="164" ht="15.75" customHeight="1">
      <c r="A164" s="58">
        <v>-2.0</v>
      </c>
      <c r="B164" s="188" t="s">
        <v>5714</v>
      </c>
      <c r="C164" s="58" t="s">
        <v>5749</v>
      </c>
      <c r="D164" s="72" t="s">
        <v>171</v>
      </c>
      <c r="E164" s="73"/>
      <c r="F164" s="189"/>
      <c r="G164" s="10"/>
      <c r="H164" s="10"/>
      <c r="I164" s="10"/>
      <c r="J164" s="10"/>
      <c r="K164" s="10"/>
      <c r="L164" s="10"/>
      <c r="M164" s="10"/>
      <c r="N164" s="10"/>
      <c r="O164" s="10"/>
      <c r="P164" s="10"/>
      <c r="Q164" s="10"/>
      <c r="R164" s="10"/>
      <c r="S164" s="10"/>
      <c r="T164" s="10"/>
      <c r="U164" s="10"/>
    </row>
    <row r="165" ht="15.75" customHeight="1">
      <c r="A165" s="58">
        <v>0.0</v>
      </c>
      <c r="B165" s="188" t="s">
        <v>5679</v>
      </c>
      <c r="C165" s="58" t="s">
        <v>5750</v>
      </c>
      <c r="D165" s="72" t="s">
        <v>459</v>
      </c>
      <c r="E165" s="73"/>
      <c r="F165" s="10"/>
      <c r="G165" s="10"/>
      <c r="H165" s="10"/>
      <c r="I165" s="10"/>
      <c r="J165" s="10"/>
      <c r="K165" s="10"/>
      <c r="L165" s="10"/>
      <c r="M165" s="10"/>
      <c r="N165" s="10"/>
      <c r="O165" s="10"/>
      <c r="P165" s="10"/>
      <c r="Q165" s="10"/>
      <c r="R165" s="10"/>
      <c r="S165" s="10"/>
      <c r="T165" s="10"/>
      <c r="U165" s="10"/>
    </row>
    <row r="166" ht="15.75" customHeight="1">
      <c r="A166" s="58">
        <v>0.0</v>
      </c>
      <c r="B166" s="188" t="s">
        <v>5698</v>
      </c>
      <c r="C166" s="58" t="s">
        <v>1302</v>
      </c>
      <c r="D166" s="72" t="s">
        <v>125</v>
      </c>
      <c r="E166" s="73"/>
      <c r="F166" s="10"/>
      <c r="G166" s="10"/>
      <c r="H166" s="10"/>
      <c r="I166" s="10"/>
      <c r="J166" s="10"/>
      <c r="K166" s="10"/>
      <c r="L166" s="10"/>
      <c r="M166" s="10"/>
      <c r="N166" s="10"/>
      <c r="O166" s="10"/>
      <c r="P166" s="10"/>
      <c r="Q166" s="10"/>
      <c r="R166" s="10"/>
      <c r="S166" s="10"/>
      <c r="T166" s="10"/>
      <c r="U166" s="10"/>
    </row>
    <row r="167" ht="15.75" customHeight="1">
      <c r="A167" s="58">
        <v>-1.0</v>
      </c>
      <c r="B167" s="188" t="s">
        <v>5713</v>
      </c>
      <c r="C167" s="58" t="s">
        <v>509</v>
      </c>
      <c r="D167" s="72" t="s">
        <v>163</v>
      </c>
      <c r="E167" s="73"/>
      <c r="F167" s="10"/>
      <c r="G167" s="10"/>
      <c r="H167" s="10"/>
      <c r="I167" s="10"/>
      <c r="J167" s="10"/>
      <c r="K167" s="10"/>
      <c r="L167" s="10"/>
      <c r="M167" s="10"/>
      <c r="N167" s="10"/>
      <c r="O167" s="10"/>
      <c r="P167" s="10"/>
      <c r="Q167" s="10"/>
      <c r="R167" s="10"/>
      <c r="S167" s="10"/>
      <c r="T167" s="10"/>
      <c r="U167" s="10"/>
    </row>
    <row r="168" ht="15.75" customHeight="1">
      <c r="A168" s="58">
        <v>-2.0</v>
      </c>
      <c r="B168" s="188" t="s">
        <v>5695</v>
      </c>
      <c r="C168" s="58" t="s">
        <v>228</v>
      </c>
      <c r="D168" s="72" t="s">
        <v>163</v>
      </c>
      <c r="E168" s="10"/>
      <c r="F168" s="189"/>
      <c r="G168" s="10"/>
      <c r="H168" s="10"/>
      <c r="I168" s="10"/>
      <c r="J168" s="10"/>
      <c r="K168" s="10"/>
      <c r="L168" s="10"/>
      <c r="M168" s="10"/>
      <c r="N168" s="10"/>
      <c r="O168" s="10"/>
      <c r="P168" s="10"/>
      <c r="Q168" s="10"/>
      <c r="R168" s="10"/>
      <c r="S168" s="10"/>
      <c r="T168" s="10"/>
      <c r="U168" s="10"/>
    </row>
    <row r="169" ht="15.75" hidden="1" customHeight="1">
      <c r="A169" s="58">
        <v>0.0</v>
      </c>
      <c r="B169" s="58"/>
      <c r="C169" s="58" t="s">
        <v>1501</v>
      </c>
      <c r="D169" s="72" t="s">
        <v>901</v>
      </c>
      <c r="E169" s="73"/>
      <c r="F169" s="10"/>
      <c r="G169" s="10"/>
      <c r="H169" s="10"/>
      <c r="I169" s="10"/>
      <c r="J169" s="10"/>
      <c r="K169" s="10"/>
      <c r="L169" s="10"/>
      <c r="M169" s="10"/>
      <c r="N169" s="10"/>
      <c r="O169" s="10"/>
      <c r="P169" s="10"/>
      <c r="Q169" s="10"/>
      <c r="R169" s="10"/>
      <c r="S169" s="10"/>
      <c r="T169" s="10"/>
      <c r="U169" s="10"/>
    </row>
    <row r="170" ht="15.75" customHeight="1">
      <c r="A170" s="58">
        <v>0.0</v>
      </c>
      <c r="B170" s="188" t="s">
        <v>5673</v>
      </c>
      <c r="C170" s="58" t="s">
        <v>1352</v>
      </c>
      <c r="D170" s="72" t="s">
        <v>187</v>
      </c>
      <c r="E170" s="73"/>
      <c r="F170" s="10"/>
      <c r="G170" s="10"/>
      <c r="H170" s="10"/>
      <c r="I170" s="10"/>
      <c r="J170" s="10"/>
      <c r="K170" s="10"/>
      <c r="L170" s="10"/>
      <c r="M170" s="10"/>
      <c r="N170" s="10"/>
      <c r="O170" s="10"/>
      <c r="P170" s="10"/>
      <c r="Q170" s="10"/>
      <c r="R170" s="10"/>
      <c r="S170" s="10"/>
      <c r="T170" s="10"/>
      <c r="U170" s="10"/>
    </row>
    <row r="171" ht="15.75" customHeight="1">
      <c r="A171" s="58">
        <v>-1.0</v>
      </c>
      <c r="B171" s="188" t="s">
        <v>5714</v>
      </c>
      <c r="C171" s="58" t="s">
        <v>5751</v>
      </c>
      <c r="D171" s="72" t="s">
        <v>561</v>
      </c>
      <c r="E171" s="73"/>
      <c r="F171" s="10"/>
      <c r="G171" s="10"/>
      <c r="H171" s="10"/>
      <c r="I171" s="10"/>
      <c r="J171" s="10"/>
      <c r="K171" s="10"/>
      <c r="L171" s="10"/>
      <c r="M171" s="10"/>
      <c r="N171" s="10"/>
      <c r="O171" s="10"/>
      <c r="P171" s="10"/>
      <c r="Q171" s="10"/>
      <c r="R171" s="10"/>
      <c r="S171" s="10"/>
      <c r="T171" s="10"/>
      <c r="U171" s="10"/>
    </row>
    <row r="172" ht="15.75" hidden="1" customHeight="1">
      <c r="A172" s="58">
        <v>0.0</v>
      </c>
      <c r="B172" s="58"/>
      <c r="C172" s="58" t="s">
        <v>5752</v>
      </c>
      <c r="D172" s="72" t="s">
        <v>901</v>
      </c>
      <c r="E172" s="73"/>
      <c r="F172" s="10"/>
      <c r="G172" s="10"/>
      <c r="H172" s="10"/>
      <c r="I172" s="10"/>
      <c r="J172" s="10"/>
      <c r="K172" s="10"/>
      <c r="L172" s="10"/>
      <c r="M172" s="10"/>
      <c r="N172" s="10"/>
      <c r="O172" s="10"/>
      <c r="P172" s="10"/>
      <c r="Q172" s="10"/>
      <c r="R172" s="10"/>
      <c r="S172" s="10"/>
      <c r="T172" s="10"/>
      <c r="U172" s="10"/>
    </row>
    <row r="173" ht="15.75" customHeight="1">
      <c r="A173" s="58">
        <v>-2.0</v>
      </c>
      <c r="B173" s="188" t="s">
        <v>5712</v>
      </c>
      <c r="C173" s="58" t="s">
        <v>5753</v>
      </c>
      <c r="D173" s="72" t="s">
        <v>171</v>
      </c>
      <c r="E173" s="73"/>
      <c r="F173" s="189"/>
      <c r="G173" s="10"/>
      <c r="H173" s="10"/>
      <c r="I173" s="10"/>
      <c r="J173" s="10"/>
      <c r="K173" s="10"/>
      <c r="L173" s="10"/>
      <c r="M173" s="10"/>
      <c r="N173" s="10"/>
      <c r="O173" s="10"/>
      <c r="P173" s="10"/>
      <c r="Q173" s="10"/>
      <c r="R173" s="10"/>
      <c r="S173" s="10"/>
      <c r="T173" s="10"/>
      <c r="U173" s="10"/>
    </row>
    <row r="174" ht="15.75" customHeight="1">
      <c r="A174" s="58">
        <v>0.0</v>
      </c>
      <c r="B174" s="188" t="s">
        <v>5672</v>
      </c>
      <c r="C174" s="58" t="s">
        <v>5754</v>
      </c>
      <c r="D174" s="72" t="s">
        <v>155</v>
      </c>
      <c r="E174" s="73"/>
      <c r="F174" s="10"/>
      <c r="G174" s="10"/>
      <c r="H174" s="10"/>
      <c r="I174" s="10"/>
      <c r="J174" s="10"/>
      <c r="K174" s="10"/>
      <c r="L174" s="10"/>
      <c r="M174" s="10"/>
      <c r="N174" s="10"/>
      <c r="O174" s="10"/>
      <c r="P174" s="10"/>
      <c r="Q174" s="10"/>
      <c r="R174" s="10"/>
      <c r="S174" s="10"/>
      <c r="T174" s="10"/>
      <c r="U174" s="10"/>
    </row>
    <row r="175" ht="15.75" customHeight="1">
      <c r="A175" s="58">
        <v>0.0</v>
      </c>
      <c r="B175" s="188" t="s">
        <v>5712</v>
      </c>
      <c r="C175" s="58" t="s">
        <v>1319</v>
      </c>
      <c r="D175" s="72" t="s">
        <v>70</v>
      </c>
      <c r="E175" s="73"/>
      <c r="F175" s="10"/>
      <c r="G175" s="10"/>
      <c r="H175" s="10"/>
      <c r="I175" s="10"/>
      <c r="J175" s="10"/>
      <c r="K175" s="10"/>
      <c r="L175" s="10"/>
      <c r="M175" s="10"/>
      <c r="N175" s="10"/>
      <c r="O175" s="10"/>
      <c r="P175" s="10"/>
      <c r="Q175" s="10"/>
      <c r="R175" s="10"/>
      <c r="S175" s="10"/>
      <c r="T175" s="10"/>
      <c r="U175" s="10"/>
    </row>
    <row r="176" ht="15.75" customHeight="1">
      <c r="A176" s="58">
        <v>-2.0</v>
      </c>
      <c r="B176" s="188" t="s">
        <v>5700</v>
      </c>
      <c r="C176" s="58" t="s">
        <v>5755</v>
      </c>
      <c r="D176" s="72" t="s">
        <v>171</v>
      </c>
      <c r="E176" s="73"/>
      <c r="F176" s="189"/>
      <c r="G176" s="10"/>
      <c r="H176" s="10"/>
      <c r="I176" s="10"/>
      <c r="J176" s="10"/>
      <c r="K176" s="10"/>
      <c r="L176" s="10"/>
      <c r="M176" s="10"/>
      <c r="N176" s="10"/>
      <c r="O176" s="10"/>
      <c r="P176" s="10"/>
      <c r="Q176" s="10"/>
      <c r="R176" s="10"/>
      <c r="S176" s="10"/>
      <c r="T176" s="10"/>
      <c r="U176" s="10"/>
    </row>
    <row r="177" ht="15.75" customHeight="1">
      <c r="A177" s="58">
        <v>-2.0</v>
      </c>
      <c r="B177" s="188" t="s">
        <v>5728</v>
      </c>
      <c r="C177" s="58" t="s">
        <v>5756</v>
      </c>
      <c r="D177" s="72" t="s">
        <v>171</v>
      </c>
      <c r="E177" s="73"/>
      <c r="F177" s="189"/>
      <c r="G177" s="10"/>
      <c r="H177" s="10"/>
      <c r="I177" s="10"/>
      <c r="J177" s="10"/>
      <c r="K177" s="10"/>
      <c r="L177" s="10"/>
      <c r="M177" s="10"/>
      <c r="N177" s="10"/>
      <c r="O177" s="10"/>
      <c r="P177" s="10"/>
      <c r="Q177" s="10"/>
      <c r="R177" s="10"/>
      <c r="S177" s="10"/>
      <c r="T177" s="10"/>
      <c r="U177" s="10"/>
    </row>
    <row r="178" ht="15.75" customHeight="1">
      <c r="A178" s="58">
        <v>-3.0</v>
      </c>
      <c r="B178" s="188" t="s">
        <v>5690</v>
      </c>
      <c r="C178" s="58" t="s">
        <v>5757</v>
      </c>
      <c r="D178" s="72" t="s">
        <v>44</v>
      </c>
      <c r="E178" s="73"/>
      <c r="F178" s="189"/>
      <c r="G178" s="10"/>
      <c r="H178" s="10"/>
      <c r="I178" s="10"/>
      <c r="J178" s="10"/>
      <c r="K178" s="10"/>
      <c r="L178" s="10"/>
      <c r="M178" s="10"/>
      <c r="N178" s="10"/>
      <c r="O178" s="10"/>
      <c r="P178" s="10"/>
      <c r="Q178" s="10"/>
      <c r="R178" s="10"/>
      <c r="S178" s="10"/>
      <c r="T178" s="10"/>
      <c r="U178" s="10"/>
    </row>
    <row r="179" ht="15.75" customHeight="1">
      <c r="A179" s="58">
        <v>1.0</v>
      </c>
      <c r="B179" s="188" t="s">
        <v>5681</v>
      </c>
      <c r="C179" s="58" t="s">
        <v>2266</v>
      </c>
      <c r="D179" s="58" t="s">
        <v>187</v>
      </c>
      <c r="E179" s="10"/>
      <c r="F179" s="10"/>
      <c r="G179" s="10"/>
      <c r="H179" s="10"/>
      <c r="I179" s="10"/>
      <c r="J179" s="10"/>
      <c r="K179" s="10"/>
      <c r="L179" s="10"/>
      <c r="M179" s="10"/>
      <c r="N179" s="10"/>
      <c r="O179" s="10"/>
      <c r="P179" s="10"/>
      <c r="Q179" s="10"/>
      <c r="R179" s="10"/>
      <c r="S179" s="10"/>
      <c r="T179" s="10"/>
      <c r="U179" s="10"/>
    </row>
    <row r="180" ht="15.75" customHeight="1">
      <c r="A180" s="58">
        <v>0.0</v>
      </c>
      <c r="B180" s="188" t="s">
        <v>5739</v>
      </c>
      <c r="C180" s="58" t="s">
        <v>1201</v>
      </c>
      <c r="D180" s="72" t="s">
        <v>155</v>
      </c>
      <c r="E180" s="73"/>
      <c r="F180" s="10"/>
      <c r="G180" s="10"/>
      <c r="H180" s="10"/>
      <c r="I180" s="10"/>
      <c r="J180" s="10"/>
      <c r="K180" s="10"/>
      <c r="L180" s="10"/>
      <c r="M180" s="10"/>
      <c r="N180" s="10"/>
      <c r="O180" s="10"/>
      <c r="P180" s="10"/>
      <c r="Q180" s="10"/>
      <c r="R180" s="10"/>
      <c r="S180" s="10"/>
      <c r="T180" s="10"/>
      <c r="U180" s="10"/>
    </row>
    <row r="181" ht="15.75" hidden="1" customHeight="1">
      <c r="A181" s="58">
        <v>-1.0</v>
      </c>
      <c r="B181" s="58"/>
      <c r="C181" s="58" t="s">
        <v>920</v>
      </c>
      <c r="D181" s="72" t="s">
        <v>901</v>
      </c>
      <c r="E181" s="73"/>
      <c r="F181" s="10"/>
      <c r="G181" s="10"/>
      <c r="H181" s="10"/>
      <c r="I181" s="10"/>
      <c r="J181" s="10"/>
      <c r="K181" s="10"/>
      <c r="L181" s="10"/>
      <c r="M181" s="10"/>
      <c r="N181" s="10"/>
      <c r="O181" s="10"/>
      <c r="P181" s="10"/>
      <c r="Q181" s="10"/>
      <c r="R181" s="10"/>
      <c r="S181" s="10"/>
      <c r="T181" s="10"/>
      <c r="U181" s="10"/>
    </row>
    <row r="182" ht="15.75" customHeight="1">
      <c r="A182" s="58">
        <v>-1.0</v>
      </c>
      <c r="B182" s="188" t="s">
        <v>5701</v>
      </c>
      <c r="C182" s="58" t="s">
        <v>2249</v>
      </c>
      <c r="D182" s="72" t="s">
        <v>561</v>
      </c>
      <c r="E182" s="73"/>
      <c r="F182" s="10"/>
      <c r="G182" s="10"/>
      <c r="H182" s="10"/>
      <c r="I182" s="10"/>
      <c r="J182" s="10"/>
      <c r="K182" s="10"/>
      <c r="L182" s="10"/>
      <c r="M182" s="10"/>
      <c r="N182" s="10"/>
      <c r="O182" s="10"/>
      <c r="P182" s="10"/>
      <c r="Q182" s="10"/>
      <c r="R182" s="10"/>
      <c r="S182" s="10"/>
      <c r="T182" s="10"/>
      <c r="U182" s="10"/>
    </row>
    <row r="183" ht="15.75" hidden="1" customHeight="1">
      <c r="A183" s="58">
        <v>0.0</v>
      </c>
      <c r="B183" s="58"/>
      <c r="C183" s="58" t="s">
        <v>1515</v>
      </c>
      <c r="D183" s="72" t="s">
        <v>901</v>
      </c>
      <c r="E183" s="73"/>
      <c r="F183" s="10"/>
      <c r="G183" s="10"/>
      <c r="H183" s="10"/>
      <c r="I183" s="10"/>
      <c r="J183" s="10"/>
      <c r="K183" s="10"/>
      <c r="L183" s="10"/>
      <c r="M183" s="10"/>
      <c r="N183" s="10"/>
      <c r="O183" s="10"/>
      <c r="P183" s="10"/>
      <c r="Q183" s="10"/>
      <c r="R183" s="10"/>
      <c r="S183" s="10"/>
      <c r="T183" s="10"/>
      <c r="U183" s="10"/>
    </row>
    <row r="184" ht="15.75" customHeight="1">
      <c r="A184" s="58">
        <v>-1.0</v>
      </c>
      <c r="B184" s="188" t="s">
        <v>5712</v>
      </c>
      <c r="C184" s="58" t="s">
        <v>794</v>
      </c>
      <c r="D184" s="72" t="s">
        <v>70</v>
      </c>
      <c r="E184" s="73"/>
      <c r="F184" s="10"/>
      <c r="G184" s="10"/>
      <c r="H184" s="10"/>
      <c r="I184" s="10"/>
      <c r="J184" s="10"/>
      <c r="K184" s="10"/>
      <c r="L184" s="10"/>
      <c r="M184" s="10"/>
      <c r="N184" s="10"/>
      <c r="O184" s="10"/>
      <c r="P184" s="10"/>
      <c r="Q184" s="10"/>
      <c r="R184" s="10"/>
      <c r="S184" s="10"/>
      <c r="T184" s="10"/>
      <c r="U184" s="10"/>
    </row>
    <row r="185" ht="15.75" customHeight="1">
      <c r="A185" s="58">
        <v>0.0</v>
      </c>
      <c r="B185" s="188" t="s">
        <v>5673</v>
      </c>
      <c r="C185" s="58" t="s">
        <v>1256</v>
      </c>
      <c r="D185" s="72" t="s">
        <v>179</v>
      </c>
      <c r="E185" s="73"/>
      <c r="F185" s="10"/>
      <c r="G185" s="10"/>
      <c r="H185" s="10"/>
      <c r="I185" s="10"/>
      <c r="J185" s="10"/>
      <c r="K185" s="10"/>
      <c r="L185" s="10"/>
      <c r="M185" s="10"/>
      <c r="N185" s="10"/>
      <c r="O185" s="10"/>
      <c r="P185" s="10"/>
      <c r="Q185" s="10"/>
      <c r="R185" s="10"/>
      <c r="S185" s="10"/>
      <c r="T185" s="10"/>
      <c r="U185" s="10"/>
    </row>
    <row r="186" ht="15.75" hidden="1" customHeight="1">
      <c r="A186" s="58">
        <v>-1.0</v>
      </c>
      <c r="B186" s="58"/>
      <c r="C186" s="58" t="s">
        <v>5758</v>
      </c>
      <c r="D186" s="72" t="s">
        <v>901</v>
      </c>
      <c r="E186" s="73"/>
      <c r="F186" s="10"/>
      <c r="G186" s="10"/>
      <c r="H186" s="10"/>
      <c r="I186" s="10"/>
      <c r="J186" s="10"/>
      <c r="K186" s="10"/>
      <c r="L186" s="10"/>
      <c r="M186" s="10"/>
      <c r="N186" s="10"/>
      <c r="O186" s="10"/>
      <c r="P186" s="10"/>
      <c r="Q186" s="10"/>
      <c r="R186" s="10"/>
      <c r="S186" s="10"/>
      <c r="T186" s="10"/>
      <c r="U186" s="10"/>
    </row>
    <row r="187" ht="15.75" customHeight="1">
      <c r="A187" s="58">
        <v>0.0</v>
      </c>
      <c r="B187" s="188" t="s">
        <v>5759</v>
      </c>
      <c r="C187" s="58" t="s">
        <v>2020</v>
      </c>
      <c r="D187" s="72" t="s">
        <v>187</v>
      </c>
      <c r="E187" s="73"/>
      <c r="F187" s="10"/>
      <c r="G187" s="10"/>
      <c r="H187" s="10"/>
      <c r="I187" s="10"/>
      <c r="J187" s="10"/>
      <c r="K187" s="10"/>
      <c r="L187" s="10"/>
      <c r="M187" s="10"/>
      <c r="N187" s="10"/>
      <c r="O187" s="10"/>
      <c r="P187" s="10"/>
      <c r="Q187" s="10"/>
      <c r="R187" s="10"/>
      <c r="S187" s="10"/>
      <c r="T187" s="10"/>
      <c r="U187" s="10"/>
    </row>
    <row r="188" ht="15.75" customHeight="1">
      <c r="A188" s="58">
        <v>-1.0</v>
      </c>
      <c r="B188" s="188" t="s">
        <v>5684</v>
      </c>
      <c r="C188" s="58" t="s">
        <v>771</v>
      </c>
      <c r="D188" s="72" t="s">
        <v>163</v>
      </c>
      <c r="E188" s="73"/>
      <c r="F188" s="10"/>
      <c r="G188" s="10"/>
      <c r="H188" s="10"/>
      <c r="I188" s="10"/>
      <c r="J188" s="10"/>
      <c r="K188" s="10"/>
      <c r="L188" s="10"/>
      <c r="M188" s="10"/>
      <c r="N188" s="10"/>
      <c r="O188" s="10"/>
      <c r="P188" s="10"/>
      <c r="Q188" s="10"/>
      <c r="R188" s="10"/>
      <c r="S188" s="10"/>
      <c r="T188" s="10"/>
      <c r="U188" s="10"/>
    </row>
    <row r="189" ht="15.75" hidden="1" customHeight="1">
      <c r="A189" s="58">
        <v>0.0</v>
      </c>
      <c r="B189" s="58"/>
      <c r="C189" s="58" t="s">
        <v>5486</v>
      </c>
      <c r="D189" s="72" t="s">
        <v>901</v>
      </c>
      <c r="E189" s="73"/>
      <c r="F189" s="10"/>
      <c r="G189" s="10"/>
      <c r="H189" s="10"/>
      <c r="I189" s="10"/>
      <c r="J189" s="10"/>
      <c r="K189" s="10"/>
      <c r="L189" s="10"/>
      <c r="M189" s="10"/>
      <c r="N189" s="10"/>
      <c r="O189" s="10"/>
      <c r="P189" s="10"/>
      <c r="Q189" s="10"/>
      <c r="R189" s="10"/>
      <c r="S189" s="10"/>
      <c r="T189" s="10"/>
      <c r="U189" s="10"/>
    </row>
    <row r="190" ht="15.75" customHeight="1">
      <c r="A190" s="58">
        <v>0.0</v>
      </c>
      <c r="B190" s="188" t="s">
        <v>5728</v>
      </c>
      <c r="C190" s="58" t="s">
        <v>5760</v>
      </c>
      <c r="D190" s="72" t="s">
        <v>163</v>
      </c>
      <c r="E190" s="73"/>
      <c r="F190" s="10"/>
      <c r="G190" s="10"/>
      <c r="H190" s="10"/>
      <c r="I190" s="10"/>
      <c r="J190" s="10"/>
      <c r="K190" s="10"/>
      <c r="L190" s="10"/>
      <c r="M190" s="10"/>
      <c r="N190" s="10"/>
      <c r="O190" s="10"/>
      <c r="P190" s="10"/>
      <c r="Q190" s="10"/>
      <c r="R190" s="10"/>
      <c r="S190" s="10"/>
      <c r="T190" s="10"/>
      <c r="U190" s="10"/>
    </row>
    <row r="191" ht="15.75" customHeight="1">
      <c r="A191" s="58">
        <v>0.0</v>
      </c>
      <c r="B191" s="188" t="s">
        <v>5673</v>
      </c>
      <c r="C191" s="58" t="s">
        <v>1355</v>
      </c>
      <c r="D191" s="72" t="s">
        <v>187</v>
      </c>
      <c r="E191" s="73"/>
      <c r="F191" s="10"/>
      <c r="G191" s="10"/>
      <c r="H191" s="10"/>
      <c r="I191" s="10"/>
      <c r="J191" s="10"/>
      <c r="K191" s="10"/>
      <c r="L191" s="10"/>
      <c r="M191" s="10"/>
      <c r="N191" s="10"/>
      <c r="O191" s="10"/>
      <c r="P191" s="10"/>
      <c r="Q191" s="10"/>
      <c r="R191" s="10"/>
      <c r="S191" s="10"/>
      <c r="T191" s="10"/>
      <c r="U191" s="10"/>
    </row>
    <row r="192" ht="15.75" customHeight="1">
      <c r="A192" s="58">
        <v>-3.0</v>
      </c>
      <c r="B192" s="188" t="s">
        <v>5690</v>
      </c>
      <c r="C192" s="58" t="s">
        <v>46</v>
      </c>
      <c r="D192" s="72" t="s">
        <v>24</v>
      </c>
      <c r="E192" s="73"/>
      <c r="F192" s="189"/>
      <c r="G192" s="10"/>
      <c r="H192" s="10"/>
      <c r="I192" s="10"/>
      <c r="J192" s="10"/>
      <c r="K192" s="10"/>
      <c r="L192" s="10"/>
      <c r="M192" s="10"/>
      <c r="N192" s="10"/>
      <c r="O192" s="10"/>
      <c r="P192" s="10"/>
      <c r="Q192" s="10"/>
      <c r="R192" s="10"/>
      <c r="S192" s="10"/>
      <c r="T192" s="10"/>
      <c r="U192" s="10"/>
    </row>
    <row r="193" ht="15.75" hidden="1" customHeight="1">
      <c r="A193" s="58">
        <v>0.0</v>
      </c>
      <c r="B193" s="58"/>
      <c r="C193" s="58" t="s">
        <v>1516</v>
      </c>
      <c r="D193" s="72" t="s">
        <v>901</v>
      </c>
      <c r="E193" s="73"/>
      <c r="F193" s="10"/>
      <c r="G193" s="10"/>
      <c r="H193" s="10"/>
      <c r="I193" s="10"/>
      <c r="J193" s="10"/>
      <c r="K193" s="10"/>
      <c r="L193" s="10"/>
      <c r="M193" s="10"/>
      <c r="N193" s="10"/>
      <c r="O193" s="10"/>
      <c r="P193" s="10"/>
      <c r="Q193" s="10"/>
      <c r="R193" s="10"/>
      <c r="S193" s="10"/>
      <c r="T193" s="10"/>
      <c r="U193" s="10"/>
    </row>
    <row r="194" ht="15.75" customHeight="1">
      <c r="A194" s="58">
        <v>1.0</v>
      </c>
      <c r="B194" s="188" t="s">
        <v>5761</v>
      </c>
      <c r="C194" s="58" t="s">
        <v>1530</v>
      </c>
      <c r="D194" s="72" t="s">
        <v>125</v>
      </c>
      <c r="E194" s="73"/>
      <c r="F194" s="10"/>
      <c r="G194" s="10"/>
      <c r="H194" s="10"/>
      <c r="I194" s="10"/>
      <c r="J194" s="10"/>
      <c r="K194" s="10"/>
      <c r="L194" s="10"/>
      <c r="M194" s="10"/>
      <c r="N194" s="10"/>
      <c r="O194" s="10"/>
      <c r="P194" s="10"/>
      <c r="Q194" s="10"/>
      <c r="R194" s="10"/>
      <c r="S194" s="10"/>
      <c r="T194" s="10"/>
      <c r="U194" s="10"/>
    </row>
    <row r="195" ht="15.75" hidden="1" customHeight="1">
      <c r="A195" s="58">
        <v>0.0</v>
      </c>
      <c r="B195" s="58"/>
      <c r="C195" s="58" t="s">
        <v>5762</v>
      </c>
      <c r="D195" s="72" t="s">
        <v>901</v>
      </c>
      <c r="E195" s="73"/>
      <c r="F195" s="10"/>
      <c r="G195" s="10"/>
      <c r="H195" s="10"/>
      <c r="I195" s="10"/>
      <c r="J195" s="10"/>
      <c r="K195" s="10"/>
      <c r="L195" s="10"/>
      <c r="M195" s="10"/>
      <c r="N195" s="10"/>
      <c r="O195" s="10"/>
      <c r="P195" s="10"/>
      <c r="Q195" s="10"/>
      <c r="R195" s="10"/>
      <c r="S195" s="10"/>
      <c r="T195" s="10"/>
      <c r="U195" s="10"/>
    </row>
    <row r="196" ht="15.75" customHeight="1">
      <c r="A196" s="58">
        <v>0.0</v>
      </c>
      <c r="B196" s="188" t="s">
        <v>5673</v>
      </c>
      <c r="C196" s="58" t="s">
        <v>1357</v>
      </c>
      <c r="D196" s="72" t="s">
        <v>187</v>
      </c>
      <c r="E196" s="73"/>
      <c r="F196" s="10"/>
      <c r="G196" s="10"/>
      <c r="H196" s="10"/>
      <c r="I196" s="10"/>
      <c r="J196" s="10"/>
      <c r="K196" s="10"/>
      <c r="L196" s="10"/>
      <c r="M196" s="10"/>
      <c r="N196" s="10"/>
      <c r="O196" s="10"/>
      <c r="P196" s="10"/>
      <c r="Q196" s="10"/>
      <c r="R196" s="10"/>
      <c r="S196" s="10"/>
      <c r="T196" s="10"/>
      <c r="U196" s="10"/>
    </row>
    <row r="197" ht="15.75" customHeight="1">
      <c r="A197" s="58">
        <v>0.0</v>
      </c>
      <c r="B197" s="188" t="s">
        <v>5684</v>
      </c>
      <c r="C197" s="58" t="s">
        <v>1278</v>
      </c>
      <c r="D197" s="72" t="s">
        <v>163</v>
      </c>
      <c r="E197" s="73"/>
      <c r="F197" s="10"/>
      <c r="G197" s="10"/>
      <c r="H197" s="10"/>
      <c r="I197" s="10"/>
      <c r="J197" s="10"/>
      <c r="K197" s="10"/>
      <c r="L197" s="10"/>
      <c r="M197" s="10"/>
      <c r="N197" s="10"/>
      <c r="O197" s="10"/>
      <c r="P197" s="10"/>
      <c r="Q197" s="10"/>
      <c r="R197" s="10"/>
      <c r="S197" s="10"/>
      <c r="T197" s="10"/>
      <c r="U197" s="10"/>
    </row>
    <row r="198" ht="15.75" customHeight="1">
      <c r="A198" s="58">
        <v>0.0</v>
      </c>
      <c r="B198" s="188" t="s">
        <v>5673</v>
      </c>
      <c r="C198" s="58" t="s">
        <v>1359</v>
      </c>
      <c r="D198" s="72" t="s">
        <v>187</v>
      </c>
      <c r="E198" s="73"/>
      <c r="F198" s="10"/>
      <c r="G198" s="10"/>
      <c r="H198" s="10"/>
      <c r="I198" s="10"/>
      <c r="J198" s="10"/>
      <c r="K198" s="10"/>
      <c r="L198" s="10"/>
      <c r="M198" s="10"/>
      <c r="N198" s="10"/>
      <c r="O198" s="10"/>
      <c r="P198" s="10"/>
      <c r="Q198" s="10"/>
      <c r="R198" s="10"/>
      <c r="S198" s="10"/>
      <c r="T198" s="10"/>
      <c r="U198" s="10"/>
    </row>
    <row r="199" ht="15.75" customHeight="1">
      <c r="A199" s="58">
        <v>-2.0</v>
      </c>
      <c r="B199" s="188" t="s">
        <v>5712</v>
      </c>
      <c r="C199" s="58" t="s">
        <v>1998</v>
      </c>
      <c r="D199" s="58" t="s">
        <v>155</v>
      </c>
      <c r="E199" s="10"/>
      <c r="F199" s="16"/>
      <c r="G199" s="10"/>
      <c r="H199" s="10"/>
      <c r="I199" s="15"/>
      <c r="J199" s="10"/>
      <c r="K199" s="10"/>
      <c r="L199" s="10"/>
      <c r="M199" s="16"/>
      <c r="N199" s="10"/>
      <c r="O199" s="10"/>
      <c r="P199" s="10"/>
      <c r="Q199" s="10"/>
      <c r="R199" s="10"/>
      <c r="S199" s="10"/>
      <c r="T199" s="10"/>
      <c r="U199" s="10"/>
    </row>
    <row r="200" ht="15.75" customHeight="1">
      <c r="A200" s="58">
        <v>-2.0</v>
      </c>
      <c r="B200" s="188" t="s">
        <v>5681</v>
      </c>
      <c r="C200" s="58" t="s">
        <v>309</v>
      </c>
      <c r="D200" s="72" t="s">
        <v>70</v>
      </c>
      <c r="E200" s="73"/>
      <c r="F200" s="189"/>
      <c r="G200" s="10"/>
      <c r="H200" s="10"/>
      <c r="I200" s="10"/>
      <c r="J200" s="10"/>
      <c r="K200" s="10"/>
      <c r="L200" s="10"/>
      <c r="M200" s="10"/>
      <c r="N200" s="10"/>
      <c r="O200" s="10"/>
      <c r="P200" s="10"/>
      <c r="Q200" s="10"/>
      <c r="R200" s="10"/>
      <c r="S200" s="10"/>
      <c r="T200" s="10"/>
      <c r="U200" s="10"/>
    </row>
    <row r="201" ht="15.75" customHeight="1">
      <c r="A201" s="58">
        <v>-1.0</v>
      </c>
      <c r="B201" s="188" t="s">
        <v>5689</v>
      </c>
      <c r="C201" s="58" t="s">
        <v>716</v>
      </c>
      <c r="D201" s="72" t="s">
        <v>163</v>
      </c>
      <c r="E201" s="73"/>
      <c r="F201" s="10"/>
      <c r="G201" s="10"/>
      <c r="H201" s="10"/>
      <c r="I201" s="10"/>
      <c r="J201" s="10"/>
      <c r="K201" s="10"/>
      <c r="L201" s="10"/>
      <c r="M201" s="10"/>
      <c r="N201" s="10"/>
      <c r="O201" s="10"/>
      <c r="P201" s="10"/>
      <c r="Q201" s="10"/>
      <c r="R201" s="10"/>
      <c r="S201" s="10"/>
      <c r="T201" s="10"/>
      <c r="U201" s="10"/>
    </row>
    <row r="202" ht="15.75" customHeight="1">
      <c r="A202" s="58">
        <v>1.0</v>
      </c>
      <c r="B202" s="188" t="s">
        <v>5739</v>
      </c>
      <c r="C202" s="58" t="s">
        <v>1536</v>
      </c>
      <c r="D202" s="72" t="s">
        <v>1392</v>
      </c>
      <c r="E202" s="73"/>
      <c r="F202" s="10"/>
      <c r="G202" s="10"/>
      <c r="H202" s="10"/>
      <c r="I202" s="10"/>
      <c r="J202" s="10"/>
      <c r="K202" s="10"/>
      <c r="L202" s="10"/>
      <c r="M202" s="10"/>
      <c r="N202" s="10"/>
      <c r="O202" s="10"/>
      <c r="P202" s="10"/>
      <c r="Q202" s="10"/>
      <c r="R202" s="10"/>
      <c r="S202" s="10"/>
      <c r="T202" s="10"/>
      <c r="U202" s="10"/>
    </row>
    <row r="203" ht="15.75" hidden="1" customHeight="1">
      <c r="A203" s="58">
        <v>-1.0</v>
      </c>
      <c r="B203" s="58"/>
      <c r="C203" s="58" t="s">
        <v>5763</v>
      </c>
      <c r="D203" s="72" t="s">
        <v>901</v>
      </c>
      <c r="E203" s="73"/>
      <c r="F203" s="10"/>
      <c r="G203" s="10"/>
      <c r="H203" s="10"/>
      <c r="I203" s="10"/>
      <c r="J203" s="10"/>
      <c r="K203" s="10"/>
      <c r="L203" s="10"/>
      <c r="M203" s="10"/>
      <c r="N203" s="10"/>
      <c r="O203" s="10"/>
      <c r="P203" s="10"/>
      <c r="Q203" s="10"/>
      <c r="R203" s="10"/>
      <c r="S203" s="10"/>
      <c r="T203" s="10"/>
      <c r="U203" s="10"/>
    </row>
    <row r="204" ht="15.75" hidden="1" customHeight="1">
      <c r="A204" s="58">
        <v>0.0</v>
      </c>
      <c r="B204" s="58"/>
      <c r="C204" s="58" t="s">
        <v>5764</v>
      </c>
      <c r="D204" s="72" t="s">
        <v>901</v>
      </c>
      <c r="E204" s="73"/>
      <c r="F204" s="10"/>
      <c r="G204" s="10"/>
      <c r="H204" s="10"/>
      <c r="I204" s="10"/>
      <c r="J204" s="10"/>
      <c r="K204" s="10"/>
      <c r="L204" s="10"/>
      <c r="M204" s="10"/>
      <c r="N204" s="10"/>
      <c r="O204" s="10"/>
      <c r="P204" s="10"/>
      <c r="Q204" s="10"/>
      <c r="R204" s="10"/>
      <c r="S204" s="10"/>
      <c r="T204" s="10"/>
      <c r="U204" s="10"/>
    </row>
    <row r="205" ht="15.75" customHeight="1">
      <c r="A205" s="58">
        <v>-2.0</v>
      </c>
      <c r="B205" s="188" t="s">
        <v>5696</v>
      </c>
      <c r="C205" s="58" t="s">
        <v>315</v>
      </c>
      <c r="D205" s="72" t="s">
        <v>163</v>
      </c>
      <c r="E205" s="73"/>
      <c r="F205" s="189"/>
      <c r="G205" s="10"/>
      <c r="H205" s="10"/>
      <c r="I205" s="10"/>
      <c r="J205" s="10"/>
      <c r="K205" s="10"/>
      <c r="L205" s="10"/>
      <c r="M205" s="10"/>
      <c r="N205" s="10"/>
      <c r="O205" s="10"/>
      <c r="P205" s="10"/>
      <c r="Q205" s="10"/>
      <c r="R205" s="10"/>
      <c r="S205" s="10"/>
      <c r="T205" s="10"/>
      <c r="U205" s="10"/>
    </row>
    <row r="206" ht="15.75" customHeight="1">
      <c r="A206" s="58">
        <v>-1.0</v>
      </c>
      <c r="B206" s="188" t="s">
        <v>5698</v>
      </c>
      <c r="C206" s="58" t="s">
        <v>788</v>
      </c>
      <c r="D206" s="72" t="s">
        <v>163</v>
      </c>
      <c r="E206" s="73"/>
      <c r="F206" s="10"/>
      <c r="G206" s="10"/>
      <c r="H206" s="10"/>
      <c r="I206" s="10"/>
      <c r="J206" s="10"/>
      <c r="K206" s="10"/>
      <c r="L206" s="10"/>
      <c r="M206" s="10"/>
      <c r="N206" s="10"/>
      <c r="O206" s="10"/>
      <c r="P206" s="10"/>
      <c r="Q206" s="10"/>
      <c r="R206" s="10"/>
      <c r="S206" s="10"/>
      <c r="T206" s="10"/>
      <c r="U206" s="10"/>
    </row>
    <row r="207" ht="15.75" customHeight="1">
      <c r="A207" s="58">
        <v>-1.0</v>
      </c>
      <c r="B207" s="188" t="s">
        <v>5740</v>
      </c>
      <c r="C207" s="58" t="s">
        <v>5765</v>
      </c>
      <c r="D207" s="72" t="s">
        <v>187</v>
      </c>
      <c r="E207" s="73"/>
      <c r="F207" s="10"/>
      <c r="G207" s="10"/>
      <c r="H207" s="10"/>
      <c r="I207" s="10"/>
      <c r="J207" s="10"/>
      <c r="K207" s="10"/>
      <c r="L207" s="10"/>
      <c r="M207" s="10"/>
      <c r="N207" s="10"/>
      <c r="O207" s="10"/>
      <c r="P207" s="10"/>
      <c r="Q207" s="10"/>
      <c r="R207" s="10"/>
      <c r="S207" s="10"/>
      <c r="T207" s="10"/>
      <c r="U207" s="10"/>
    </row>
    <row r="208" ht="15.75" customHeight="1">
      <c r="A208" s="58">
        <v>1.0</v>
      </c>
      <c r="B208" s="188" t="s">
        <v>5712</v>
      </c>
      <c r="C208" s="58" t="s">
        <v>2051</v>
      </c>
      <c r="D208" s="58" t="s">
        <v>187</v>
      </c>
      <c r="E208" s="10"/>
      <c r="F208" s="10"/>
      <c r="G208" s="10"/>
      <c r="H208" s="10"/>
      <c r="I208" s="10"/>
      <c r="J208" s="10"/>
      <c r="K208" s="10"/>
      <c r="L208" s="10"/>
      <c r="M208" s="10"/>
      <c r="N208" s="10"/>
      <c r="O208" s="10"/>
      <c r="P208" s="10"/>
      <c r="Q208" s="10"/>
      <c r="R208" s="10"/>
      <c r="S208" s="10"/>
      <c r="T208" s="10"/>
      <c r="U208" s="10"/>
    </row>
    <row r="209" ht="15.75" customHeight="1">
      <c r="A209" s="58">
        <v>-2.0</v>
      </c>
      <c r="B209" s="188" t="s">
        <v>5684</v>
      </c>
      <c r="C209" s="58" t="s">
        <v>326</v>
      </c>
      <c r="D209" s="72" t="s">
        <v>163</v>
      </c>
      <c r="E209" s="73"/>
      <c r="F209" s="189"/>
      <c r="G209" s="10"/>
      <c r="H209" s="10"/>
      <c r="I209" s="10"/>
      <c r="J209" s="10"/>
      <c r="K209" s="10"/>
      <c r="L209" s="10"/>
      <c r="M209" s="10"/>
      <c r="N209" s="10"/>
      <c r="O209" s="10"/>
      <c r="P209" s="10"/>
      <c r="Q209" s="10"/>
      <c r="R209" s="10"/>
      <c r="S209" s="10"/>
      <c r="T209" s="10"/>
      <c r="U209" s="10"/>
    </row>
    <row r="210" ht="15.75" customHeight="1">
      <c r="A210" s="58">
        <v>-2.0</v>
      </c>
      <c r="B210" s="188" t="s">
        <v>5675</v>
      </c>
      <c r="C210" s="58" t="s">
        <v>216</v>
      </c>
      <c r="D210" s="72" t="s">
        <v>163</v>
      </c>
      <c r="E210" s="73"/>
      <c r="F210" s="189"/>
      <c r="G210" s="10"/>
      <c r="H210" s="10"/>
      <c r="I210" s="10"/>
      <c r="J210" s="10"/>
      <c r="K210" s="10"/>
      <c r="L210" s="10"/>
      <c r="M210" s="10"/>
      <c r="N210" s="10"/>
      <c r="O210" s="10"/>
      <c r="P210" s="10"/>
      <c r="Q210" s="10"/>
      <c r="R210" s="10"/>
      <c r="S210" s="10"/>
      <c r="T210" s="10"/>
      <c r="U210" s="10"/>
    </row>
    <row r="211" ht="15.75" hidden="1" customHeight="1">
      <c r="A211" s="58">
        <v>0.0</v>
      </c>
      <c r="B211" s="58"/>
      <c r="C211" s="58" t="s">
        <v>1468</v>
      </c>
      <c r="D211" s="72" t="s">
        <v>901</v>
      </c>
      <c r="E211" s="73"/>
      <c r="F211" s="10"/>
      <c r="G211" s="10"/>
      <c r="H211" s="10"/>
      <c r="I211" s="10"/>
      <c r="J211" s="10"/>
      <c r="K211" s="10"/>
      <c r="L211" s="10"/>
      <c r="M211" s="10"/>
      <c r="N211" s="10"/>
      <c r="O211" s="10"/>
      <c r="P211" s="10"/>
      <c r="Q211" s="10"/>
      <c r="R211" s="10"/>
      <c r="S211" s="10"/>
      <c r="T211" s="10"/>
      <c r="U211" s="10"/>
    </row>
    <row r="212" ht="15.75" customHeight="1">
      <c r="A212" s="58">
        <v>-1.0</v>
      </c>
      <c r="B212" s="188" t="s">
        <v>5700</v>
      </c>
      <c r="C212" s="58" t="s">
        <v>630</v>
      </c>
      <c r="D212" s="72" t="s">
        <v>561</v>
      </c>
      <c r="E212" s="73"/>
      <c r="F212" s="10"/>
      <c r="G212" s="10"/>
      <c r="H212" s="10"/>
      <c r="I212" s="10"/>
      <c r="J212" s="10"/>
      <c r="K212" s="10"/>
      <c r="L212" s="10"/>
      <c r="M212" s="10"/>
      <c r="N212" s="10"/>
      <c r="O212" s="10"/>
      <c r="P212" s="10"/>
      <c r="Q212" s="10"/>
      <c r="R212" s="10"/>
      <c r="S212" s="10"/>
      <c r="T212" s="10"/>
      <c r="U212" s="10"/>
    </row>
    <row r="213" ht="15.75" hidden="1" customHeight="1">
      <c r="A213" s="58">
        <v>0.0</v>
      </c>
      <c r="B213" s="58"/>
      <c r="C213" s="58" t="s">
        <v>1517</v>
      </c>
      <c r="D213" s="72" t="s">
        <v>901</v>
      </c>
      <c r="E213" s="73"/>
      <c r="F213" s="10"/>
      <c r="G213" s="10"/>
      <c r="H213" s="10"/>
      <c r="I213" s="10"/>
      <c r="J213" s="10"/>
      <c r="K213" s="10"/>
      <c r="L213" s="10"/>
      <c r="M213" s="10"/>
      <c r="N213" s="10"/>
      <c r="O213" s="10"/>
      <c r="P213" s="10"/>
      <c r="Q213" s="10"/>
      <c r="R213" s="10"/>
      <c r="S213" s="10"/>
      <c r="T213" s="10"/>
      <c r="U213" s="10"/>
    </row>
    <row r="214" ht="15.75" customHeight="1">
      <c r="A214" s="58">
        <v>1.0</v>
      </c>
      <c r="B214" s="188" t="s">
        <v>5728</v>
      </c>
      <c r="C214" s="58" t="s">
        <v>2277</v>
      </c>
      <c r="D214" s="72" t="s">
        <v>70</v>
      </c>
      <c r="E214" s="73"/>
      <c r="F214" s="10"/>
      <c r="G214" s="10"/>
      <c r="H214" s="10"/>
      <c r="I214" s="10"/>
      <c r="J214" s="10"/>
      <c r="K214" s="10"/>
      <c r="L214" s="10"/>
      <c r="M214" s="10"/>
      <c r="N214" s="10"/>
      <c r="O214" s="10"/>
      <c r="P214" s="10"/>
      <c r="Q214" s="10"/>
      <c r="R214" s="10"/>
      <c r="S214" s="10"/>
      <c r="T214" s="10"/>
      <c r="U214" s="10"/>
    </row>
    <row r="215" ht="15.75" customHeight="1">
      <c r="A215" s="58">
        <v>0.0</v>
      </c>
      <c r="B215" s="188" t="s">
        <v>5672</v>
      </c>
      <c r="C215" s="58" t="s">
        <v>1228</v>
      </c>
      <c r="D215" s="72" t="s">
        <v>155</v>
      </c>
      <c r="E215" s="73"/>
      <c r="F215" s="10"/>
      <c r="G215" s="10"/>
      <c r="H215" s="10"/>
      <c r="I215" s="10"/>
      <c r="J215" s="10"/>
      <c r="K215" s="10"/>
      <c r="L215" s="10"/>
      <c r="M215" s="10"/>
      <c r="N215" s="10"/>
      <c r="O215" s="10"/>
      <c r="P215" s="10"/>
      <c r="Q215" s="10"/>
      <c r="R215" s="10"/>
      <c r="S215" s="10"/>
      <c r="T215" s="10"/>
      <c r="U215" s="10"/>
    </row>
    <row r="216" ht="15.75" customHeight="1">
      <c r="A216" s="58">
        <v>0.0</v>
      </c>
      <c r="B216" s="188" t="s">
        <v>5686</v>
      </c>
      <c r="C216" s="58" t="s">
        <v>5766</v>
      </c>
      <c r="D216" s="72" t="s">
        <v>163</v>
      </c>
      <c r="E216" s="73"/>
      <c r="F216" s="10"/>
      <c r="G216" s="10"/>
      <c r="H216" s="10"/>
      <c r="I216" s="10"/>
      <c r="J216" s="10"/>
      <c r="K216" s="10"/>
      <c r="L216" s="10"/>
      <c r="M216" s="10"/>
      <c r="N216" s="10"/>
      <c r="O216" s="10"/>
      <c r="P216" s="10"/>
      <c r="Q216" s="10"/>
      <c r="R216" s="10"/>
      <c r="S216" s="10"/>
      <c r="T216" s="10"/>
      <c r="U216" s="10"/>
    </row>
    <row r="217" ht="15.75" hidden="1" customHeight="1">
      <c r="A217" s="58">
        <v>0.0</v>
      </c>
      <c r="B217" s="58"/>
      <c r="C217" s="58" t="s">
        <v>5767</v>
      </c>
      <c r="D217" s="72" t="s">
        <v>901</v>
      </c>
      <c r="E217" s="73"/>
      <c r="F217" s="10"/>
      <c r="G217" s="10"/>
      <c r="H217" s="10"/>
      <c r="I217" s="10"/>
      <c r="J217" s="10"/>
      <c r="K217" s="10"/>
      <c r="L217" s="10"/>
      <c r="M217" s="10"/>
      <c r="N217" s="10"/>
      <c r="O217" s="10"/>
      <c r="P217" s="10"/>
      <c r="Q217" s="10"/>
      <c r="R217" s="10"/>
      <c r="S217" s="10"/>
      <c r="T217" s="10"/>
      <c r="U217" s="10"/>
    </row>
    <row r="218" ht="15.75" customHeight="1">
      <c r="A218" s="58">
        <v>1.0</v>
      </c>
      <c r="B218" s="188" t="s">
        <v>5681</v>
      </c>
      <c r="C218" s="58" t="s">
        <v>1560</v>
      </c>
      <c r="D218" s="72" t="s">
        <v>92</v>
      </c>
      <c r="E218" s="73"/>
      <c r="F218" s="10"/>
      <c r="G218" s="10"/>
      <c r="H218" s="10"/>
      <c r="I218" s="10"/>
      <c r="J218" s="10"/>
      <c r="K218" s="10"/>
      <c r="L218" s="10"/>
      <c r="M218" s="10"/>
      <c r="N218" s="10"/>
      <c r="O218" s="10"/>
      <c r="P218" s="10"/>
      <c r="Q218" s="10"/>
      <c r="R218" s="10"/>
      <c r="S218" s="10"/>
      <c r="T218" s="10"/>
      <c r="U218" s="10"/>
    </row>
    <row r="219" ht="15.75" hidden="1" customHeight="1">
      <c r="A219" s="58">
        <v>-1.0</v>
      </c>
      <c r="B219" s="58"/>
      <c r="C219" s="58" t="s">
        <v>5531</v>
      </c>
      <c r="D219" s="72" t="s">
        <v>901</v>
      </c>
      <c r="E219" s="73"/>
      <c r="F219" s="10"/>
      <c r="G219" s="10"/>
      <c r="H219" s="10"/>
      <c r="I219" s="10"/>
      <c r="J219" s="10"/>
      <c r="K219" s="10"/>
      <c r="L219" s="10"/>
      <c r="M219" s="10"/>
      <c r="N219" s="10"/>
      <c r="O219" s="10"/>
      <c r="P219" s="10"/>
      <c r="Q219" s="10"/>
      <c r="R219" s="10"/>
      <c r="S219" s="10"/>
      <c r="T219" s="10"/>
      <c r="U219" s="10"/>
    </row>
    <row r="220" ht="15.75" hidden="1" customHeight="1">
      <c r="A220" s="58">
        <v>0.0</v>
      </c>
      <c r="B220" s="58"/>
      <c r="C220" s="58" t="s">
        <v>1503</v>
      </c>
      <c r="D220" s="72" t="s">
        <v>901</v>
      </c>
      <c r="E220" s="73"/>
      <c r="F220" s="10"/>
      <c r="G220" s="10"/>
      <c r="H220" s="10"/>
      <c r="I220" s="10"/>
      <c r="J220" s="10"/>
      <c r="K220" s="10"/>
      <c r="L220" s="10"/>
      <c r="M220" s="10"/>
      <c r="N220" s="10"/>
      <c r="O220" s="10"/>
      <c r="P220" s="10"/>
      <c r="Q220" s="10"/>
      <c r="R220" s="10"/>
      <c r="S220" s="10"/>
      <c r="T220" s="10"/>
      <c r="U220" s="10"/>
    </row>
    <row r="221" ht="15.75" customHeight="1">
      <c r="A221" s="58">
        <v>0.0</v>
      </c>
      <c r="B221" s="188" t="s">
        <v>5728</v>
      </c>
      <c r="C221" s="58" t="s">
        <v>1331</v>
      </c>
      <c r="D221" s="72" t="s">
        <v>163</v>
      </c>
      <c r="E221" s="73"/>
      <c r="F221" s="10"/>
      <c r="G221" s="10"/>
      <c r="H221" s="10"/>
      <c r="I221" s="10"/>
      <c r="J221" s="10"/>
      <c r="K221" s="10"/>
      <c r="L221" s="10"/>
      <c r="M221" s="10"/>
      <c r="N221" s="10"/>
      <c r="O221" s="10"/>
      <c r="P221" s="10"/>
      <c r="Q221" s="10"/>
      <c r="R221" s="10"/>
      <c r="S221" s="10"/>
      <c r="T221" s="10"/>
      <c r="U221" s="10"/>
    </row>
    <row r="222" ht="15.75" customHeight="1">
      <c r="A222" s="58">
        <v>1.0</v>
      </c>
      <c r="B222" s="188" t="s">
        <v>5684</v>
      </c>
      <c r="C222" s="58" t="s">
        <v>5768</v>
      </c>
      <c r="D222" s="58" t="s">
        <v>187</v>
      </c>
      <c r="E222" s="10"/>
      <c r="F222" s="10"/>
      <c r="G222" s="10"/>
      <c r="H222" s="10"/>
      <c r="I222" s="10"/>
      <c r="J222" s="10"/>
      <c r="K222" s="10"/>
      <c r="L222" s="10"/>
      <c r="M222" s="10"/>
      <c r="N222" s="10"/>
      <c r="O222" s="10"/>
      <c r="P222" s="10"/>
      <c r="Q222" s="10"/>
      <c r="R222" s="10"/>
      <c r="S222" s="10"/>
      <c r="T222" s="10"/>
      <c r="U222" s="10"/>
    </row>
    <row r="223" ht="15.75" customHeight="1">
      <c r="A223" s="58">
        <v>-2.0</v>
      </c>
      <c r="B223" s="188" t="s">
        <v>5681</v>
      </c>
      <c r="C223" s="58" t="s">
        <v>5769</v>
      </c>
      <c r="D223" s="72" t="s">
        <v>179</v>
      </c>
      <c r="E223" s="73"/>
      <c r="F223" s="189"/>
      <c r="G223" s="10"/>
      <c r="H223" s="10"/>
      <c r="I223" s="10"/>
      <c r="J223" s="10"/>
      <c r="K223" s="10"/>
      <c r="L223" s="10"/>
      <c r="M223" s="10"/>
      <c r="N223" s="10"/>
      <c r="O223" s="10"/>
      <c r="P223" s="10"/>
      <c r="Q223" s="10"/>
      <c r="R223" s="10"/>
      <c r="S223" s="10"/>
      <c r="T223" s="10"/>
      <c r="U223" s="10"/>
    </row>
    <row r="224" ht="15.75" customHeight="1">
      <c r="A224" s="58">
        <v>-1.0</v>
      </c>
      <c r="B224" s="188" t="s">
        <v>5677</v>
      </c>
      <c r="C224" s="58" t="s">
        <v>746</v>
      </c>
      <c r="D224" s="72" t="s">
        <v>179</v>
      </c>
      <c r="E224" s="73"/>
      <c r="F224" s="10"/>
      <c r="G224" s="10"/>
      <c r="H224" s="10"/>
      <c r="I224" s="10"/>
      <c r="J224" s="10"/>
      <c r="K224" s="10"/>
      <c r="L224" s="10"/>
      <c r="M224" s="10"/>
      <c r="N224" s="10"/>
      <c r="O224" s="10"/>
      <c r="P224" s="10"/>
      <c r="Q224" s="10"/>
      <c r="R224" s="10"/>
      <c r="S224" s="10"/>
      <c r="T224" s="10"/>
      <c r="U224" s="10"/>
    </row>
    <row r="225" ht="15.75" customHeight="1">
      <c r="A225" s="58">
        <v>0.0</v>
      </c>
      <c r="B225" s="188" t="s">
        <v>5695</v>
      </c>
      <c r="C225" s="58" t="s">
        <v>1159</v>
      </c>
      <c r="D225" s="72" t="s">
        <v>163</v>
      </c>
      <c r="E225" s="73"/>
      <c r="F225" s="10"/>
      <c r="G225" s="10"/>
      <c r="H225" s="10"/>
      <c r="I225" s="10"/>
      <c r="J225" s="10"/>
      <c r="K225" s="10"/>
      <c r="L225" s="10"/>
      <c r="M225" s="10"/>
      <c r="N225" s="10"/>
      <c r="O225" s="10"/>
      <c r="P225" s="10"/>
      <c r="Q225" s="10"/>
      <c r="R225" s="10"/>
      <c r="S225" s="10"/>
      <c r="T225" s="10"/>
      <c r="U225" s="10"/>
    </row>
    <row r="226" ht="15.75" customHeight="1">
      <c r="A226" s="58">
        <v>0.0</v>
      </c>
      <c r="B226" s="188" t="s">
        <v>5677</v>
      </c>
      <c r="C226" s="58" t="s">
        <v>5770</v>
      </c>
      <c r="D226" s="72" t="s">
        <v>163</v>
      </c>
      <c r="E226" s="73"/>
      <c r="F226" s="10"/>
      <c r="G226" s="10"/>
      <c r="H226" s="10"/>
      <c r="I226" s="10"/>
      <c r="J226" s="10"/>
      <c r="K226" s="10"/>
      <c r="L226" s="10"/>
      <c r="M226" s="10"/>
      <c r="N226" s="10"/>
      <c r="O226" s="10"/>
      <c r="P226" s="10"/>
      <c r="Q226" s="10"/>
      <c r="R226" s="10"/>
      <c r="S226" s="10"/>
      <c r="T226" s="10"/>
      <c r="U226" s="10"/>
    </row>
    <row r="227" ht="15.75" customHeight="1">
      <c r="A227" s="58">
        <v>-1.0</v>
      </c>
      <c r="B227" s="188" t="s">
        <v>5689</v>
      </c>
      <c r="C227" s="58" t="s">
        <v>5771</v>
      </c>
      <c r="D227" s="72" t="s">
        <v>155</v>
      </c>
      <c r="E227" s="73"/>
      <c r="F227" s="10"/>
      <c r="G227" s="10"/>
      <c r="H227" s="10"/>
      <c r="I227" s="10"/>
      <c r="J227" s="10"/>
      <c r="K227" s="10"/>
      <c r="L227" s="10"/>
      <c r="M227" s="10"/>
      <c r="N227" s="10"/>
      <c r="O227" s="10"/>
      <c r="P227" s="10"/>
      <c r="Q227" s="10"/>
      <c r="R227" s="10"/>
      <c r="S227" s="10"/>
      <c r="T227" s="10"/>
      <c r="U227" s="10"/>
    </row>
    <row r="228" ht="15.75" customHeight="1">
      <c r="A228" s="58">
        <v>0.0</v>
      </c>
      <c r="B228" s="188" t="s">
        <v>5675</v>
      </c>
      <c r="C228" s="58" t="s">
        <v>1141</v>
      </c>
      <c r="D228" s="72" t="s">
        <v>187</v>
      </c>
      <c r="E228" s="73"/>
      <c r="F228" s="10"/>
      <c r="G228" s="10"/>
      <c r="H228" s="10"/>
      <c r="I228" s="10"/>
      <c r="J228" s="10"/>
      <c r="K228" s="10"/>
      <c r="L228" s="10"/>
      <c r="M228" s="10"/>
      <c r="N228" s="10"/>
      <c r="O228" s="10"/>
      <c r="P228" s="10"/>
      <c r="Q228" s="10"/>
      <c r="R228" s="10"/>
      <c r="S228" s="10"/>
      <c r="T228" s="10"/>
      <c r="U228" s="10"/>
    </row>
    <row r="229" ht="15.75" customHeight="1">
      <c r="A229" s="58">
        <v>-1.0</v>
      </c>
      <c r="B229" s="188" t="s">
        <v>5694</v>
      </c>
      <c r="C229" s="58" t="s">
        <v>5772</v>
      </c>
      <c r="D229" s="72" t="s">
        <v>179</v>
      </c>
      <c r="E229" s="73"/>
      <c r="F229" s="10"/>
      <c r="G229" s="10"/>
      <c r="H229" s="10"/>
      <c r="I229" s="10"/>
      <c r="J229" s="10"/>
      <c r="K229" s="10"/>
      <c r="L229" s="10"/>
      <c r="M229" s="10"/>
      <c r="N229" s="10"/>
      <c r="O229" s="10"/>
      <c r="P229" s="10"/>
      <c r="Q229" s="10"/>
      <c r="R229" s="10"/>
      <c r="S229" s="10"/>
      <c r="T229" s="10"/>
      <c r="U229" s="10"/>
    </row>
    <row r="230" ht="15.75" customHeight="1">
      <c r="A230" s="58">
        <v>-1.0</v>
      </c>
      <c r="B230" s="188" t="s">
        <v>5681</v>
      </c>
      <c r="C230" s="58" t="s">
        <v>759</v>
      </c>
      <c r="D230" s="72" t="s">
        <v>163</v>
      </c>
      <c r="E230" s="73"/>
      <c r="F230" s="10"/>
      <c r="G230" s="10"/>
      <c r="H230" s="10"/>
      <c r="I230" s="10"/>
      <c r="J230" s="10"/>
      <c r="K230" s="10"/>
      <c r="L230" s="10"/>
      <c r="M230" s="10"/>
      <c r="N230" s="10"/>
      <c r="O230" s="10"/>
      <c r="P230" s="10"/>
      <c r="Q230" s="10"/>
      <c r="R230" s="10"/>
      <c r="S230" s="10"/>
      <c r="T230" s="10"/>
      <c r="U230" s="10"/>
    </row>
    <row r="231" ht="15.75" customHeight="1">
      <c r="A231" s="58">
        <v>0.0</v>
      </c>
      <c r="B231" s="188" t="s">
        <v>5701</v>
      </c>
      <c r="C231" s="58" t="s">
        <v>1380</v>
      </c>
      <c r="D231" s="72" t="s">
        <v>187</v>
      </c>
      <c r="E231" s="73"/>
      <c r="F231" s="10"/>
      <c r="G231" s="10"/>
      <c r="H231" s="10"/>
      <c r="I231" s="10"/>
      <c r="J231" s="10"/>
      <c r="K231" s="10"/>
      <c r="L231" s="10"/>
      <c r="M231" s="10"/>
      <c r="N231" s="10"/>
      <c r="O231" s="10"/>
      <c r="P231" s="10"/>
      <c r="Q231" s="10"/>
      <c r="R231" s="10"/>
      <c r="S231" s="10"/>
      <c r="T231" s="10"/>
      <c r="U231" s="10"/>
    </row>
    <row r="232" ht="15.75" customHeight="1">
      <c r="A232" s="58">
        <v>-1.0</v>
      </c>
      <c r="B232" s="188" t="s">
        <v>5675</v>
      </c>
      <c r="C232" s="58" t="s">
        <v>5773</v>
      </c>
      <c r="D232" s="72" t="s">
        <v>163</v>
      </c>
      <c r="E232" s="73"/>
      <c r="F232" s="10"/>
      <c r="G232" s="10"/>
      <c r="H232" s="10"/>
      <c r="I232" s="10"/>
      <c r="J232" s="10"/>
      <c r="K232" s="10"/>
      <c r="L232" s="10"/>
      <c r="M232" s="10"/>
      <c r="N232" s="10"/>
      <c r="O232" s="10"/>
      <c r="P232" s="10"/>
      <c r="Q232" s="10"/>
      <c r="R232" s="10"/>
      <c r="S232" s="10"/>
      <c r="T232" s="10"/>
      <c r="U232" s="10"/>
    </row>
    <row r="233" ht="15.75" customHeight="1">
      <c r="A233" s="58">
        <v>-2.0</v>
      </c>
      <c r="B233" s="188" t="s">
        <v>5674</v>
      </c>
      <c r="C233" s="58" t="s">
        <v>5774</v>
      </c>
      <c r="D233" s="72" t="s">
        <v>163</v>
      </c>
      <c r="E233" s="73"/>
      <c r="F233" s="189"/>
      <c r="G233" s="10"/>
      <c r="H233" s="10"/>
      <c r="I233" s="10"/>
      <c r="J233" s="10"/>
      <c r="K233" s="10"/>
      <c r="L233" s="10"/>
      <c r="M233" s="10"/>
      <c r="N233" s="10"/>
      <c r="O233" s="10"/>
      <c r="P233" s="10"/>
      <c r="Q233" s="10"/>
      <c r="R233" s="10"/>
      <c r="S233" s="10"/>
      <c r="T233" s="10"/>
      <c r="U233" s="10"/>
    </row>
    <row r="234" ht="15.75" customHeight="1">
      <c r="A234" s="58">
        <v>-1.0</v>
      </c>
      <c r="B234" s="188" t="s">
        <v>5698</v>
      </c>
      <c r="C234" s="58" t="s">
        <v>5775</v>
      </c>
      <c r="D234" s="72" t="s">
        <v>163</v>
      </c>
      <c r="E234" s="73"/>
      <c r="F234" s="10"/>
      <c r="G234" s="10"/>
      <c r="H234" s="10"/>
      <c r="I234" s="10"/>
      <c r="J234" s="10"/>
      <c r="K234" s="10"/>
      <c r="L234" s="10"/>
      <c r="M234" s="10"/>
      <c r="N234" s="10"/>
      <c r="O234" s="10"/>
      <c r="P234" s="10"/>
      <c r="Q234" s="10"/>
      <c r="R234" s="10"/>
      <c r="S234" s="10"/>
      <c r="T234" s="10"/>
      <c r="U234" s="10"/>
    </row>
    <row r="235" ht="15.75" customHeight="1">
      <c r="A235" s="58">
        <v>-2.0</v>
      </c>
      <c r="B235" s="188" t="s">
        <v>5698</v>
      </c>
      <c r="C235" s="58" t="s">
        <v>2394</v>
      </c>
      <c r="D235" s="72" t="s">
        <v>163</v>
      </c>
      <c r="E235" s="73"/>
      <c r="F235" s="189"/>
      <c r="G235" s="10"/>
      <c r="H235" s="10"/>
      <c r="I235" s="10"/>
      <c r="J235" s="10"/>
      <c r="K235" s="10"/>
      <c r="L235" s="10"/>
      <c r="M235" s="10"/>
      <c r="N235" s="10"/>
      <c r="O235" s="10"/>
      <c r="P235" s="10"/>
      <c r="Q235" s="10"/>
      <c r="R235" s="10"/>
      <c r="S235" s="10"/>
      <c r="T235" s="10"/>
      <c r="U235" s="10"/>
    </row>
    <row r="236" ht="15.75" hidden="1" customHeight="1">
      <c r="A236" s="58">
        <v>0.0</v>
      </c>
      <c r="B236" s="58"/>
      <c r="C236" s="58" t="s">
        <v>5776</v>
      </c>
      <c r="D236" s="72" t="s">
        <v>901</v>
      </c>
      <c r="E236" s="73"/>
      <c r="F236" s="10"/>
      <c r="G236" s="10"/>
      <c r="H236" s="10"/>
      <c r="I236" s="10"/>
      <c r="J236" s="10"/>
      <c r="K236" s="10"/>
      <c r="L236" s="10"/>
      <c r="M236" s="10"/>
      <c r="N236" s="10"/>
      <c r="O236" s="10"/>
      <c r="P236" s="10"/>
      <c r="Q236" s="10"/>
      <c r="R236" s="10"/>
      <c r="S236" s="10"/>
      <c r="T236" s="10"/>
      <c r="U236" s="10"/>
    </row>
    <row r="237" ht="15.75" customHeight="1">
      <c r="A237" s="58">
        <v>-1.0</v>
      </c>
      <c r="B237" s="188" t="s">
        <v>5696</v>
      </c>
      <c r="C237" s="58" t="s">
        <v>5777</v>
      </c>
      <c r="D237" s="72" t="s">
        <v>163</v>
      </c>
      <c r="E237" s="73"/>
      <c r="F237" s="10"/>
      <c r="G237" s="10"/>
      <c r="H237" s="10"/>
      <c r="I237" s="10"/>
      <c r="J237" s="10"/>
      <c r="K237" s="10"/>
      <c r="L237" s="10"/>
      <c r="M237" s="10"/>
      <c r="N237" s="10"/>
      <c r="O237" s="10"/>
      <c r="P237" s="10"/>
      <c r="Q237" s="10"/>
      <c r="R237" s="10"/>
      <c r="S237" s="10"/>
      <c r="T237" s="10"/>
      <c r="U237" s="10"/>
    </row>
    <row r="238" ht="15.75" hidden="1" customHeight="1">
      <c r="A238" s="58">
        <v>-1.0</v>
      </c>
      <c r="B238" s="58"/>
      <c r="C238" s="58" t="s">
        <v>5778</v>
      </c>
      <c r="D238" s="72" t="s">
        <v>901</v>
      </c>
      <c r="E238" s="73"/>
      <c r="F238" s="10"/>
      <c r="G238" s="10"/>
      <c r="H238" s="10"/>
      <c r="I238" s="10"/>
      <c r="J238" s="10"/>
      <c r="K238" s="10"/>
      <c r="L238" s="10"/>
      <c r="M238" s="10"/>
      <c r="N238" s="10"/>
      <c r="O238" s="10"/>
      <c r="P238" s="10"/>
      <c r="Q238" s="10"/>
      <c r="R238" s="10"/>
      <c r="S238" s="10"/>
      <c r="T238" s="10"/>
      <c r="U238" s="10"/>
    </row>
    <row r="239" ht="15.75" hidden="1" customHeight="1">
      <c r="A239" s="58">
        <v>0.0</v>
      </c>
      <c r="B239" s="58"/>
      <c r="C239" s="58" t="s">
        <v>5779</v>
      </c>
      <c r="D239" s="72" t="s">
        <v>901</v>
      </c>
      <c r="E239" s="73"/>
      <c r="F239" s="10"/>
      <c r="G239" s="10"/>
      <c r="H239" s="10"/>
      <c r="I239" s="10"/>
      <c r="J239" s="10"/>
      <c r="K239" s="10"/>
      <c r="L239" s="10"/>
      <c r="M239" s="10"/>
      <c r="N239" s="10"/>
      <c r="O239" s="10"/>
      <c r="P239" s="10"/>
      <c r="Q239" s="10"/>
      <c r="R239" s="10"/>
      <c r="S239" s="10"/>
      <c r="T239" s="10"/>
      <c r="U239" s="10"/>
    </row>
    <row r="240" ht="15.75" customHeight="1">
      <c r="A240" s="58">
        <v>-2.0</v>
      </c>
      <c r="B240" s="188" t="s">
        <v>5673</v>
      </c>
      <c r="C240" s="58" t="s">
        <v>5780</v>
      </c>
      <c r="D240" s="72" t="s">
        <v>70</v>
      </c>
      <c r="E240" s="10"/>
      <c r="F240" s="16"/>
      <c r="G240" s="10"/>
      <c r="H240" s="10"/>
      <c r="I240" s="15"/>
      <c r="J240" s="10"/>
      <c r="K240" s="10"/>
      <c r="L240" s="10"/>
      <c r="M240" s="16"/>
      <c r="N240" s="10"/>
      <c r="O240" s="10"/>
      <c r="P240" s="10"/>
      <c r="Q240" s="10"/>
      <c r="R240" s="10"/>
      <c r="S240" s="10"/>
      <c r="T240" s="10"/>
      <c r="U240" s="10"/>
    </row>
    <row r="241" ht="15.75" customHeight="1">
      <c r="A241" s="58">
        <v>-3.0</v>
      </c>
      <c r="B241" s="188" t="s">
        <v>5690</v>
      </c>
      <c r="C241" s="58" t="s">
        <v>5781</v>
      </c>
      <c r="D241" s="72" t="s">
        <v>24</v>
      </c>
      <c r="E241" s="73"/>
      <c r="F241" s="189"/>
      <c r="G241" s="10"/>
      <c r="H241" s="10"/>
      <c r="I241" s="10"/>
      <c r="J241" s="10"/>
      <c r="K241" s="10"/>
      <c r="L241" s="10"/>
      <c r="M241" s="10"/>
      <c r="N241" s="10"/>
      <c r="O241" s="10"/>
      <c r="P241" s="10"/>
      <c r="Q241" s="10"/>
      <c r="R241" s="10"/>
      <c r="S241" s="10"/>
      <c r="T241" s="10"/>
      <c r="U241" s="10"/>
    </row>
    <row r="242" ht="15.75" customHeight="1">
      <c r="A242" s="58">
        <v>-3.0</v>
      </c>
      <c r="B242" s="188" t="s">
        <v>5694</v>
      </c>
      <c r="C242" s="58" t="s">
        <v>2271</v>
      </c>
      <c r="D242" s="72" t="s">
        <v>459</v>
      </c>
      <c r="E242" s="73"/>
      <c r="F242" s="189"/>
      <c r="G242" s="10"/>
      <c r="H242" s="10"/>
      <c r="I242" s="10"/>
      <c r="J242" s="10"/>
      <c r="K242" s="10"/>
      <c r="L242" s="10"/>
      <c r="M242" s="10"/>
      <c r="N242" s="10"/>
      <c r="O242" s="10"/>
      <c r="P242" s="10"/>
      <c r="Q242" s="10"/>
      <c r="R242" s="10"/>
      <c r="S242" s="10"/>
      <c r="T242" s="10"/>
      <c r="U242" s="10"/>
    </row>
    <row r="243" ht="15.75" customHeight="1">
      <c r="A243" s="58">
        <v>0.0</v>
      </c>
      <c r="B243" s="188" t="s">
        <v>5704</v>
      </c>
      <c r="C243" s="58" t="s">
        <v>1400</v>
      </c>
      <c r="D243" s="72" t="s">
        <v>44</v>
      </c>
      <c r="E243" s="73"/>
      <c r="F243" s="10"/>
      <c r="G243" s="10"/>
      <c r="H243" s="10"/>
      <c r="I243" s="10"/>
      <c r="J243" s="10"/>
      <c r="K243" s="10"/>
      <c r="L243" s="10"/>
      <c r="M243" s="10"/>
      <c r="N243" s="10"/>
      <c r="O243" s="10"/>
      <c r="P243" s="10"/>
      <c r="Q243" s="10"/>
      <c r="R243" s="10"/>
      <c r="S243" s="10"/>
      <c r="T243" s="10"/>
      <c r="U243" s="10"/>
    </row>
    <row r="244" ht="15.75" customHeight="1">
      <c r="A244" s="58">
        <v>0.0</v>
      </c>
      <c r="B244" s="188" t="s">
        <v>5685</v>
      </c>
      <c r="C244" s="58" t="s">
        <v>1296</v>
      </c>
      <c r="D244" s="72" t="s">
        <v>187</v>
      </c>
      <c r="E244" s="73"/>
      <c r="F244" s="10"/>
      <c r="G244" s="10"/>
      <c r="H244" s="10"/>
      <c r="I244" s="10"/>
      <c r="J244" s="10"/>
      <c r="K244" s="10"/>
      <c r="L244" s="10"/>
      <c r="M244" s="10"/>
      <c r="N244" s="10"/>
      <c r="O244" s="10"/>
      <c r="P244" s="10"/>
      <c r="Q244" s="10"/>
      <c r="R244" s="10"/>
      <c r="S244" s="10"/>
      <c r="T244" s="10"/>
      <c r="U244" s="10"/>
    </row>
    <row r="245" ht="15.75" customHeight="1">
      <c r="A245" s="58">
        <v>1.0</v>
      </c>
      <c r="B245" s="188" t="s">
        <v>5673</v>
      </c>
      <c r="C245" s="58" t="s">
        <v>1554</v>
      </c>
      <c r="D245" s="72" t="s">
        <v>125</v>
      </c>
      <c r="E245" s="73"/>
      <c r="F245" s="10"/>
      <c r="G245" s="10"/>
      <c r="H245" s="10"/>
      <c r="I245" s="10"/>
      <c r="J245" s="10"/>
      <c r="K245" s="10"/>
      <c r="L245" s="10"/>
      <c r="M245" s="10"/>
      <c r="N245" s="10"/>
      <c r="O245" s="10"/>
      <c r="P245" s="10"/>
      <c r="Q245" s="10"/>
      <c r="R245" s="10"/>
      <c r="S245" s="10"/>
      <c r="T245" s="10"/>
      <c r="U245" s="10"/>
    </row>
    <row r="246" ht="15.75" hidden="1" customHeight="1">
      <c r="A246" s="58">
        <v>0.0</v>
      </c>
      <c r="B246" s="58"/>
      <c r="C246" s="58" t="s">
        <v>5782</v>
      </c>
      <c r="D246" s="72" t="s">
        <v>901</v>
      </c>
      <c r="E246" s="73"/>
      <c r="F246" s="10"/>
      <c r="G246" s="10"/>
      <c r="H246" s="10"/>
      <c r="I246" s="10"/>
      <c r="J246" s="10"/>
      <c r="K246" s="10"/>
      <c r="L246" s="10"/>
      <c r="M246" s="10"/>
      <c r="N246" s="10"/>
      <c r="O246" s="10"/>
      <c r="P246" s="10"/>
      <c r="Q246" s="10"/>
      <c r="R246" s="10"/>
      <c r="S246" s="10"/>
      <c r="T246" s="10"/>
      <c r="U246" s="10"/>
    </row>
    <row r="247" ht="15.75" customHeight="1">
      <c r="A247" s="58">
        <v>-1.0</v>
      </c>
      <c r="B247" s="188" t="s">
        <v>5735</v>
      </c>
      <c r="C247" s="58" t="s">
        <v>424</v>
      </c>
      <c r="D247" s="72" t="s">
        <v>155</v>
      </c>
      <c r="E247" s="73"/>
      <c r="F247" s="10"/>
      <c r="G247" s="10"/>
      <c r="H247" s="10"/>
      <c r="I247" s="10"/>
      <c r="J247" s="10"/>
      <c r="K247" s="10"/>
      <c r="L247" s="10"/>
      <c r="M247" s="10"/>
      <c r="N247" s="10"/>
      <c r="O247" s="10"/>
      <c r="P247" s="10"/>
      <c r="Q247" s="10"/>
      <c r="R247" s="10"/>
      <c r="S247" s="10"/>
      <c r="T247" s="10"/>
      <c r="U247" s="10"/>
    </row>
    <row r="248" ht="15.75" customHeight="1">
      <c r="A248" s="58">
        <v>1.0</v>
      </c>
      <c r="B248" s="188" t="s">
        <v>5698</v>
      </c>
      <c r="C248" s="58" t="s">
        <v>119</v>
      </c>
      <c r="D248" s="72" t="s">
        <v>125</v>
      </c>
      <c r="E248" s="73"/>
      <c r="F248" s="10"/>
      <c r="G248" s="10"/>
      <c r="H248" s="10"/>
      <c r="I248" s="10"/>
      <c r="J248" s="10"/>
      <c r="K248" s="10"/>
      <c r="L248" s="10"/>
      <c r="M248" s="10"/>
      <c r="N248" s="10"/>
      <c r="O248" s="10"/>
      <c r="P248" s="10"/>
      <c r="Q248" s="10"/>
      <c r="R248" s="10"/>
      <c r="S248" s="10"/>
      <c r="T248" s="10"/>
      <c r="U248" s="10"/>
    </row>
    <row r="249" ht="15.75" customHeight="1">
      <c r="A249" s="58">
        <v>-2.0</v>
      </c>
      <c r="B249" s="188" t="s">
        <v>5672</v>
      </c>
      <c r="C249" s="58" t="s">
        <v>261</v>
      </c>
      <c r="D249" s="72" t="s">
        <v>163</v>
      </c>
      <c r="E249" s="10"/>
      <c r="F249" s="189"/>
      <c r="G249" s="10"/>
      <c r="H249" s="10"/>
      <c r="I249" s="10"/>
      <c r="J249" s="10"/>
      <c r="K249" s="10"/>
      <c r="L249" s="10"/>
      <c r="M249" s="10"/>
      <c r="N249" s="10"/>
      <c r="O249" s="10"/>
      <c r="P249" s="10"/>
      <c r="Q249" s="10"/>
      <c r="R249" s="10"/>
      <c r="S249" s="10"/>
      <c r="T249" s="10"/>
      <c r="U249" s="10"/>
    </row>
    <row r="250" ht="15.75" customHeight="1">
      <c r="A250" s="58">
        <v>-2.0</v>
      </c>
      <c r="B250" s="188" t="s">
        <v>5677</v>
      </c>
      <c r="C250" s="58" t="s">
        <v>273</v>
      </c>
      <c r="D250" s="72" t="s">
        <v>163</v>
      </c>
      <c r="E250" s="73"/>
      <c r="F250" s="189"/>
      <c r="G250" s="10"/>
      <c r="H250" s="10"/>
      <c r="I250" s="10"/>
      <c r="J250" s="10"/>
      <c r="K250" s="10"/>
      <c r="L250" s="10"/>
      <c r="M250" s="10"/>
      <c r="N250" s="10"/>
      <c r="O250" s="10"/>
      <c r="P250" s="10"/>
      <c r="Q250" s="10"/>
      <c r="R250" s="10"/>
      <c r="S250" s="10"/>
      <c r="T250" s="10"/>
      <c r="U250" s="10"/>
    </row>
    <row r="251" ht="15.75" hidden="1" customHeight="1">
      <c r="A251" s="58">
        <v>0.0</v>
      </c>
      <c r="B251" s="58"/>
      <c r="C251" s="58" t="s">
        <v>5783</v>
      </c>
      <c r="D251" s="131" t="s">
        <v>901</v>
      </c>
      <c r="E251" s="73"/>
      <c r="F251" s="189"/>
      <c r="G251" s="10"/>
      <c r="H251" s="10"/>
      <c r="I251" s="10"/>
      <c r="J251" s="10"/>
      <c r="K251" s="10"/>
      <c r="L251" s="10"/>
      <c r="M251" s="10"/>
      <c r="N251" s="10"/>
      <c r="O251" s="10"/>
      <c r="P251" s="10"/>
      <c r="Q251" s="10"/>
      <c r="R251" s="10"/>
      <c r="S251" s="10"/>
      <c r="T251" s="10"/>
      <c r="U251" s="10"/>
    </row>
    <row r="252" ht="15.75" customHeight="1">
      <c r="A252" s="58">
        <v>-1.0</v>
      </c>
      <c r="B252" s="188" t="s">
        <v>5722</v>
      </c>
      <c r="C252" s="58" t="s">
        <v>597</v>
      </c>
      <c r="D252" s="72" t="s">
        <v>561</v>
      </c>
      <c r="E252" s="73"/>
      <c r="F252" s="10"/>
      <c r="G252" s="10"/>
      <c r="H252" s="10"/>
      <c r="I252" s="10"/>
      <c r="J252" s="10"/>
      <c r="K252" s="10"/>
      <c r="L252" s="10"/>
      <c r="M252" s="10"/>
      <c r="N252" s="10"/>
      <c r="O252" s="10"/>
      <c r="P252" s="10"/>
      <c r="Q252" s="10"/>
      <c r="R252" s="10"/>
      <c r="S252" s="10"/>
      <c r="T252" s="10"/>
      <c r="U252" s="10"/>
    </row>
    <row r="253" ht="15.75" customHeight="1">
      <c r="A253" s="58">
        <v>-1.0</v>
      </c>
      <c r="B253" s="188" t="s">
        <v>5689</v>
      </c>
      <c r="C253" s="58" t="s">
        <v>711</v>
      </c>
      <c r="D253" s="72" t="s">
        <v>163</v>
      </c>
      <c r="E253" s="73"/>
      <c r="F253" s="10"/>
      <c r="G253" s="10"/>
      <c r="H253" s="10"/>
      <c r="I253" s="10"/>
      <c r="J253" s="10"/>
      <c r="K253" s="10"/>
      <c r="L253" s="10"/>
      <c r="M253" s="10"/>
      <c r="N253" s="10"/>
      <c r="O253" s="10"/>
      <c r="P253" s="10"/>
      <c r="Q253" s="10"/>
      <c r="R253" s="10"/>
      <c r="S253" s="10"/>
      <c r="T253" s="10"/>
      <c r="U253" s="10"/>
    </row>
    <row r="254" ht="15.75" customHeight="1">
      <c r="A254" s="58">
        <v>0.0</v>
      </c>
      <c r="B254" s="188" t="s">
        <v>5687</v>
      </c>
      <c r="C254" s="58" t="s">
        <v>5784</v>
      </c>
      <c r="D254" s="72" t="s">
        <v>187</v>
      </c>
      <c r="E254" s="73"/>
      <c r="F254" s="10"/>
      <c r="G254" s="10"/>
      <c r="H254" s="10"/>
      <c r="I254" s="10"/>
      <c r="J254" s="10"/>
      <c r="K254" s="10"/>
      <c r="L254" s="10"/>
      <c r="M254" s="10"/>
      <c r="N254" s="10"/>
      <c r="O254" s="10"/>
      <c r="P254" s="10"/>
      <c r="Q254" s="10"/>
      <c r="R254" s="10"/>
      <c r="S254" s="10"/>
      <c r="T254" s="10"/>
      <c r="U254" s="10"/>
    </row>
    <row r="255" ht="15.75" customHeight="1">
      <c r="A255" s="58">
        <v>-1.0</v>
      </c>
      <c r="B255" s="188" t="s">
        <v>5701</v>
      </c>
      <c r="C255" s="58" t="s">
        <v>2003</v>
      </c>
      <c r="D255" s="72" t="s">
        <v>561</v>
      </c>
      <c r="E255" s="73"/>
      <c r="F255" s="10"/>
      <c r="G255" s="10"/>
      <c r="H255" s="10"/>
      <c r="I255" s="10"/>
      <c r="J255" s="10"/>
      <c r="K255" s="10"/>
      <c r="L255" s="10"/>
      <c r="M255" s="10"/>
      <c r="N255" s="10"/>
      <c r="O255" s="10"/>
      <c r="P255" s="10"/>
      <c r="Q255" s="10"/>
      <c r="R255" s="10"/>
      <c r="S255" s="10"/>
      <c r="T255" s="10"/>
      <c r="U255" s="10"/>
    </row>
    <row r="256" ht="15.75" customHeight="1">
      <c r="A256" s="58">
        <v>-1.0</v>
      </c>
      <c r="B256" s="188" t="s">
        <v>5713</v>
      </c>
      <c r="C256" s="58" t="s">
        <v>503</v>
      </c>
      <c r="D256" s="72" t="s">
        <v>187</v>
      </c>
      <c r="E256" s="73"/>
      <c r="F256" s="10"/>
      <c r="G256" s="10"/>
      <c r="H256" s="10"/>
      <c r="I256" s="10"/>
      <c r="J256" s="10"/>
      <c r="K256" s="10"/>
      <c r="L256" s="10"/>
      <c r="M256" s="10"/>
      <c r="N256" s="10"/>
      <c r="O256" s="10"/>
      <c r="P256" s="10"/>
      <c r="Q256" s="10"/>
      <c r="R256" s="10"/>
      <c r="S256" s="10"/>
      <c r="T256" s="10"/>
      <c r="U256" s="10"/>
    </row>
    <row r="257" ht="15.75" customHeight="1">
      <c r="A257" s="58">
        <v>0.0</v>
      </c>
      <c r="B257" s="188" t="s">
        <v>5703</v>
      </c>
      <c r="C257" s="58" t="s">
        <v>1153</v>
      </c>
      <c r="D257" s="72" t="s">
        <v>155</v>
      </c>
      <c r="E257" s="73"/>
      <c r="F257" s="10"/>
      <c r="G257" s="10"/>
      <c r="H257" s="10"/>
      <c r="I257" s="10"/>
      <c r="J257" s="10"/>
      <c r="K257" s="10"/>
      <c r="L257" s="10"/>
      <c r="M257" s="10"/>
      <c r="N257" s="10"/>
      <c r="O257" s="10"/>
      <c r="P257" s="10"/>
      <c r="Q257" s="10"/>
      <c r="R257" s="10"/>
      <c r="S257" s="10"/>
      <c r="T257" s="10"/>
      <c r="U257" s="10"/>
    </row>
    <row r="258" ht="15.75" customHeight="1">
      <c r="A258" s="58">
        <v>-1.0</v>
      </c>
      <c r="B258" s="188" t="s">
        <v>5702</v>
      </c>
      <c r="C258" s="58" t="s">
        <v>563</v>
      </c>
      <c r="D258" s="72" t="s">
        <v>561</v>
      </c>
      <c r="E258" s="73"/>
      <c r="F258" s="10"/>
      <c r="G258" s="10"/>
      <c r="H258" s="10"/>
      <c r="I258" s="10"/>
      <c r="J258" s="10"/>
      <c r="K258" s="10"/>
      <c r="L258" s="10"/>
      <c r="M258" s="10"/>
      <c r="N258" s="10"/>
      <c r="O258" s="10"/>
      <c r="P258" s="10"/>
      <c r="Q258" s="10"/>
      <c r="R258" s="10"/>
      <c r="S258" s="10"/>
      <c r="T258" s="10"/>
      <c r="U258" s="10"/>
    </row>
    <row r="259" ht="15.75" hidden="1" customHeight="1">
      <c r="A259" s="58">
        <v>0.0</v>
      </c>
      <c r="B259" s="58"/>
      <c r="C259" s="58" t="s">
        <v>1520</v>
      </c>
      <c r="D259" s="72" t="s">
        <v>901</v>
      </c>
      <c r="E259" s="73"/>
      <c r="F259" s="10"/>
      <c r="G259" s="10"/>
      <c r="H259" s="10"/>
      <c r="I259" s="10"/>
      <c r="J259" s="10"/>
      <c r="K259" s="10"/>
      <c r="L259" s="10"/>
      <c r="M259" s="10"/>
      <c r="N259" s="10"/>
      <c r="O259" s="10"/>
      <c r="P259" s="10"/>
      <c r="Q259" s="10"/>
      <c r="R259" s="10"/>
      <c r="S259" s="10"/>
      <c r="T259" s="10"/>
      <c r="U259" s="10"/>
    </row>
    <row r="260" ht="15.75" customHeight="1">
      <c r="A260" s="58">
        <v>0.0</v>
      </c>
      <c r="B260" s="188" t="s">
        <v>5674</v>
      </c>
      <c r="C260" s="58" t="s">
        <v>1112</v>
      </c>
      <c r="D260" s="72" t="s">
        <v>163</v>
      </c>
      <c r="E260" s="73"/>
      <c r="F260" s="10"/>
      <c r="G260" s="10"/>
      <c r="H260" s="10"/>
      <c r="I260" s="10"/>
      <c r="J260" s="10"/>
      <c r="K260" s="10"/>
      <c r="L260" s="10"/>
      <c r="M260" s="10"/>
      <c r="N260" s="10"/>
      <c r="O260" s="10"/>
      <c r="P260" s="10"/>
      <c r="Q260" s="10"/>
      <c r="R260" s="10"/>
      <c r="S260" s="10"/>
      <c r="T260" s="10"/>
      <c r="U260" s="10"/>
    </row>
    <row r="261" ht="15.75" customHeight="1">
      <c r="A261" s="58">
        <v>-2.0</v>
      </c>
      <c r="B261" s="188" t="s">
        <v>5698</v>
      </c>
      <c r="C261" s="58" t="s">
        <v>5785</v>
      </c>
      <c r="D261" s="58" t="s">
        <v>155</v>
      </c>
      <c r="E261" s="10"/>
      <c r="F261" s="16"/>
      <c r="G261" s="10"/>
      <c r="H261" s="10"/>
      <c r="I261" s="15"/>
      <c r="J261" s="10"/>
      <c r="K261" s="10"/>
      <c r="L261" s="10"/>
      <c r="M261" s="16"/>
      <c r="N261" s="10"/>
      <c r="O261" s="10"/>
      <c r="P261" s="10"/>
      <c r="Q261" s="10"/>
      <c r="R261" s="10"/>
      <c r="S261" s="10"/>
      <c r="T261" s="10"/>
      <c r="U261" s="10"/>
    </row>
    <row r="262" ht="15.75" hidden="1" customHeight="1">
      <c r="A262" s="58">
        <v>0.0</v>
      </c>
      <c r="B262" s="58"/>
      <c r="C262" s="58" t="s">
        <v>1476</v>
      </c>
      <c r="D262" s="72" t="s">
        <v>901</v>
      </c>
      <c r="E262" s="73"/>
      <c r="F262" s="10"/>
      <c r="G262" s="10"/>
      <c r="H262" s="10"/>
      <c r="I262" s="10"/>
      <c r="J262" s="10"/>
      <c r="K262" s="10"/>
      <c r="L262" s="10"/>
      <c r="M262" s="10"/>
      <c r="N262" s="10"/>
      <c r="O262" s="10"/>
      <c r="P262" s="10"/>
      <c r="Q262" s="10"/>
      <c r="R262" s="10"/>
      <c r="S262" s="10"/>
      <c r="T262" s="10"/>
      <c r="U262" s="10"/>
    </row>
    <row r="263" ht="15.75" hidden="1" customHeight="1">
      <c r="A263" s="58">
        <v>0.0</v>
      </c>
      <c r="B263" s="58"/>
      <c r="C263" s="58" t="s">
        <v>5786</v>
      </c>
      <c r="D263" s="72" t="s">
        <v>901</v>
      </c>
      <c r="E263" s="73"/>
      <c r="F263" s="10"/>
      <c r="G263" s="10"/>
      <c r="H263" s="10"/>
      <c r="I263" s="10"/>
      <c r="J263" s="10"/>
      <c r="K263" s="10"/>
      <c r="L263" s="10"/>
      <c r="M263" s="10"/>
      <c r="N263" s="10"/>
      <c r="O263" s="10"/>
      <c r="P263" s="10"/>
      <c r="Q263" s="10"/>
      <c r="R263" s="10"/>
      <c r="S263" s="10"/>
      <c r="T263" s="10"/>
      <c r="U263" s="10"/>
    </row>
    <row r="264" ht="15.75" hidden="1" customHeight="1">
      <c r="A264" s="58">
        <v>0.0</v>
      </c>
      <c r="B264" s="58"/>
      <c r="C264" s="58" t="s">
        <v>1505</v>
      </c>
      <c r="D264" s="72" t="s">
        <v>901</v>
      </c>
      <c r="E264" s="73"/>
      <c r="F264" s="10"/>
      <c r="G264" s="10"/>
      <c r="H264" s="10"/>
      <c r="I264" s="10"/>
      <c r="J264" s="10"/>
      <c r="K264" s="10"/>
      <c r="L264" s="10"/>
      <c r="M264" s="10"/>
      <c r="N264" s="10"/>
      <c r="O264" s="10"/>
      <c r="P264" s="10"/>
      <c r="Q264" s="10"/>
      <c r="R264" s="10"/>
      <c r="S264" s="10"/>
      <c r="T264" s="10"/>
      <c r="U264" s="10"/>
    </row>
    <row r="265" ht="15.75" customHeight="1">
      <c r="A265" s="58">
        <v>0.0</v>
      </c>
      <c r="B265" s="188" t="s">
        <v>5735</v>
      </c>
      <c r="C265" s="58" t="s">
        <v>5787</v>
      </c>
      <c r="D265" s="72" t="s">
        <v>187</v>
      </c>
      <c r="E265" s="73"/>
      <c r="F265" s="10"/>
      <c r="G265" s="10"/>
      <c r="H265" s="10"/>
      <c r="I265" s="10"/>
      <c r="J265" s="10"/>
      <c r="K265" s="10"/>
      <c r="L265" s="10"/>
      <c r="M265" s="10"/>
      <c r="N265" s="10"/>
      <c r="O265" s="10"/>
      <c r="P265" s="10"/>
      <c r="Q265" s="10"/>
      <c r="R265" s="10"/>
      <c r="S265" s="10"/>
      <c r="T265" s="10"/>
      <c r="U265" s="10"/>
    </row>
    <row r="266" ht="15.75" customHeight="1">
      <c r="A266" s="58">
        <v>0.0</v>
      </c>
      <c r="B266" s="188" t="s">
        <v>5679</v>
      </c>
      <c r="C266" s="58" t="s">
        <v>5788</v>
      </c>
      <c r="D266" s="72" t="s">
        <v>459</v>
      </c>
      <c r="E266" s="73"/>
      <c r="F266" s="10"/>
      <c r="G266" s="10"/>
      <c r="H266" s="10"/>
      <c r="I266" s="10"/>
      <c r="J266" s="10"/>
      <c r="K266" s="10"/>
      <c r="L266" s="10"/>
      <c r="M266" s="10"/>
      <c r="N266" s="10"/>
      <c r="O266" s="10"/>
      <c r="P266" s="10"/>
      <c r="Q266" s="10"/>
      <c r="R266" s="10"/>
      <c r="S266" s="10"/>
      <c r="T266" s="10"/>
      <c r="U266" s="10"/>
    </row>
    <row r="267" ht="15.75" hidden="1" customHeight="1">
      <c r="A267" s="58">
        <v>-1.0</v>
      </c>
      <c r="B267" s="58"/>
      <c r="C267" s="58" t="s">
        <v>5789</v>
      </c>
      <c r="D267" s="72" t="s">
        <v>901</v>
      </c>
      <c r="E267" s="73"/>
      <c r="F267" s="10"/>
      <c r="G267" s="10"/>
      <c r="H267" s="10"/>
      <c r="I267" s="10"/>
      <c r="J267" s="10"/>
      <c r="K267" s="10"/>
      <c r="L267" s="10"/>
      <c r="M267" s="10"/>
      <c r="N267" s="10"/>
      <c r="O267" s="10"/>
      <c r="P267" s="10"/>
      <c r="Q267" s="10"/>
      <c r="R267" s="10"/>
      <c r="S267" s="10"/>
      <c r="T267" s="10"/>
      <c r="U267" s="10"/>
    </row>
    <row r="268" ht="15.75" customHeight="1">
      <c r="A268" s="58">
        <v>0.0</v>
      </c>
      <c r="B268" s="188" t="s">
        <v>5673</v>
      </c>
      <c r="C268" s="58" t="s">
        <v>1345</v>
      </c>
      <c r="D268" s="72"/>
      <c r="E268" s="73"/>
      <c r="F268" s="10"/>
      <c r="G268" s="10"/>
      <c r="H268" s="10"/>
      <c r="I268" s="10"/>
      <c r="J268" s="10"/>
      <c r="K268" s="10"/>
      <c r="L268" s="10"/>
      <c r="M268" s="10"/>
      <c r="N268" s="10"/>
      <c r="O268" s="10"/>
      <c r="P268" s="10"/>
      <c r="Q268" s="10"/>
      <c r="R268" s="10"/>
      <c r="S268" s="10"/>
      <c r="T268" s="10"/>
      <c r="U268" s="10"/>
    </row>
    <row r="269" ht="15.75" customHeight="1">
      <c r="A269" s="58">
        <v>0.0</v>
      </c>
      <c r="B269" s="188" t="s">
        <v>5698</v>
      </c>
      <c r="C269" s="58" t="s">
        <v>5790</v>
      </c>
      <c r="D269" s="72" t="s">
        <v>187</v>
      </c>
      <c r="E269" s="73"/>
      <c r="F269" s="10"/>
      <c r="G269" s="10"/>
      <c r="H269" s="10"/>
      <c r="I269" s="10"/>
      <c r="J269" s="10"/>
      <c r="K269" s="10"/>
      <c r="L269" s="10"/>
      <c r="M269" s="10"/>
      <c r="N269" s="10"/>
      <c r="O269" s="10"/>
      <c r="P269" s="10"/>
      <c r="Q269" s="10"/>
      <c r="R269" s="10"/>
      <c r="S269" s="10"/>
      <c r="T269" s="10"/>
      <c r="U269" s="10"/>
    </row>
    <row r="270" ht="15.75" customHeight="1">
      <c r="A270" s="58">
        <v>0.0</v>
      </c>
      <c r="B270" s="188" t="s">
        <v>5673</v>
      </c>
      <c r="C270" s="58" t="s">
        <v>1361</v>
      </c>
      <c r="D270" s="72" t="s">
        <v>70</v>
      </c>
      <c r="E270" s="73"/>
      <c r="F270" s="10"/>
      <c r="G270" s="10"/>
      <c r="H270" s="10"/>
      <c r="I270" s="10"/>
      <c r="J270" s="10"/>
      <c r="K270" s="10"/>
      <c r="L270" s="10"/>
      <c r="M270" s="10"/>
      <c r="N270" s="10"/>
      <c r="O270" s="10"/>
      <c r="P270" s="10"/>
      <c r="Q270" s="10"/>
      <c r="R270" s="10"/>
      <c r="S270" s="10"/>
      <c r="T270" s="10"/>
      <c r="U270" s="10"/>
    </row>
    <row r="271" ht="15.75" customHeight="1">
      <c r="A271" s="58">
        <v>-1.0</v>
      </c>
      <c r="B271" s="188" t="s">
        <v>5672</v>
      </c>
      <c r="C271" s="58" t="s">
        <v>722</v>
      </c>
      <c r="D271" s="72" t="s">
        <v>163</v>
      </c>
      <c r="E271" s="73"/>
      <c r="F271" s="10"/>
      <c r="G271" s="10"/>
      <c r="H271" s="10"/>
      <c r="I271" s="10"/>
      <c r="J271" s="10"/>
      <c r="K271" s="10"/>
      <c r="L271" s="10"/>
      <c r="M271" s="10"/>
      <c r="N271" s="10"/>
      <c r="O271" s="10"/>
      <c r="P271" s="10"/>
      <c r="Q271" s="10"/>
      <c r="R271" s="10"/>
      <c r="S271" s="10"/>
      <c r="T271" s="10"/>
      <c r="U271" s="10"/>
    </row>
    <row r="272" ht="15.75" customHeight="1">
      <c r="A272" s="58">
        <v>-1.0</v>
      </c>
      <c r="B272" s="188" t="s">
        <v>5728</v>
      </c>
      <c r="C272" s="58" t="s">
        <v>806</v>
      </c>
      <c r="D272" s="72" t="s">
        <v>44</v>
      </c>
      <c r="E272" s="73"/>
      <c r="F272" s="10"/>
      <c r="G272" s="10"/>
      <c r="H272" s="10"/>
      <c r="I272" s="10"/>
      <c r="J272" s="10"/>
      <c r="K272" s="10"/>
      <c r="L272" s="10"/>
      <c r="M272" s="10"/>
      <c r="N272" s="10"/>
      <c r="O272" s="10"/>
      <c r="P272" s="10"/>
      <c r="Q272" s="10"/>
      <c r="R272" s="10"/>
      <c r="S272" s="10"/>
      <c r="T272" s="10"/>
      <c r="U272" s="10"/>
    </row>
    <row r="273" ht="15.75" customHeight="1">
      <c r="A273" s="58">
        <v>1.0</v>
      </c>
      <c r="B273" s="188" t="s">
        <v>5673</v>
      </c>
      <c r="C273" s="58" t="s">
        <v>2108</v>
      </c>
      <c r="D273" s="58" t="s">
        <v>125</v>
      </c>
      <c r="E273" s="10"/>
      <c r="F273" s="10"/>
      <c r="G273" s="10"/>
      <c r="H273" s="10"/>
      <c r="I273" s="10"/>
      <c r="J273" s="10"/>
      <c r="K273" s="10"/>
      <c r="L273" s="10"/>
      <c r="M273" s="10"/>
      <c r="N273" s="10"/>
      <c r="O273" s="10"/>
      <c r="P273" s="10"/>
      <c r="Q273" s="10"/>
      <c r="R273" s="10"/>
      <c r="S273" s="10"/>
      <c r="T273" s="10"/>
      <c r="U273" s="10"/>
    </row>
    <row r="274" ht="15.75" customHeight="1">
      <c r="A274" s="58">
        <v>0.0</v>
      </c>
      <c r="B274" s="188" t="s">
        <v>5714</v>
      </c>
      <c r="C274" s="58" t="s">
        <v>5791</v>
      </c>
      <c r="D274" s="72" t="s">
        <v>163</v>
      </c>
      <c r="E274" s="73"/>
      <c r="F274" s="10"/>
      <c r="G274" s="10"/>
      <c r="H274" s="10"/>
      <c r="I274" s="10"/>
      <c r="J274" s="10"/>
      <c r="K274" s="10"/>
      <c r="L274" s="10"/>
      <c r="M274" s="10"/>
      <c r="N274" s="10"/>
      <c r="O274" s="10"/>
      <c r="P274" s="10"/>
      <c r="Q274" s="10"/>
      <c r="R274" s="10"/>
      <c r="S274" s="10"/>
      <c r="T274" s="10"/>
      <c r="U274" s="10"/>
    </row>
    <row r="275" ht="15.75" customHeight="1">
      <c r="A275" s="58">
        <v>0.0</v>
      </c>
      <c r="B275" s="188" t="s">
        <v>5673</v>
      </c>
      <c r="C275" s="58" t="s">
        <v>5792</v>
      </c>
      <c r="D275" s="72" t="s">
        <v>187</v>
      </c>
      <c r="E275" s="73"/>
      <c r="F275" s="10"/>
      <c r="G275" s="10"/>
      <c r="H275" s="10"/>
      <c r="I275" s="10"/>
      <c r="J275" s="10"/>
      <c r="K275" s="10"/>
      <c r="L275" s="10"/>
      <c r="M275" s="10"/>
      <c r="N275" s="10"/>
      <c r="O275" s="10"/>
      <c r="P275" s="10"/>
      <c r="Q275" s="10"/>
      <c r="R275" s="10"/>
      <c r="S275" s="10"/>
      <c r="T275" s="10"/>
      <c r="U275" s="10"/>
    </row>
    <row r="276" ht="15.75" customHeight="1">
      <c r="A276" s="58">
        <v>-3.0</v>
      </c>
      <c r="B276" s="188" t="s">
        <v>5728</v>
      </c>
      <c r="C276" s="58" t="s">
        <v>64</v>
      </c>
      <c r="D276" s="72" t="s">
        <v>70</v>
      </c>
      <c r="E276" s="73"/>
      <c r="F276" s="189"/>
      <c r="G276" s="10"/>
      <c r="H276" s="10"/>
      <c r="I276" s="10"/>
      <c r="J276" s="10"/>
      <c r="K276" s="10"/>
      <c r="L276" s="10"/>
      <c r="M276" s="10"/>
      <c r="N276" s="10"/>
      <c r="O276" s="10"/>
      <c r="P276" s="10"/>
      <c r="Q276" s="10"/>
      <c r="R276" s="10"/>
      <c r="S276" s="10"/>
      <c r="T276" s="10"/>
      <c r="U276" s="10"/>
    </row>
    <row r="277" ht="15.75" customHeight="1">
      <c r="A277" s="58">
        <v>0.0</v>
      </c>
      <c r="B277" s="188" t="s">
        <v>5677</v>
      </c>
      <c r="C277" s="58" t="s">
        <v>1189</v>
      </c>
      <c r="D277" s="72" t="s">
        <v>155</v>
      </c>
      <c r="E277" s="73"/>
      <c r="F277" s="10"/>
      <c r="G277" s="10"/>
      <c r="H277" s="10"/>
      <c r="I277" s="10"/>
      <c r="J277" s="10"/>
      <c r="K277" s="10"/>
      <c r="L277" s="10"/>
      <c r="M277" s="10"/>
      <c r="N277" s="10"/>
      <c r="O277" s="10"/>
      <c r="P277" s="10"/>
      <c r="Q277" s="10"/>
      <c r="R277" s="10"/>
      <c r="S277" s="10"/>
      <c r="T277" s="10"/>
      <c r="U277" s="10"/>
    </row>
    <row r="278" ht="15.75" hidden="1" customHeight="1">
      <c r="A278" s="58">
        <v>-1.0</v>
      </c>
      <c r="B278" s="58"/>
      <c r="C278" s="58" t="s">
        <v>933</v>
      </c>
      <c r="D278" s="72" t="s">
        <v>901</v>
      </c>
      <c r="E278" s="73"/>
      <c r="F278" s="10"/>
      <c r="G278" s="10"/>
      <c r="H278" s="10"/>
      <c r="I278" s="10"/>
      <c r="J278" s="10"/>
      <c r="K278" s="10"/>
      <c r="L278" s="10"/>
      <c r="M278" s="10"/>
      <c r="N278" s="10"/>
      <c r="O278" s="10"/>
      <c r="P278" s="10"/>
      <c r="Q278" s="10"/>
      <c r="R278" s="10"/>
      <c r="S278" s="10"/>
      <c r="T278" s="10"/>
      <c r="U278" s="10"/>
    </row>
    <row r="279" ht="15.75" hidden="1" customHeight="1">
      <c r="A279" s="58">
        <v>0.0</v>
      </c>
      <c r="B279" s="58"/>
      <c r="C279" s="58" t="s">
        <v>1484</v>
      </c>
      <c r="D279" s="72" t="s">
        <v>901</v>
      </c>
      <c r="E279" s="73"/>
      <c r="F279" s="10"/>
      <c r="G279" s="10"/>
      <c r="H279" s="10"/>
      <c r="I279" s="10"/>
      <c r="J279" s="10"/>
      <c r="K279" s="10"/>
      <c r="L279" s="10"/>
      <c r="M279" s="10"/>
      <c r="N279" s="10"/>
      <c r="O279" s="10"/>
      <c r="P279" s="10"/>
      <c r="Q279" s="10"/>
      <c r="R279" s="10"/>
      <c r="S279" s="10"/>
      <c r="T279" s="10"/>
      <c r="U279" s="10"/>
    </row>
    <row r="280" ht="15.75" customHeight="1">
      <c r="A280" s="58">
        <v>-2.0</v>
      </c>
      <c r="B280" s="188" t="s">
        <v>5685</v>
      </c>
      <c r="C280" s="58" t="s">
        <v>2392</v>
      </c>
      <c r="D280" s="72" t="s">
        <v>155</v>
      </c>
      <c r="E280" s="73"/>
      <c r="F280" s="189"/>
      <c r="G280" s="10"/>
      <c r="H280" s="10"/>
      <c r="I280" s="10"/>
      <c r="J280" s="10"/>
      <c r="K280" s="10"/>
      <c r="L280" s="10"/>
      <c r="M280" s="10"/>
      <c r="N280" s="10"/>
      <c r="O280" s="10"/>
      <c r="P280" s="10"/>
      <c r="Q280" s="10"/>
      <c r="R280" s="10"/>
      <c r="S280" s="10"/>
      <c r="T280" s="10"/>
      <c r="U280" s="10"/>
    </row>
    <row r="281" ht="15.75" customHeight="1">
      <c r="A281" s="58">
        <v>0.0</v>
      </c>
      <c r="B281" s="188" t="s">
        <v>5673</v>
      </c>
      <c r="C281" s="58" t="s">
        <v>1364</v>
      </c>
      <c r="D281" s="72" t="s">
        <v>24</v>
      </c>
      <c r="E281" s="73"/>
      <c r="F281" s="10"/>
      <c r="G281" s="10"/>
      <c r="H281" s="10"/>
      <c r="I281" s="10"/>
      <c r="J281" s="10"/>
      <c r="K281" s="10"/>
      <c r="L281" s="10"/>
      <c r="M281" s="10"/>
      <c r="N281" s="10"/>
      <c r="O281" s="10"/>
      <c r="P281" s="10"/>
      <c r="Q281" s="10"/>
      <c r="R281" s="10"/>
      <c r="S281" s="10"/>
      <c r="T281" s="10"/>
      <c r="U281" s="10"/>
    </row>
    <row r="282" ht="15.75" hidden="1" customHeight="1">
      <c r="A282" s="58">
        <v>-1.0</v>
      </c>
      <c r="B282" s="58"/>
      <c r="C282" s="58" t="s">
        <v>5793</v>
      </c>
      <c r="D282" s="72" t="s">
        <v>901</v>
      </c>
      <c r="E282" s="73"/>
      <c r="F282" s="10"/>
      <c r="G282" s="10"/>
      <c r="H282" s="10"/>
      <c r="I282" s="10"/>
      <c r="J282" s="10"/>
      <c r="K282" s="10"/>
      <c r="L282" s="10"/>
      <c r="M282" s="10"/>
      <c r="N282" s="10"/>
      <c r="O282" s="10"/>
      <c r="P282" s="10"/>
      <c r="Q282" s="10"/>
      <c r="R282" s="10"/>
      <c r="S282" s="10"/>
      <c r="T282" s="10"/>
      <c r="U282" s="10"/>
    </row>
    <row r="283" ht="15.75" customHeight="1">
      <c r="A283" s="58">
        <v>0.0</v>
      </c>
      <c r="B283" s="188" t="s">
        <v>5710</v>
      </c>
      <c r="C283" s="58" t="s">
        <v>2065</v>
      </c>
      <c r="D283" s="72" t="s">
        <v>163</v>
      </c>
      <c r="E283" s="73"/>
      <c r="F283" s="10"/>
      <c r="G283" s="10"/>
      <c r="H283" s="10"/>
      <c r="I283" s="10"/>
      <c r="J283" s="10"/>
      <c r="K283" s="10"/>
      <c r="L283" s="10"/>
      <c r="M283" s="10"/>
      <c r="N283" s="10"/>
      <c r="O283" s="10"/>
      <c r="P283" s="10"/>
      <c r="Q283" s="10"/>
      <c r="R283" s="10"/>
      <c r="S283" s="10"/>
      <c r="T283" s="10"/>
      <c r="U283" s="10"/>
    </row>
    <row r="284" ht="15.75" customHeight="1">
      <c r="A284" s="58">
        <v>0.0</v>
      </c>
      <c r="B284" s="188" t="s">
        <v>5725</v>
      </c>
      <c r="C284" s="58" t="s">
        <v>1082</v>
      </c>
      <c r="D284" s="72" t="s">
        <v>187</v>
      </c>
      <c r="E284" s="73"/>
      <c r="F284" s="10"/>
      <c r="G284" s="10"/>
      <c r="H284" s="10"/>
      <c r="I284" s="10"/>
      <c r="J284" s="10"/>
      <c r="K284" s="10"/>
      <c r="L284" s="10"/>
      <c r="M284" s="10"/>
      <c r="N284" s="10"/>
      <c r="O284" s="10"/>
      <c r="P284" s="10"/>
      <c r="Q284" s="10"/>
      <c r="R284" s="10"/>
      <c r="S284" s="10"/>
      <c r="T284" s="10"/>
      <c r="U284" s="10"/>
    </row>
    <row r="285" ht="15.75" customHeight="1">
      <c r="A285" s="58">
        <v>-1.0</v>
      </c>
      <c r="B285" s="188" t="s">
        <v>5700</v>
      </c>
      <c r="C285" s="58" t="s">
        <v>5794</v>
      </c>
      <c r="D285" s="72" t="s">
        <v>561</v>
      </c>
      <c r="E285" s="73"/>
      <c r="F285" s="10"/>
      <c r="G285" s="10"/>
      <c r="H285" s="10"/>
      <c r="I285" s="10"/>
      <c r="J285" s="10"/>
      <c r="K285" s="10"/>
      <c r="L285" s="10"/>
      <c r="M285" s="10"/>
      <c r="N285" s="10"/>
      <c r="O285" s="10"/>
      <c r="P285" s="10"/>
      <c r="Q285" s="10"/>
      <c r="R285" s="10"/>
      <c r="S285" s="10"/>
      <c r="T285" s="10"/>
      <c r="U285" s="10"/>
    </row>
    <row r="286" ht="15.75" hidden="1" customHeight="1">
      <c r="A286" s="58">
        <v>0.0</v>
      </c>
      <c r="B286" s="58"/>
      <c r="C286" s="58" t="s">
        <v>5795</v>
      </c>
      <c r="D286" s="72" t="s">
        <v>901</v>
      </c>
      <c r="E286" s="73"/>
      <c r="F286" s="10"/>
      <c r="G286" s="10"/>
      <c r="H286" s="10"/>
      <c r="I286" s="10"/>
      <c r="J286" s="10"/>
      <c r="K286" s="10"/>
      <c r="L286" s="10"/>
      <c r="M286" s="10"/>
      <c r="N286" s="10"/>
      <c r="O286" s="10"/>
      <c r="P286" s="10"/>
      <c r="Q286" s="10"/>
      <c r="R286" s="10"/>
      <c r="S286" s="10"/>
      <c r="T286" s="10"/>
      <c r="U286" s="10"/>
    </row>
    <row r="287" ht="15.75" customHeight="1">
      <c r="A287" s="58">
        <v>-1.0</v>
      </c>
      <c r="B287" s="188" t="s">
        <v>5710</v>
      </c>
      <c r="C287" s="58" t="s">
        <v>5796</v>
      </c>
      <c r="D287" s="72" t="s">
        <v>561</v>
      </c>
      <c r="E287" s="73"/>
      <c r="F287" s="10"/>
      <c r="G287" s="10"/>
      <c r="H287" s="10"/>
      <c r="I287" s="10"/>
      <c r="J287" s="10"/>
      <c r="K287" s="10"/>
      <c r="L287" s="10"/>
      <c r="M287" s="10"/>
      <c r="N287" s="10"/>
      <c r="O287" s="10"/>
      <c r="P287" s="10"/>
      <c r="Q287" s="10"/>
      <c r="R287" s="10"/>
      <c r="S287" s="10"/>
      <c r="T287" s="10"/>
      <c r="U287" s="10"/>
    </row>
    <row r="288" ht="15.75" customHeight="1">
      <c r="A288" s="58">
        <v>0.0</v>
      </c>
      <c r="B288" s="188" t="s">
        <v>5681</v>
      </c>
      <c r="C288" s="58" t="s">
        <v>1177</v>
      </c>
      <c r="D288" s="72" t="s">
        <v>155</v>
      </c>
      <c r="E288" s="73"/>
      <c r="F288" s="10"/>
      <c r="G288" s="10"/>
      <c r="H288" s="10"/>
      <c r="I288" s="10"/>
      <c r="J288" s="10"/>
      <c r="K288" s="10"/>
      <c r="L288" s="10"/>
      <c r="M288" s="10"/>
      <c r="N288" s="10"/>
      <c r="O288" s="10"/>
      <c r="P288" s="10"/>
      <c r="Q288" s="10"/>
      <c r="R288" s="10"/>
      <c r="S288" s="10"/>
      <c r="T288" s="10"/>
      <c r="U288" s="10"/>
    </row>
    <row r="289" ht="15.75" customHeight="1">
      <c r="A289" s="58">
        <v>-1.0</v>
      </c>
      <c r="B289" s="188" t="s">
        <v>5740</v>
      </c>
      <c r="C289" s="58" t="s">
        <v>533</v>
      </c>
      <c r="D289" s="72" t="s">
        <v>70</v>
      </c>
      <c r="E289" s="73"/>
      <c r="F289" s="10"/>
      <c r="G289" s="10"/>
      <c r="H289" s="10"/>
      <c r="I289" s="10"/>
      <c r="J289" s="10"/>
      <c r="K289" s="10"/>
      <c r="L289" s="10"/>
      <c r="M289" s="10"/>
      <c r="N289" s="10"/>
      <c r="O289" s="10"/>
      <c r="P289" s="10"/>
      <c r="Q289" s="10"/>
      <c r="R289" s="10"/>
      <c r="S289" s="10"/>
      <c r="T289" s="10"/>
      <c r="U289" s="10"/>
    </row>
    <row r="290" ht="15.75" customHeight="1">
      <c r="A290" s="58">
        <v>-1.0</v>
      </c>
      <c r="B290" s="188" t="s">
        <v>5740</v>
      </c>
      <c r="C290" s="58" t="s">
        <v>5797</v>
      </c>
      <c r="D290" s="72" t="s">
        <v>163</v>
      </c>
      <c r="E290" s="73"/>
      <c r="F290" s="10"/>
      <c r="G290" s="10"/>
      <c r="H290" s="10"/>
      <c r="I290" s="10"/>
      <c r="J290" s="10"/>
      <c r="K290" s="10"/>
      <c r="L290" s="10"/>
      <c r="M290" s="10"/>
      <c r="N290" s="10"/>
      <c r="O290" s="10"/>
      <c r="P290" s="10"/>
      <c r="Q290" s="10"/>
      <c r="R290" s="10"/>
      <c r="S290" s="10"/>
      <c r="T290" s="10"/>
      <c r="U290" s="10"/>
    </row>
    <row r="291" ht="15.75" customHeight="1">
      <c r="A291" s="58">
        <v>0.0</v>
      </c>
      <c r="B291" s="188" t="s">
        <v>5739</v>
      </c>
      <c r="C291" s="58" t="s">
        <v>1195</v>
      </c>
      <c r="D291" s="72" t="s">
        <v>125</v>
      </c>
      <c r="E291" s="73"/>
      <c r="F291" s="10"/>
      <c r="G291" s="10"/>
      <c r="H291" s="10"/>
      <c r="I291" s="10"/>
      <c r="J291" s="10"/>
      <c r="K291" s="10"/>
      <c r="L291" s="10"/>
      <c r="M291" s="10"/>
      <c r="N291" s="10"/>
      <c r="O291" s="10"/>
      <c r="P291" s="10"/>
      <c r="Q291" s="10"/>
      <c r="R291" s="10"/>
      <c r="S291" s="10"/>
      <c r="T291" s="10"/>
      <c r="U291" s="10"/>
    </row>
    <row r="292" ht="15.75" customHeight="1">
      <c r="A292" s="58">
        <v>-2.0</v>
      </c>
      <c r="B292" s="188" t="s">
        <v>5689</v>
      </c>
      <c r="C292" s="58" t="s">
        <v>5798</v>
      </c>
      <c r="D292" s="58" t="s">
        <v>70</v>
      </c>
      <c r="E292" s="10"/>
      <c r="F292" s="16"/>
      <c r="G292" s="10"/>
      <c r="H292" s="10"/>
      <c r="I292" s="15"/>
      <c r="J292" s="10"/>
      <c r="K292" s="10"/>
      <c r="L292" s="10"/>
      <c r="M292" s="16"/>
      <c r="N292" s="10"/>
      <c r="O292" s="10"/>
      <c r="P292" s="10"/>
      <c r="Q292" s="10"/>
      <c r="R292" s="10"/>
      <c r="S292" s="10"/>
      <c r="T292" s="10"/>
      <c r="U292" s="10"/>
    </row>
    <row r="293" ht="15.75" hidden="1" customHeight="1">
      <c r="A293" s="58">
        <v>0.0</v>
      </c>
      <c r="B293" s="58"/>
      <c r="C293" s="58" t="s">
        <v>5799</v>
      </c>
      <c r="D293" s="72" t="s">
        <v>901</v>
      </c>
      <c r="E293" s="73"/>
      <c r="F293" s="10"/>
      <c r="G293" s="10"/>
      <c r="H293" s="10"/>
      <c r="I293" s="10"/>
      <c r="J293" s="10"/>
      <c r="K293" s="10"/>
      <c r="L293" s="10"/>
      <c r="M293" s="10"/>
      <c r="N293" s="10"/>
      <c r="O293" s="10"/>
      <c r="P293" s="10"/>
      <c r="Q293" s="10"/>
      <c r="R293" s="10"/>
      <c r="S293" s="10"/>
      <c r="T293" s="10"/>
      <c r="U293" s="10"/>
    </row>
    <row r="294" ht="15.75" customHeight="1">
      <c r="A294" s="58">
        <v>-1.0</v>
      </c>
      <c r="B294" s="188" t="s">
        <v>5674</v>
      </c>
      <c r="C294" s="58" t="s">
        <v>640</v>
      </c>
      <c r="D294" s="72" t="s">
        <v>561</v>
      </c>
      <c r="E294" s="73"/>
      <c r="F294" s="10"/>
      <c r="G294" s="10"/>
      <c r="H294" s="10"/>
      <c r="I294" s="10"/>
      <c r="J294" s="10"/>
      <c r="K294" s="10"/>
      <c r="L294" s="10"/>
      <c r="M294" s="10"/>
      <c r="N294" s="10"/>
      <c r="O294" s="10"/>
      <c r="P294" s="10"/>
      <c r="Q294" s="10"/>
      <c r="R294" s="10"/>
      <c r="S294" s="10"/>
      <c r="T294" s="10"/>
      <c r="U294" s="10"/>
    </row>
    <row r="295" ht="15.75" customHeight="1">
      <c r="A295" s="58">
        <v>0.0</v>
      </c>
      <c r="B295" s="188" t="s">
        <v>5681</v>
      </c>
      <c r="C295" s="58" t="s">
        <v>1266</v>
      </c>
      <c r="D295" s="72" t="s">
        <v>155</v>
      </c>
      <c r="E295" s="73"/>
      <c r="F295" s="10"/>
      <c r="G295" s="10"/>
      <c r="H295" s="10"/>
      <c r="I295" s="10"/>
      <c r="J295" s="10"/>
      <c r="K295" s="10"/>
      <c r="L295" s="10"/>
      <c r="M295" s="10"/>
      <c r="N295" s="10"/>
      <c r="O295" s="10"/>
      <c r="P295" s="10"/>
      <c r="Q295" s="10"/>
      <c r="R295" s="10"/>
      <c r="S295" s="10"/>
      <c r="T295" s="10"/>
      <c r="U295" s="10"/>
    </row>
    <row r="296" ht="15.75" customHeight="1">
      <c r="A296" s="58">
        <v>-2.0</v>
      </c>
      <c r="B296" s="188" t="s">
        <v>5701</v>
      </c>
      <c r="C296" s="58" t="s">
        <v>181</v>
      </c>
      <c r="D296" s="72" t="s">
        <v>187</v>
      </c>
      <c r="E296" s="73"/>
      <c r="F296" s="189"/>
      <c r="G296" s="10"/>
      <c r="H296" s="10"/>
      <c r="I296" s="10"/>
      <c r="J296" s="10"/>
      <c r="K296" s="10"/>
      <c r="L296" s="10"/>
      <c r="M296" s="10"/>
      <c r="N296" s="10"/>
      <c r="O296" s="10"/>
      <c r="P296" s="10"/>
      <c r="Q296" s="10"/>
      <c r="R296" s="10"/>
      <c r="S296" s="10"/>
      <c r="T296" s="10"/>
      <c r="U296" s="10"/>
    </row>
    <row r="297" ht="15.75" customHeight="1">
      <c r="A297" s="58">
        <v>0.0</v>
      </c>
      <c r="B297" s="188" t="s">
        <v>5710</v>
      </c>
      <c r="C297" s="58" t="s">
        <v>5800</v>
      </c>
      <c r="D297" s="72" t="s">
        <v>163</v>
      </c>
      <c r="E297" s="73"/>
      <c r="F297" s="10"/>
      <c r="G297" s="10"/>
      <c r="H297" s="10"/>
      <c r="I297" s="10"/>
      <c r="J297" s="10"/>
      <c r="K297" s="10"/>
      <c r="L297" s="10"/>
      <c r="M297" s="10"/>
      <c r="N297" s="10"/>
      <c r="O297" s="10"/>
      <c r="P297" s="10"/>
      <c r="Q297" s="10"/>
      <c r="R297" s="10"/>
      <c r="S297" s="10"/>
      <c r="T297" s="10"/>
      <c r="U297" s="10"/>
    </row>
    <row r="298" ht="15.75" customHeight="1">
      <c r="A298" s="58">
        <v>0.0</v>
      </c>
      <c r="B298" s="188" t="s">
        <v>5725</v>
      </c>
      <c r="C298" s="58" t="s">
        <v>1118</v>
      </c>
      <c r="D298" s="72" t="s">
        <v>24</v>
      </c>
      <c r="E298" s="73"/>
      <c r="F298" s="10"/>
      <c r="G298" s="10"/>
      <c r="H298" s="10"/>
      <c r="I298" s="10"/>
      <c r="J298" s="10"/>
      <c r="K298" s="10"/>
      <c r="L298" s="10"/>
      <c r="M298" s="10"/>
      <c r="N298" s="10"/>
      <c r="O298" s="10"/>
      <c r="P298" s="10"/>
      <c r="Q298" s="10"/>
      <c r="R298" s="10"/>
      <c r="S298" s="10"/>
      <c r="T298" s="10"/>
      <c r="U298" s="10"/>
    </row>
    <row r="299" ht="15.75" hidden="1" customHeight="1">
      <c r="A299" s="58">
        <v>0.0</v>
      </c>
      <c r="B299" s="58"/>
      <c r="C299" s="58" t="s">
        <v>5801</v>
      </c>
      <c r="D299" s="72" t="s">
        <v>901</v>
      </c>
      <c r="E299" s="190"/>
      <c r="F299" s="10"/>
      <c r="G299" s="10"/>
      <c r="H299" s="10"/>
      <c r="I299" s="10"/>
      <c r="J299" s="10"/>
      <c r="K299" s="10"/>
      <c r="L299" s="10"/>
      <c r="M299" s="10"/>
      <c r="N299" s="10"/>
      <c r="O299" s="10"/>
      <c r="P299" s="10"/>
      <c r="Q299" s="10"/>
      <c r="R299" s="10"/>
      <c r="S299" s="10"/>
      <c r="T299" s="10"/>
      <c r="U299" s="10"/>
    </row>
    <row r="300" ht="15.75" customHeight="1">
      <c r="A300" s="58">
        <v>-1.0</v>
      </c>
      <c r="B300" s="188" t="s">
        <v>5716</v>
      </c>
      <c r="C300" s="58" t="s">
        <v>5802</v>
      </c>
      <c r="D300" s="72" t="s">
        <v>163</v>
      </c>
      <c r="E300" s="73"/>
      <c r="F300" s="10"/>
      <c r="G300" s="10"/>
      <c r="H300" s="10"/>
      <c r="I300" s="10"/>
      <c r="J300" s="10"/>
      <c r="K300" s="10"/>
      <c r="L300" s="10"/>
      <c r="M300" s="10"/>
      <c r="N300" s="10"/>
      <c r="O300" s="10"/>
      <c r="P300" s="10"/>
      <c r="Q300" s="10"/>
      <c r="R300" s="10"/>
      <c r="S300" s="10"/>
      <c r="T300" s="10"/>
      <c r="U300" s="10"/>
    </row>
    <row r="301" ht="15.75" customHeight="1">
      <c r="A301" s="58">
        <v>-2.0</v>
      </c>
      <c r="B301" s="188" t="s">
        <v>5685</v>
      </c>
      <c r="C301" s="58" t="s">
        <v>5803</v>
      </c>
      <c r="D301" s="72" t="s">
        <v>179</v>
      </c>
      <c r="E301" s="73"/>
      <c r="F301" s="189"/>
      <c r="G301" s="10"/>
      <c r="H301" s="10"/>
      <c r="I301" s="10"/>
      <c r="J301" s="10"/>
      <c r="K301" s="10"/>
      <c r="L301" s="10"/>
      <c r="M301" s="10"/>
      <c r="N301" s="10"/>
      <c r="O301" s="10"/>
      <c r="P301" s="10"/>
      <c r="Q301" s="10"/>
      <c r="R301" s="10"/>
      <c r="S301" s="10"/>
      <c r="T301" s="10"/>
      <c r="U301" s="10"/>
    </row>
    <row r="302" ht="15.75" customHeight="1">
      <c r="A302" s="58">
        <v>0.0</v>
      </c>
      <c r="B302" s="188" t="s">
        <v>5735</v>
      </c>
      <c r="C302" s="58" t="s">
        <v>1076</v>
      </c>
      <c r="D302" s="72" t="s">
        <v>187</v>
      </c>
      <c r="E302" s="73"/>
      <c r="F302" s="10"/>
      <c r="G302" s="10"/>
      <c r="H302" s="10"/>
      <c r="I302" s="10"/>
      <c r="J302" s="10"/>
      <c r="K302" s="10"/>
      <c r="L302" s="10"/>
      <c r="M302" s="10"/>
      <c r="N302" s="10"/>
      <c r="O302" s="10"/>
      <c r="P302" s="10"/>
      <c r="Q302" s="10"/>
      <c r="R302" s="10"/>
      <c r="S302" s="10"/>
      <c r="T302" s="10"/>
      <c r="U302" s="10"/>
    </row>
    <row r="303" ht="15.75" customHeight="1">
      <c r="A303" s="58">
        <v>-1.0</v>
      </c>
      <c r="B303" s="188" t="s">
        <v>5694</v>
      </c>
      <c r="C303" s="58" t="s">
        <v>812</v>
      </c>
      <c r="D303" s="72" t="s">
        <v>155</v>
      </c>
      <c r="E303" s="73"/>
      <c r="F303" s="10"/>
      <c r="G303" s="10"/>
      <c r="H303" s="10"/>
      <c r="I303" s="10"/>
      <c r="J303" s="10"/>
      <c r="K303" s="10"/>
      <c r="L303" s="10"/>
      <c r="M303" s="10"/>
      <c r="N303" s="10"/>
      <c r="O303" s="10"/>
      <c r="P303" s="10"/>
      <c r="Q303" s="10"/>
      <c r="R303" s="10"/>
      <c r="S303" s="10"/>
      <c r="T303" s="10"/>
      <c r="U303" s="10"/>
    </row>
    <row r="304" ht="15.75" customHeight="1">
      <c r="A304" s="58">
        <v>-2.0</v>
      </c>
      <c r="B304" s="188" t="s">
        <v>5714</v>
      </c>
      <c r="C304" s="58" t="s">
        <v>165</v>
      </c>
      <c r="D304" s="72" t="s">
        <v>171</v>
      </c>
      <c r="E304" s="73"/>
      <c r="F304" s="189"/>
      <c r="G304" s="10"/>
      <c r="H304" s="10"/>
      <c r="I304" s="10"/>
      <c r="J304" s="10"/>
      <c r="K304" s="10"/>
      <c r="L304" s="10"/>
      <c r="M304" s="10"/>
      <c r="N304" s="10"/>
      <c r="O304" s="10"/>
      <c r="P304" s="10"/>
      <c r="Q304" s="10"/>
      <c r="R304" s="10"/>
      <c r="S304" s="10"/>
      <c r="T304" s="10"/>
      <c r="U304" s="10"/>
    </row>
    <row r="305" ht="15.75" customHeight="1">
      <c r="A305" s="58">
        <v>-1.0</v>
      </c>
      <c r="B305" s="188" t="s">
        <v>5689</v>
      </c>
      <c r="C305" s="58" t="s">
        <v>5804</v>
      </c>
      <c r="D305" s="72" t="s">
        <v>459</v>
      </c>
      <c r="E305" s="73"/>
      <c r="F305" s="10"/>
      <c r="G305" s="10"/>
      <c r="H305" s="10"/>
      <c r="I305" s="10"/>
      <c r="J305" s="10"/>
      <c r="K305" s="10"/>
      <c r="L305" s="10"/>
      <c r="M305" s="10"/>
      <c r="N305" s="10"/>
      <c r="O305" s="10"/>
      <c r="P305" s="10"/>
      <c r="Q305" s="10"/>
      <c r="R305" s="10"/>
      <c r="S305" s="10"/>
      <c r="T305" s="10"/>
      <c r="U305" s="10"/>
    </row>
    <row r="306" ht="15.75" customHeight="1">
      <c r="A306" s="58">
        <v>0.0</v>
      </c>
      <c r="B306" s="188" t="s">
        <v>5679</v>
      </c>
      <c r="C306" s="58" t="s">
        <v>5805</v>
      </c>
      <c r="D306" s="72" t="s">
        <v>459</v>
      </c>
      <c r="E306" s="73"/>
      <c r="F306" s="10"/>
      <c r="G306" s="10"/>
      <c r="H306" s="10"/>
      <c r="I306" s="10"/>
      <c r="J306" s="10"/>
      <c r="K306" s="10"/>
      <c r="L306" s="10"/>
      <c r="M306" s="10"/>
      <c r="N306" s="10"/>
      <c r="O306" s="10"/>
      <c r="P306" s="10"/>
      <c r="Q306" s="10"/>
      <c r="R306" s="10"/>
      <c r="S306" s="10"/>
      <c r="T306" s="10"/>
      <c r="U306" s="10"/>
    </row>
    <row r="307" ht="15.75" hidden="1" customHeight="1">
      <c r="A307" s="58">
        <v>-1.0</v>
      </c>
      <c r="B307" s="58"/>
      <c r="C307" s="58" t="s">
        <v>5806</v>
      </c>
      <c r="D307" s="72" t="s">
        <v>901</v>
      </c>
      <c r="E307" s="73"/>
      <c r="F307" s="10"/>
      <c r="G307" s="10"/>
      <c r="H307" s="10"/>
      <c r="I307" s="10"/>
      <c r="J307" s="10"/>
      <c r="K307" s="10"/>
      <c r="L307" s="10"/>
      <c r="M307" s="10"/>
      <c r="N307" s="10"/>
      <c r="O307" s="10"/>
      <c r="P307" s="10"/>
      <c r="Q307" s="10"/>
      <c r="R307" s="10"/>
      <c r="S307" s="10"/>
      <c r="T307" s="10"/>
      <c r="U307" s="10"/>
    </row>
    <row r="308" ht="15.75" customHeight="1">
      <c r="A308" s="58">
        <v>0.0</v>
      </c>
      <c r="B308" s="188" t="s">
        <v>5696</v>
      </c>
      <c r="C308" s="58" t="s">
        <v>2428</v>
      </c>
      <c r="D308" s="72" t="s">
        <v>155</v>
      </c>
      <c r="E308" s="73"/>
      <c r="F308" s="10"/>
      <c r="G308" s="10"/>
      <c r="H308" s="10"/>
      <c r="I308" s="10"/>
      <c r="J308" s="10"/>
      <c r="K308" s="10"/>
      <c r="L308" s="10"/>
      <c r="M308" s="10"/>
      <c r="N308" s="10"/>
      <c r="O308" s="10"/>
      <c r="P308" s="10"/>
      <c r="Q308" s="10"/>
      <c r="R308" s="10"/>
      <c r="S308" s="10"/>
      <c r="T308" s="10"/>
      <c r="U308" s="10"/>
    </row>
    <row r="309" ht="15.75" customHeight="1">
      <c r="A309" s="58">
        <v>-1.0</v>
      </c>
      <c r="B309" s="188" t="s">
        <v>5714</v>
      </c>
      <c r="C309" s="58" t="s">
        <v>497</v>
      </c>
      <c r="D309" s="72" t="s">
        <v>24</v>
      </c>
      <c r="E309" s="73"/>
      <c r="F309" s="10"/>
      <c r="G309" s="10"/>
      <c r="H309" s="10"/>
      <c r="I309" s="10"/>
      <c r="J309" s="10"/>
      <c r="K309" s="10"/>
      <c r="L309" s="10"/>
      <c r="M309" s="10"/>
      <c r="N309" s="10"/>
      <c r="O309" s="10"/>
      <c r="P309" s="10"/>
      <c r="Q309" s="10"/>
      <c r="R309" s="10"/>
      <c r="S309" s="10"/>
      <c r="T309" s="10"/>
      <c r="U309" s="10"/>
    </row>
    <row r="310" ht="15.75" customHeight="1">
      <c r="A310" s="58">
        <v>-1.0</v>
      </c>
      <c r="B310" s="188" t="s">
        <v>5695</v>
      </c>
      <c r="C310" s="58" t="s">
        <v>676</v>
      </c>
      <c r="D310" s="72" t="s">
        <v>163</v>
      </c>
      <c r="E310" s="73"/>
      <c r="F310" s="10"/>
      <c r="G310" s="10"/>
      <c r="H310" s="10"/>
      <c r="I310" s="10"/>
      <c r="J310" s="10"/>
      <c r="K310" s="10"/>
      <c r="L310" s="10"/>
      <c r="M310" s="10"/>
      <c r="N310" s="10"/>
      <c r="O310" s="10"/>
      <c r="P310" s="10"/>
      <c r="Q310" s="10"/>
      <c r="R310" s="10"/>
      <c r="S310" s="10"/>
      <c r="T310" s="10"/>
      <c r="U310" s="10"/>
    </row>
    <row r="311" ht="15.75" hidden="1" customHeight="1">
      <c r="A311" s="58">
        <v>0.0</v>
      </c>
      <c r="B311" s="58"/>
      <c r="C311" s="58" t="s">
        <v>1521</v>
      </c>
      <c r="D311" s="72" t="s">
        <v>901</v>
      </c>
      <c r="E311" s="73"/>
      <c r="F311" s="10"/>
      <c r="G311" s="10"/>
      <c r="H311" s="10"/>
      <c r="I311" s="10"/>
      <c r="J311" s="10"/>
      <c r="K311" s="10"/>
      <c r="L311" s="10"/>
      <c r="M311" s="10"/>
      <c r="N311" s="10"/>
      <c r="O311" s="10"/>
      <c r="P311" s="10"/>
      <c r="Q311" s="10"/>
      <c r="R311" s="10"/>
      <c r="S311" s="10"/>
      <c r="T311" s="10"/>
      <c r="U311" s="10"/>
    </row>
    <row r="312" ht="15.75" customHeight="1">
      <c r="A312" s="58">
        <v>0.0</v>
      </c>
      <c r="B312" s="188" t="s">
        <v>5701</v>
      </c>
      <c r="C312" s="58" t="s">
        <v>5807</v>
      </c>
      <c r="D312" s="72" t="s">
        <v>163</v>
      </c>
      <c r="E312" s="73"/>
      <c r="F312" s="10"/>
      <c r="G312" s="10"/>
      <c r="H312" s="10"/>
      <c r="I312" s="10"/>
      <c r="J312" s="10"/>
      <c r="K312" s="10"/>
      <c r="L312" s="10"/>
      <c r="M312" s="10"/>
      <c r="N312" s="10"/>
      <c r="O312" s="10"/>
      <c r="P312" s="10"/>
      <c r="Q312" s="10"/>
      <c r="R312" s="10"/>
      <c r="S312" s="10"/>
      <c r="T312" s="10"/>
      <c r="U312" s="10"/>
    </row>
    <row r="313" ht="15.75" customHeight="1">
      <c r="A313" s="58">
        <v>1.0</v>
      </c>
      <c r="B313" s="188" t="s">
        <v>5672</v>
      </c>
      <c r="C313" s="58" t="s">
        <v>5808</v>
      </c>
      <c r="D313" s="72" t="s">
        <v>171</v>
      </c>
      <c r="E313" s="73"/>
      <c r="F313" s="10"/>
      <c r="G313" s="10"/>
      <c r="H313" s="10"/>
      <c r="I313" s="10"/>
      <c r="J313" s="10"/>
      <c r="K313" s="10"/>
      <c r="L313" s="10"/>
      <c r="M313" s="10"/>
      <c r="N313" s="10"/>
      <c r="O313" s="10"/>
      <c r="P313" s="10"/>
      <c r="Q313" s="10"/>
      <c r="R313" s="10"/>
      <c r="S313" s="10"/>
      <c r="T313" s="10"/>
      <c r="U313" s="10"/>
    </row>
    <row r="314" ht="15.75" hidden="1" customHeight="1">
      <c r="A314" s="58">
        <v>-1.0</v>
      </c>
      <c r="B314" s="58"/>
      <c r="C314" s="58" t="s">
        <v>5809</v>
      </c>
      <c r="D314" s="72" t="s">
        <v>901</v>
      </c>
      <c r="E314" s="73"/>
      <c r="F314" s="10"/>
      <c r="G314" s="10"/>
      <c r="H314" s="10"/>
      <c r="I314" s="10"/>
      <c r="J314" s="10"/>
      <c r="K314" s="10"/>
      <c r="L314" s="10"/>
      <c r="M314" s="10"/>
      <c r="N314" s="10"/>
      <c r="O314" s="10"/>
      <c r="P314" s="10"/>
      <c r="Q314" s="10"/>
      <c r="R314" s="10"/>
      <c r="S314" s="10"/>
      <c r="T314" s="10"/>
      <c r="U314" s="10"/>
    </row>
    <row r="315" ht="15.75" hidden="1" customHeight="1">
      <c r="A315" s="58">
        <v>0.0</v>
      </c>
      <c r="B315" s="58"/>
      <c r="C315" s="58" t="s">
        <v>1507</v>
      </c>
      <c r="D315" s="72" t="s">
        <v>901</v>
      </c>
      <c r="E315" s="73"/>
      <c r="F315" s="10"/>
      <c r="G315" s="10"/>
      <c r="H315" s="10"/>
      <c r="I315" s="10"/>
      <c r="J315" s="10"/>
      <c r="K315" s="10"/>
      <c r="L315" s="10"/>
      <c r="M315" s="10"/>
      <c r="N315" s="10"/>
      <c r="O315" s="10"/>
      <c r="P315" s="10"/>
      <c r="Q315" s="10"/>
      <c r="R315" s="10"/>
      <c r="S315" s="10"/>
      <c r="T315" s="10"/>
      <c r="U315" s="10"/>
    </row>
    <row r="316" ht="15.75" hidden="1" customHeight="1">
      <c r="A316" s="58">
        <v>-1.0</v>
      </c>
      <c r="B316" s="58"/>
      <c r="C316" s="58" t="s">
        <v>5810</v>
      </c>
      <c r="D316" s="72" t="s">
        <v>901</v>
      </c>
      <c r="E316" s="73"/>
      <c r="F316" s="10"/>
      <c r="G316" s="10"/>
      <c r="H316" s="10"/>
      <c r="I316" s="10"/>
      <c r="J316" s="10"/>
      <c r="K316" s="10"/>
      <c r="L316" s="10"/>
      <c r="M316" s="10"/>
      <c r="N316" s="10"/>
      <c r="O316" s="10"/>
      <c r="P316" s="10"/>
      <c r="Q316" s="10"/>
      <c r="R316" s="10"/>
      <c r="S316" s="10"/>
      <c r="T316" s="10"/>
      <c r="U316" s="10"/>
    </row>
    <row r="317" ht="15.75" customHeight="1">
      <c r="A317" s="58">
        <v>-1.0</v>
      </c>
      <c r="B317" s="188" t="s">
        <v>5735</v>
      </c>
      <c r="C317" s="58" t="s">
        <v>491</v>
      </c>
      <c r="D317" s="72" t="s">
        <v>24</v>
      </c>
      <c r="E317" s="73"/>
      <c r="F317" s="10"/>
      <c r="G317" s="10"/>
      <c r="H317" s="10"/>
      <c r="I317" s="10"/>
      <c r="J317" s="10"/>
      <c r="K317" s="10"/>
      <c r="L317" s="10"/>
      <c r="M317" s="10"/>
      <c r="N317" s="10"/>
      <c r="O317" s="10"/>
      <c r="P317" s="10"/>
      <c r="Q317" s="10"/>
      <c r="R317" s="10"/>
      <c r="S317" s="10"/>
      <c r="T317" s="10"/>
      <c r="U317" s="10"/>
    </row>
    <row r="318" ht="15.75" customHeight="1">
      <c r="A318" s="58">
        <v>0.0</v>
      </c>
      <c r="B318" s="188" t="s">
        <v>5679</v>
      </c>
      <c r="C318" s="58" t="s">
        <v>5811</v>
      </c>
      <c r="D318" s="72" t="s">
        <v>459</v>
      </c>
      <c r="E318" s="73"/>
      <c r="F318" s="10"/>
      <c r="G318" s="10"/>
      <c r="H318" s="10"/>
      <c r="I318" s="10"/>
      <c r="J318" s="10"/>
      <c r="K318" s="10"/>
      <c r="L318" s="10"/>
      <c r="M318" s="10"/>
      <c r="N318" s="10"/>
      <c r="O318" s="10"/>
      <c r="P318" s="10"/>
      <c r="Q318" s="10"/>
      <c r="R318" s="10"/>
      <c r="S318" s="10"/>
      <c r="T318" s="10"/>
      <c r="U318" s="10"/>
    </row>
    <row r="319" ht="15.75" hidden="1" customHeight="1">
      <c r="A319" s="58">
        <v>-1.0</v>
      </c>
      <c r="B319" s="58"/>
      <c r="C319" s="58" t="s">
        <v>5812</v>
      </c>
      <c r="D319" s="72" t="s">
        <v>901</v>
      </c>
      <c r="E319" s="73"/>
      <c r="F319" s="10"/>
      <c r="G319" s="10"/>
      <c r="H319" s="10"/>
      <c r="I319" s="10"/>
      <c r="J319" s="10"/>
      <c r="K319" s="10"/>
      <c r="L319" s="10"/>
      <c r="M319" s="10"/>
      <c r="N319" s="10"/>
      <c r="O319" s="10"/>
      <c r="P319" s="10"/>
      <c r="Q319" s="10"/>
      <c r="R319" s="10"/>
      <c r="S319" s="10"/>
      <c r="T319" s="10"/>
      <c r="U319" s="10"/>
    </row>
    <row r="320" ht="15.75" hidden="1" customHeight="1">
      <c r="A320" s="58">
        <v>0.0</v>
      </c>
      <c r="B320" s="58"/>
      <c r="C320" s="58" t="s">
        <v>1508</v>
      </c>
      <c r="D320" s="72" t="s">
        <v>901</v>
      </c>
      <c r="E320" s="73"/>
      <c r="F320" s="10"/>
      <c r="G320" s="10"/>
      <c r="H320" s="10"/>
      <c r="I320" s="10"/>
      <c r="J320" s="10"/>
      <c r="K320" s="10"/>
      <c r="L320" s="10"/>
      <c r="M320" s="10"/>
      <c r="N320" s="10"/>
      <c r="O320" s="10"/>
      <c r="P320" s="10"/>
      <c r="Q320" s="10"/>
      <c r="R320" s="10"/>
      <c r="S320" s="10"/>
      <c r="T320" s="10"/>
      <c r="U320" s="10"/>
    </row>
    <row r="321" ht="15.75" customHeight="1">
      <c r="A321" s="58">
        <v>-2.0</v>
      </c>
      <c r="B321" s="188" t="s">
        <v>5677</v>
      </c>
      <c r="C321" s="58" t="s">
        <v>279</v>
      </c>
      <c r="D321" s="72" t="s">
        <v>163</v>
      </c>
      <c r="E321" s="73"/>
      <c r="F321" s="189"/>
      <c r="G321" s="10"/>
      <c r="H321" s="10"/>
      <c r="I321" s="10"/>
      <c r="J321" s="10"/>
      <c r="K321" s="10"/>
      <c r="L321" s="10"/>
      <c r="M321" s="10"/>
      <c r="N321" s="10"/>
      <c r="O321" s="10"/>
      <c r="P321" s="10"/>
      <c r="Q321" s="10"/>
      <c r="R321" s="10"/>
      <c r="S321" s="10"/>
      <c r="T321" s="10"/>
      <c r="U321" s="10"/>
    </row>
    <row r="322" ht="15.75" customHeight="1">
      <c r="A322" s="58">
        <v>-2.0</v>
      </c>
      <c r="B322" s="188" t="s">
        <v>5700</v>
      </c>
      <c r="C322" s="58" t="s">
        <v>199</v>
      </c>
      <c r="D322" s="72" t="s">
        <v>163</v>
      </c>
      <c r="E322" s="73"/>
      <c r="F322" s="189"/>
      <c r="G322" s="10"/>
      <c r="H322" s="10"/>
      <c r="I322" s="10"/>
      <c r="J322" s="10"/>
      <c r="K322" s="10"/>
      <c r="L322" s="10"/>
      <c r="M322" s="10"/>
      <c r="N322" s="10"/>
      <c r="O322" s="10"/>
      <c r="P322" s="10"/>
      <c r="Q322" s="10"/>
      <c r="R322" s="10"/>
      <c r="S322" s="10"/>
      <c r="T322" s="10"/>
      <c r="U322" s="10"/>
    </row>
    <row r="323" ht="15.75" hidden="1" customHeight="1">
      <c r="A323" s="58">
        <v>-1.0</v>
      </c>
      <c r="B323" s="58"/>
      <c r="C323" s="58" t="s">
        <v>937</v>
      </c>
      <c r="D323" s="72" t="s">
        <v>901</v>
      </c>
      <c r="E323" s="73"/>
      <c r="F323" s="10"/>
      <c r="G323" s="10"/>
      <c r="H323" s="10"/>
      <c r="I323" s="10"/>
      <c r="J323" s="10"/>
      <c r="K323" s="10"/>
      <c r="L323" s="10"/>
      <c r="M323" s="10"/>
      <c r="N323" s="10"/>
      <c r="O323" s="10"/>
      <c r="P323" s="10"/>
      <c r="Q323" s="10"/>
      <c r="R323" s="10"/>
      <c r="S323" s="10"/>
      <c r="T323" s="10"/>
      <c r="U323" s="10"/>
    </row>
    <row r="324" ht="15.75" customHeight="1">
      <c r="A324" s="58">
        <v>0.0</v>
      </c>
      <c r="B324" s="188" t="s">
        <v>5739</v>
      </c>
      <c r="C324" s="58" t="s">
        <v>1234</v>
      </c>
      <c r="D324" s="72" t="s">
        <v>155</v>
      </c>
      <c r="E324" s="73"/>
      <c r="F324" s="10"/>
      <c r="G324" s="10"/>
      <c r="H324" s="10"/>
      <c r="I324" s="10"/>
      <c r="J324" s="10"/>
      <c r="K324" s="10"/>
      <c r="L324" s="10"/>
      <c r="M324" s="10"/>
      <c r="N324" s="10"/>
      <c r="O324" s="10"/>
      <c r="P324" s="10"/>
      <c r="Q324" s="10"/>
      <c r="R324" s="10"/>
      <c r="S324" s="10"/>
      <c r="T324" s="10"/>
      <c r="U324" s="10"/>
    </row>
    <row r="325" ht="15.75" customHeight="1">
      <c r="A325" s="58">
        <v>-2.0</v>
      </c>
      <c r="B325" s="188" t="s">
        <v>5703</v>
      </c>
      <c r="C325" s="58" t="s">
        <v>320</v>
      </c>
      <c r="D325" s="72" t="s">
        <v>163</v>
      </c>
      <c r="E325" s="73"/>
      <c r="F325" s="189"/>
      <c r="G325" s="10"/>
      <c r="H325" s="10"/>
      <c r="I325" s="10"/>
      <c r="J325" s="10"/>
      <c r="K325" s="10"/>
      <c r="L325" s="10"/>
      <c r="M325" s="10"/>
      <c r="N325" s="10"/>
      <c r="O325" s="10"/>
      <c r="P325" s="10"/>
      <c r="Q325" s="10"/>
      <c r="R325" s="10"/>
      <c r="S325" s="10"/>
      <c r="T325" s="10"/>
      <c r="U325" s="10"/>
    </row>
    <row r="326" ht="15.75" customHeight="1">
      <c r="A326" s="58">
        <v>0.0</v>
      </c>
      <c r="B326" s="188" t="s">
        <v>5679</v>
      </c>
      <c r="C326" s="58" t="s">
        <v>5813</v>
      </c>
      <c r="D326" s="72" t="s">
        <v>459</v>
      </c>
      <c r="E326" s="73"/>
      <c r="F326" s="10"/>
      <c r="G326" s="10"/>
      <c r="H326" s="10"/>
      <c r="I326" s="10"/>
      <c r="J326" s="10"/>
      <c r="K326" s="10"/>
      <c r="L326" s="10"/>
      <c r="M326" s="10"/>
      <c r="N326" s="10"/>
      <c r="O326" s="10"/>
      <c r="P326" s="10"/>
      <c r="Q326" s="10"/>
      <c r="R326" s="10"/>
      <c r="S326" s="10"/>
      <c r="T326" s="10"/>
      <c r="U326" s="10"/>
    </row>
    <row r="327" ht="15.75" customHeight="1">
      <c r="A327" s="58">
        <v>0.0</v>
      </c>
      <c r="B327" s="188" t="s">
        <v>5722</v>
      </c>
      <c r="C327" s="58" t="s">
        <v>1020</v>
      </c>
      <c r="D327" s="72" t="s">
        <v>163</v>
      </c>
      <c r="E327" s="73"/>
      <c r="F327" s="10"/>
      <c r="G327" s="10"/>
      <c r="H327" s="10"/>
      <c r="I327" s="10"/>
      <c r="J327" s="10"/>
      <c r="K327" s="10"/>
      <c r="L327" s="10"/>
      <c r="M327" s="10"/>
      <c r="N327" s="10"/>
      <c r="O327" s="10"/>
      <c r="P327" s="10"/>
      <c r="Q327" s="10"/>
      <c r="R327" s="10"/>
      <c r="S327" s="10"/>
      <c r="T327" s="10"/>
      <c r="U327" s="10"/>
    </row>
    <row r="328" ht="15.75" customHeight="1">
      <c r="A328" s="58">
        <v>1.0</v>
      </c>
      <c r="B328" s="188" t="s">
        <v>5677</v>
      </c>
      <c r="C328" s="58" t="s">
        <v>1678</v>
      </c>
      <c r="D328" s="58" t="s">
        <v>125</v>
      </c>
      <c r="E328" s="10"/>
      <c r="F328" s="10"/>
      <c r="G328" s="10"/>
      <c r="H328" s="10"/>
      <c r="I328" s="10"/>
      <c r="J328" s="10"/>
      <c r="K328" s="10"/>
      <c r="L328" s="10"/>
      <c r="M328" s="10"/>
      <c r="N328" s="10"/>
      <c r="O328" s="10"/>
      <c r="P328" s="10"/>
      <c r="Q328" s="10"/>
      <c r="R328" s="10"/>
      <c r="S328" s="10"/>
      <c r="T328" s="10"/>
      <c r="U328" s="10"/>
    </row>
    <row r="329" ht="15.75" customHeight="1">
      <c r="A329" s="58">
        <v>0.0</v>
      </c>
      <c r="B329" s="188" t="s">
        <v>5702</v>
      </c>
      <c r="C329" s="58" t="s">
        <v>993</v>
      </c>
      <c r="D329" s="72" t="s">
        <v>163</v>
      </c>
      <c r="E329" s="73"/>
      <c r="F329" s="10"/>
      <c r="G329" s="10"/>
      <c r="H329" s="10"/>
      <c r="I329" s="10"/>
      <c r="J329" s="10"/>
      <c r="K329" s="10"/>
      <c r="L329" s="10"/>
      <c r="M329" s="10"/>
      <c r="N329" s="10"/>
      <c r="O329" s="10"/>
      <c r="P329" s="10"/>
      <c r="Q329" s="10"/>
      <c r="R329" s="10"/>
      <c r="S329" s="10"/>
      <c r="T329" s="10"/>
      <c r="U329" s="10"/>
    </row>
    <row r="330" ht="15.75" customHeight="1">
      <c r="A330" s="58">
        <v>0.0</v>
      </c>
      <c r="B330" s="188" t="s">
        <v>5702</v>
      </c>
      <c r="C330" s="58" t="s">
        <v>2132</v>
      </c>
      <c r="D330" s="72" t="s">
        <v>187</v>
      </c>
      <c r="E330" s="73"/>
      <c r="F330" s="10"/>
      <c r="G330" s="10"/>
      <c r="H330" s="10"/>
      <c r="I330" s="10"/>
      <c r="J330" s="10"/>
      <c r="K330" s="10"/>
      <c r="L330" s="10"/>
      <c r="M330" s="10"/>
      <c r="N330" s="10"/>
      <c r="O330" s="10"/>
      <c r="P330" s="10"/>
      <c r="Q330" s="10"/>
      <c r="R330" s="10"/>
      <c r="S330" s="10"/>
      <c r="T330" s="10"/>
      <c r="U330" s="10"/>
    </row>
    <row r="331" ht="15.75" customHeight="1">
      <c r="A331" s="58">
        <v>0.0</v>
      </c>
      <c r="B331" s="188" t="s">
        <v>5714</v>
      </c>
      <c r="C331" s="58" t="s">
        <v>1053</v>
      </c>
      <c r="D331" s="72" t="s">
        <v>163</v>
      </c>
      <c r="E331" s="73"/>
      <c r="F331" s="10"/>
      <c r="G331" s="10"/>
      <c r="H331" s="10"/>
      <c r="I331" s="10"/>
      <c r="J331" s="10"/>
      <c r="K331" s="10"/>
      <c r="L331" s="10"/>
      <c r="M331" s="10"/>
      <c r="N331" s="10"/>
      <c r="O331" s="10"/>
      <c r="P331" s="10"/>
      <c r="Q331" s="10"/>
      <c r="R331" s="10"/>
      <c r="S331" s="10"/>
      <c r="T331" s="10"/>
      <c r="U331" s="10"/>
    </row>
    <row r="332" ht="15.75" customHeight="1">
      <c r="A332" s="58">
        <v>0.0</v>
      </c>
      <c r="B332" s="188" t="s">
        <v>5673</v>
      </c>
      <c r="C332" s="58" t="s">
        <v>1183</v>
      </c>
      <c r="D332" s="72" t="s">
        <v>125</v>
      </c>
      <c r="E332" s="73"/>
      <c r="F332" s="10"/>
      <c r="G332" s="10"/>
      <c r="H332" s="10"/>
      <c r="I332" s="10"/>
      <c r="J332" s="10"/>
      <c r="K332" s="10"/>
      <c r="L332" s="10"/>
      <c r="M332" s="10"/>
      <c r="N332" s="10"/>
      <c r="O332" s="10"/>
      <c r="P332" s="10"/>
      <c r="Q332" s="10"/>
      <c r="R332" s="10"/>
      <c r="S332" s="10"/>
      <c r="T332" s="10"/>
      <c r="U332" s="10"/>
    </row>
    <row r="333" ht="15.75" hidden="1" customHeight="1">
      <c r="A333" s="58">
        <v>-1.0</v>
      </c>
      <c r="B333" s="58"/>
      <c r="C333" s="58" t="s">
        <v>938</v>
      </c>
      <c r="D333" s="72" t="s">
        <v>901</v>
      </c>
      <c r="E333" s="73"/>
      <c r="F333" s="10"/>
      <c r="G333" s="10"/>
      <c r="H333" s="10"/>
      <c r="I333" s="10"/>
      <c r="J333" s="10"/>
      <c r="K333" s="10"/>
      <c r="L333" s="10"/>
      <c r="M333" s="10"/>
      <c r="N333" s="10"/>
      <c r="O333" s="10"/>
      <c r="P333" s="10"/>
      <c r="Q333" s="10"/>
      <c r="R333" s="10"/>
      <c r="S333" s="10"/>
      <c r="T333" s="10"/>
      <c r="U333" s="10"/>
    </row>
    <row r="334" ht="15.75" customHeight="1">
      <c r="A334" s="58">
        <v>-1.0</v>
      </c>
      <c r="B334" s="188" t="s">
        <v>5739</v>
      </c>
      <c r="C334" s="58" t="s">
        <v>734</v>
      </c>
      <c r="D334" s="72" t="s">
        <v>179</v>
      </c>
      <c r="E334" s="73"/>
      <c r="F334" s="10"/>
      <c r="G334" s="10"/>
      <c r="H334" s="10"/>
      <c r="I334" s="10"/>
      <c r="J334" s="10"/>
      <c r="K334" s="10"/>
      <c r="L334" s="10"/>
      <c r="M334" s="10"/>
      <c r="N334" s="10"/>
      <c r="O334" s="10"/>
      <c r="P334" s="10"/>
      <c r="Q334" s="10"/>
      <c r="R334" s="10"/>
      <c r="S334" s="10"/>
      <c r="T334" s="10"/>
      <c r="U334" s="10"/>
    </row>
    <row r="335" ht="15.75" customHeight="1">
      <c r="A335" s="58">
        <v>-2.0</v>
      </c>
      <c r="B335" s="188" t="s">
        <v>5714</v>
      </c>
      <c r="C335" s="58" t="s">
        <v>2389</v>
      </c>
      <c r="D335" s="72" t="s">
        <v>92</v>
      </c>
      <c r="E335" s="73"/>
      <c r="F335" s="189"/>
      <c r="G335" s="10"/>
      <c r="H335" s="10"/>
      <c r="I335" s="10"/>
      <c r="J335" s="10"/>
      <c r="K335" s="10"/>
      <c r="L335" s="10"/>
      <c r="M335" s="10"/>
      <c r="N335" s="10"/>
      <c r="O335" s="10"/>
      <c r="P335" s="10"/>
      <c r="Q335" s="10"/>
      <c r="R335" s="10"/>
      <c r="S335" s="10"/>
      <c r="T335" s="10"/>
      <c r="U335" s="10"/>
    </row>
    <row r="336" ht="15.75" hidden="1" customHeight="1">
      <c r="A336" s="58">
        <v>0.0</v>
      </c>
      <c r="B336" s="58"/>
      <c r="C336" s="58" t="s">
        <v>1487</v>
      </c>
      <c r="D336" s="72" t="s">
        <v>901</v>
      </c>
      <c r="E336" s="73"/>
      <c r="F336" s="10"/>
      <c r="G336" s="10"/>
      <c r="H336" s="10"/>
      <c r="I336" s="10"/>
      <c r="J336" s="10"/>
      <c r="K336" s="10"/>
      <c r="L336" s="10"/>
      <c r="M336" s="10"/>
      <c r="N336" s="10"/>
      <c r="O336" s="10"/>
      <c r="P336" s="10"/>
      <c r="Q336" s="10"/>
      <c r="R336" s="10"/>
      <c r="S336" s="10"/>
      <c r="T336" s="10"/>
      <c r="U336" s="10"/>
    </row>
    <row r="337" ht="15.75" customHeight="1">
      <c r="A337" s="58">
        <v>1.0</v>
      </c>
      <c r="B337" s="188" t="s">
        <v>5672</v>
      </c>
      <c r="C337" s="58" t="s">
        <v>1542</v>
      </c>
      <c r="D337" s="72" t="s">
        <v>92</v>
      </c>
      <c r="E337" s="73"/>
      <c r="F337" s="10"/>
      <c r="G337" s="10"/>
      <c r="H337" s="10"/>
      <c r="I337" s="10"/>
      <c r="J337" s="10"/>
      <c r="K337" s="10"/>
      <c r="L337" s="10"/>
      <c r="M337" s="10"/>
      <c r="N337" s="10"/>
      <c r="O337" s="10"/>
      <c r="P337" s="10"/>
      <c r="Q337" s="10"/>
      <c r="R337" s="10"/>
      <c r="S337" s="10"/>
      <c r="T337" s="10"/>
      <c r="U337" s="10"/>
    </row>
    <row r="338" ht="15.75" customHeight="1">
      <c r="A338" s="58">
        <v>-2.0</v>
      </c>
      <c r="B338" s="188" t="s">
        <v>5689</v>
      </c>
      <c r="C338" s="58" t="s">
        <v>250</v>
      </c>
      <c r="D338" s="72" t="s">
        <v>163</v>
      </c>
      <c r="E338" s="73"/>
      <c r="F338" s="189"/>
      <c r="G338" s="10"/>
      <c r="H338" s="10"/>
      <c r="I338" s="10"/>
      <c r="J338" s="10"/>
      <c r="K338" s="10"/>
      <c r="L338" s="10"/>
      <c r="M338" s="10"/>
      <c r="N338" s="10"/>
      <c r="O338" s="10"/>
      <c r="P338" s="10"/>
      <c r="Q338" s="10"/>
      <c r="R338" s="10"/>
      <c r="S338" s="10"/>
      <c r="T338" s="10"/>
      <c r="U338" s="10"/>
    </row>
    <row r="339" ht="15.75" customHeight="1">
      <c r="A339" s="58">
        <v>-2.0</v>
      </c>
      <c r="B339" s="188" t="s">
        <v>5689</v>
      </c>
      <c r="C339" s="58" t="s">
        <v>245</v>
      </c>
      <c r="D339" s="72" t="s">
        <v>163</v>
      </c>
      <c r="E339" s="73"/>
      <c r="F339" s="189"/>
      <c r="G339" s="10"/>
      <c r="H339" s="10"/>
      <c r="I339" s="10"/>
      <c r="J339" s="10"/>
      <c r="K339" s="10"/>
      <c r="L339" s="10"/>
      <c r="M339" s="10"/>
      <c r="N339" s="10"/>
      <c r="O339" s="10"/>
      <c r="P339" s="10"/>
      <c r="Q339" s="10"/>
      <c r="R339" s="10"/>
      <c r="S339" s="10"/>
      <c r="T339" s="10"/>
      <c r="U339" s="10"/>
    </row>
    <row r="340" ht="15.75" customHeight="1">
      <c r="A340" s="58">
        <v>-1.0</v>
      </c>
      <c r="B340" s="188" t="s">
        <v>5728</v>
      </c>
      <c r="C340" s="58" t="s">
        <v>800</v>
      </c>
      <c r="D340" s="72" t="s">
        <v>163</v>
      </c>
      <c r="E340" s="73"/>
      <c r="F340" s="10"/>
      <c r="G340" s="10"/>
      <c r="H340" s="10"/>
      <c r="I340" s="10"/>
      <c r="J340" s="10"/>
      <c r="K340" s="10"/>
      <c r="L340" s="10"/>
      <c r="M340" s="10"/>
      <c r="N340" s="10"/>
      <c r="O340" s="10"/>
      <c r="P340" s="10"/>
      <c r="Q340" s="10"/>
      <c r="R340" s="10"/>
      <c r="S340" s="10"/>
      <c r="T340" s="10"/>
      <c r="U340" s="10"/>
    </row>
    <row r="341" ht="15.75" hidden="1" customHeight="1">
      <c r="A341" s="58">
        <v>-1.0</v>
      </c>
      <c r="B341" s="58"/>
      <c r="C341" s="58" t="s">
        <v>939</v>
      </c>
      <c r="D341" s="72" t="s">
        <v>901</v>
      </c>
      <c r="E341" s="73"/>
      <c r="F341" s="10"/>
      <c r="G341" s="10"/>
      <c r="H341" s="10"/>
      <c r="I341" s="10"/>
      <c r="J341" s="10"/>
      <c r="K341" s="10"/>
      <c r="L341" s="10"/>
      <c r="M341" s="10"/>
      <c r="N341" s="10"/>
      <c r="O341" s="10"/>
      <c r="P341" s="10"/>
      <c r="Q341" s="10"/>
      <c r="R341" s="10"/>
      <c r="S341" s="10"/>
      <c r="T341" s="10"/>
      <c r="U341" s="10"/>
    </row>
    <row r="342" ht="15.75" customHeight="1">
      <c r="A342" s="58">
        <v>-1.0</v>
      </c>
      <c r="B342" s="188" t="s">
        <v>5710</v>
      </c>
      <c r="C342" s="58" t="s">
        <v>5814</v>
      </c>
      <c r="D342" s="72" t="s">
        <v>187</v>
      </c>
      <c r="E342" s="73"/>
      <c r="F342" s="10"/>
      <c r="G342" s="10"/>
      <c r="H342" s="10"/>
      <c r="I342" s="10"/>
      <c r="J342" s="10"/>
      <c r="K342" s="10"/>
      <c r="L342" s="10"/>
      <c r="M342" s="10"/>
      <c r="N342" s="10"/>
      <c r="O342" s="10"/>
      <c r="P342" s="10"/>
      <c r="Q342" s="10"/>
      <c r="R342" s="10"/>
      <c r="S342" s="10"/>
      <c r="T342" s="10"/>
      <c r="U342" s="10"/>
    </row>
    <row r="343" ht="15.75" customHeight="1">
      <c r="A343" s="58">
        <v>-3.0</v>
      </c>
      <c r="B343" s="188" t="s">
        <v>5690</v>
      </c>
      <c r="C343" s="58" t="s">
        <v>2077</v>
      </c>
      <c r="D343" s="72" t="s">
        <v>24</v>
      </c>
      <c r="E343" s="73"/>
      <c r="F343" s="189"/>
      <c r="G343" s="10"/>
      <c r="H343" s="10"/>
      <c r="I343" s="10"/>
      <c r="J343" s="10"/>
      <c r="K343" s="10"/>
      <c r="L343" s="10"/>
      <c r="M343" s="10"/>
      <c r="N343" s="10"/>
      <c r="O343" s="10"/>
      <c r="P343" s="10"/>
      <c r="Q343" s="10"/>
      <c r="R343" s="10"/>
      <c r="S343" s="10"/>
      <c r="T343" s="10"/>
      <c r="U343" s="10"/>
    </row>
    <row r="344" ht="15.75" customHeight="1">
      <c r="A344" s="58">
        <v>0.0</v>
      </c>
      <c r="B344" s="188" t="s">
        <v>5704</v>
      </c>
      <c r="C344" s="58" t="s">
        <v>1009</v>
      </c>
      <c r="D344" s="72" t="s">
        <v>187</v>
      </c>
      <c r="E344" s="73"/>
      <c r="F344" s="10"/>
      <c r="G344" s="10"/>
      <c r="H344" s="10"/>
      <c r="I344" s="10"/>
      <c r="J344" s="10"/>
      <c r="K344" s="10"/>
      <c r="L344" s="10"/>
      <c r="M344" s="10"/>
      <c r="N344" s="10"/>
      <c r="O344" s="10"/>
      <c r="P344" s="10"/>
      <c r="Q344" s="10"/>
      <c r="R344" s="10"/>
      <c r="S344" s="10"/>
      <c r="T344" s="10"/>
      <c r="U344" s="10"/>
    </row>
    <row r="345" ht="15.75" hidden="1" customHeight="1">
      <c r="A345" s="58">
        <v>-1.0</v>
      </c>
      <c r="B345" s="58"/>
      <c r="C345" s="58" t="s">
        <v>941</v>
      </c>
      <c r="D345" s="72" t="s">
        <v>901</v>
      </c>
      <c r="E345" s="73"/>
      <c r="F345" s="10"/>
      <c r="G345" s="10"/>
      <c r="H345" s="10"/>
      <c r="I345" s="10"/>
      <c r="J345" s="10"/>
      <c r="K345" s="10"/>
      <c r="L345" s="10"/>
      <c r="M345" s="10"/>
      <c r="N345" s="10"/>
      <c r="O345" s="10"/>
      <c r="P345" s="10"/>
      <c r="Q345" s="10"/>
      <c r="R345" s="10"/>
      <c r="S345" s="10"/>
      <c r="T345" s="10"/>
      <c r="U345" s="10"/>
    </row>
    <row r="346" ht="15.75" hidden="1" customHeight="1">
      <c r="A346" s="58">
        <v>0.0</v>
      </c>
      <c r="B346" s="58"/>
      <c r="C346" s="58" t="s">
        <v>1509</v>
      </c>
      <c r="D346" s="72" t="s">
        <v>901</v>
      </c>
      <c r="E346" s="73"/>
      <c r="F346" s="10"/>
      <c r="G346" s="10"/>
      <c r="H346" s="10"/>
      <c r="I346" s="10"/>
      <c r="J346" s="10"/>
      <c r="K346" s="10"/>
      <c r="L346" s="10"/>
      <c r="M346" s="10"/>
      <c r="N346" s="10"/>
      <c r="O346" s="10"/>
      <c r="P346" s="10"/>
      <c r="Q346" s="10"/>
      <c r="R346" s="10"/>
      <c r="S346" s="10"/>
      <c r="T346" s="10"/>
      <c r="U346" s="10"/>
    </row>
    <row r="347" ht="15.75" customHeight="1">
      <c r="A347" s="58">
        <v>1.0</v>
      </c>
      <c r="B347" s="188" t="s">
        <v>5689</v>
      </c>
      <c r="C347" s="58" t="s">
        <v>108</v>
      </c>
      <c r="D347" s="58" t="s">
        <v>24</v>
      </c>
      <c r="E347" s="10"/>
      <c r="F347" s="10"/>
      <c r="G347" s="10"/>
      <c r="H347" s="10"/>
      <c r="I347" s="10"/>
      <c r="J347" s="10"/>
      <c r="K347" s="10"/>
      <c r="L347" s="10"/>
      <c r="M347" s="10"/>
      <c r="N347" s="10"/>
      <c r="O347" s="10"/>
      <c r="P347" s="10"/>
      <c r="Q347" s="10"/>
      <c r="R347" s="10"/>
      <c r="S347" s="10"/>
      <c r="T347" s="10"/>
      <c r="U347" s="10"/>
    </row>
    <row r="348" ht="15.75" customHeight="1">
      <c r="A348" s="58">
        <v>0.0</v>
      </c>
      <c r="B348" s="188" t="s">
        <v>5679</v>
      </c>
      <c r="C348" s="58" t="s">
        <v>5815</v>
      </c>
      <c r="D348" s="72" t="s">
        <v>459</v>
      </c>
      <c r="E348" s="73"/>
      <c r="F348" s="10"/>
      <c r="G348" s="10"/>
      <c r="H348" s="10"/>
      <c r="I348" s="10"/>
      <c r="J348" s="10"/>
      <c r="K348" s="10"/>
      <c r="L348" s="10"/>
      <c r="M348" s="10"/>
      <c r="N348" s="10"/>
      <c r="O348" s="10"/>
      <c r="P348" s="10"/>
      <c r="Q348" s="10"/>
      <c r="R348" s="10"/>
      <c r="S348" s="10"/>
      <c r="T348" s="10"/>
      <c r="U348" s="10"/>
    </row>
    <row r="349" ht="15.75" hidden="1" customHeight="1">
      <c r="A349" s="58">
        <v>-1.0</v>
      </c>
      <c r="B349" s="58"/>
      <c r="C349" s="58" t="s">
        <v>942</v>
      </c>
      <c r="D349" s="72" t="s">
        <v>901</v>
      </c>
      <c r="E349" s="73"/>
      <c r="F349" s="10"/>
      <c r="G349" s="10"/>
      <c r="H349" s="10"/>
      <c r="I349" s="10"/>
      <c r="J349" s="10"/>
      <c r="K349" s="10"/>
      <c r="L349" s="10"/>
      <c r="M349" s="10"/>
      <c r="N349" s="10"/>
      <c r="O349" s="10"/>
      <c r="P349" s="10"/>
      <c r="Q349" s="10"/>
      <c r="R349" s="10"/>
      <c r="S349" s="10"/>
      <c r="T349" s="10"/>
      <c r="U349" s="10"/>
    </row>
    <row r="350" ht="15.75" customHeight="1">
      <c r="A350" s="58">
        <v>-2.0</v>
      </c>
      <c r="B350" s="188" t="s">
        <v>5703</v>
      </c>
      <c r="C350" s="58" t="s">
        <v>823</v>
      </c>
      <c r="D350" s="72" t="s">
        <v>163</v>
      </c>
      <c r="E350" s="73"/>
      <c r="F350" s="189"/>
      <c r="G350" s="10"/>
      <c r="H350" s="10"/>
      <c r="I350" s="10"/>
      <c r="J350" s="10"/>
      <c r="K350" s="10"/>
      <c r="L350" s="10"/>
      <c r="M350" s="10"/>
      <c r="N350" s="10"/>
      <c r="O350" s="10"/>
      <c r="P350" s="10"/>
      <c r="Q350" s="10"/>
      <c r="R350" s="10"/>
      <c r="S350" s="10"/>
      <c r="T350" s="10"/>
      <c r="U350" s="10"/>
    </row>
    <row r="351" ht="15.75" hidden="1" customHeight="1">
      <c r="A351" s="58">
        <v>-1.0</v>
      </c>
      <c r="B351" s="58"/>
      <c r="C351" s="58" t="s">
        <v>5816</v>
      </c>
      <c r="D351" s="72" t="s">
        <v>901</v>
      </c>
      <c r="E351" s="73"/>
      <c r="F351" s="10"/>
      <c r="G351" s="10"/>
      <c r="H351" s="10"/>
      <c r="I351" s="10"/>
      <c r="J351" s="10"/>
      <c r="K351" s="10"/>
      <c r="L351" s="10"/>
      <c r="M351" s="10"/>
      <c r="N351" s="10"/>
      <c r="O351" s="10"/>
      <c r="P351" s="10"/>
      <c r="Q351" s="10"/>
      <c r="R351" s="10"/>
      <c r="S351" s="10"/>
      <c r="T351" s="10"/>
      <c r="U351" s="10"/>
    </row>
    <row r="352" ht="15.75" customHeight="1">
      <c r="A352" s="58">
        <v>-2.0</v>
      </c>
      <c r="B352" s="188" t="s">
        <v>5681</v>
      </c>
      <c r="C352" s="58" t="s">
        <v>303</v>
      </c>
      <c r="D352" s="72" t="s">
        <v>70</v>
      </c>
      <c r="E352" s="73"/>
      <c r="F352" s="189"/>
      <c r="G352" s="10"/>
      <c r="H352" s="10"/>
      <c r="I352" s="10"/>
      <c r="J352" s="10"/>
      <c r="K352" s="10"/>
      <c r="L352" s="10"/>
      <c r="M352" s="10"/>
      <c r="N352" s="10"/>
      <c r="O352" s="10"/>
      <c r="P352" s="10"/>
      <c r="Q352" s="10"/>
      <c r="R352" s="10"/>
      <c r="S352" s="10"/>
      <c r="T352" s="10"/>
      <c r="U352" s="10"/>
    </row>
    <row r="353" ht="15.75" customHeight="1">
      <c r="A353" s="58">
        <v>-3.0</v>
      </c>
      <c r="B353" s="188" t="s">
        <v>5694</v>
      </c>
      <c r="C353" s="58" t="s">
        <v>58</v>
      </c>
      <c r="D353" s="72" t="s">
        <v>24</v>
      </c>
      <c r="E353" s="73"/>
      <c r="F353" s="189"/>
      <c r="G353" s="10"/>
      <c r="H353" s="10"/>
      <c r="I353" s="10"/>
      <c r="J353" s="10"/>
      <c r="K353" s="10"/>
      <c r="L353" s="10"/>
      <c r="M353" s="10"/>
      <c r="N353" s="10"/>
      <c r="O353" s="10"/>
      <c r="P353" s="10"/>
      <c r="Q353" s="10"/>
      <c r="R353" s="10"/>
      <c r="S353" s="10"/>
      <c r="T353" s="10"/>
      <c r="U353" s="10"/>
    </row>
    <row r="354" ht="15.75" customHeight="1">
      <c r="A354" s="58">
        <v>1.0</v>
      </c>
      <c r="B354" s="188" t="s">
        <v>5690</v>
      </c>
      <c r="C354" s="58" t="s">
        <v>2343</v>
      </c>
      <c r="D354" s="58" t="s">
        <v>187</v>
      </c>
      <c r="E354" s="10"/>
      <c r="F354" s="10"/>
      <c r="G354" s="10"/>
      <c r="H354" s="10"/>
      <c r="I354" s="10"/>
      <c r="J354" s="10"/>
      <c r="K354" s="10"/>
      <c r="L354" s="10"/>
      <c r="M354" s="10"/>
      <c r="N354" s="10"/>
      <c r="O354" s="10"/>
      <c r="P354" s="10"/>
      <c r="Q354" s="10"/>
      <c r="R354" s="10"/>
      <c r="S354" s="10"/>
      <c r="T354" s="10"/>
      <c r="U354" s="10"/>
    </row>
    <row r="355" ht="15.75" customHeight="1">
      <c r="A355" s="58">
        <v>-1.0</v>
      </c>
      <c r="B355" s="188" t="s">
        <v>5737</v>
      </c>
      <c r="C355" s="58" t="s">
        <v>474</v>
      </c>
      <c r="D355" s="72" t="s">
        <v>163</v>
      </c>
      <c r="E355" s="73"/>
      <c r="F355" s="10"/>
      <c r="G355" s="10"/>
      <c r="H355" s="10"/>
      <c r="I355" s="10"/>
      <c r="J355" s="10"/>
      <c r="K355" s="10"/>
      <c r="L355" s="10"/>
      <c r="M355" s="10"/>
      <c r="N355" s="10"/>
      <c r="O355" s="10"/>
      <c r="P355" s="10"/>
      <c r="Q355" s="10"/>
      <c r="R355" s="10"/>
      <c r="S355" s="10"/>
      <c r="T355" s="10"/>
      <c r="U355" s="10"/>
    </row>
    <row r="356" ht="15.75" customHeight="1">
      <c r="A356" s="58">
        <v>-1.0</v>
      </c>
      <c r="B356" s="188" t="s">
        <v>5690</v>
      </c>
      <c r="C356" s="58" t="s">
        <v>5817</v>
      </c>
      <c r="D356" s="72" t="s">
        <v>24</v>
      </c>
      <c r="E356" s="73"/>
      <c r="F356" s="10"/>
      <c r="G356" s="10"/>
      <c r="H356" s="10"/>
      <c r="I356" s="10"/>
      <c r="J356" s="10"/>
      <c r="K356" s="10"/>
      <c r="L356" s="10"/>
      <c r="M356" s="10"/>
      <c r="N356" s="10"/>
      <c r="O356" s="10"/>
      <c r="P356" s="10"/>
      <c r="Q356" s="10"/>
      <c r="R356" s="10"/>
      <c r="S356" s="10"/>
      <c r="T356" s="10"/>
      <c r="U356" s="10"/>
    </row>
    <row r="357" ht="15.75" customHeight="1">
      <c r="A357" s="58">
        <v>0.0</v>
      </c>
      <c r="B357" s="188" t="s">
        <v>5679</v>
      </c>
      <c r="C357" s="58" t="s">
        <v>5818</v>
      </c>
      <c r="D357" s="72" t="s">
        <v>459</v>
      </c>
      <c r="E357" s="73"/>
      <c r="F357" s="10"/>
      <c r="G357" s="10"/>
      <c r="H357" s="10"/>
      <c r="I357" s="10"/>
      <c r="J357" s="10"/>
      <c r="K357" s="10"/>
      <c r="L357" s="10"/>
      <c r="M357" s="10"/>
      <c r="N357" s="10"/>
      <c r="O357" s="10"/>
      <c r="P357" s="10"/>
      <c r="Q357" s="10"/>
      <c r="R357" s="10"/>
      <c r="S357" s="10"/>
      <c r="T357" s="10"/>
      <c r="U357" s="10"/>
    </row>
    <row r="358" ht="15.75" customHeight="1">
      <c r="A358" s="58">
        <v>-1.0</v>
      </c>
      <c r="B358" s="188" t="s">
        <v>5722</v>
      </c>
      <c r="C358" s="58" t="s">
        <v>585</v>
      </c>
      <c r="D358" s="72" t="s">
        <v>561</v>
      </c>
      <c r="E358" s="73"/>
      <c r="F358" s="10"/>
      <c r="G358" s="10"/>
      <c r="H358" s="10"/>
      <c r="I358" s="10"/>
      <c r="J358" s="10"/>
      <c r="K358" s="10"/>
      <c r="L358" s="10"/>
      <c r="M358" s="10"/>
      <c r="N358" s="10"/>
      <c r="O358" s="10"/>
      <c r="P358" s="10"/>
      <c r="Q358" s="10"/>
      <c r="R358" s="10"/>
      <c r="S358" s="10"/>
      <c r="T358" s="10"/>
      <c r="U358" s="10"/>
    </row>
    <row r="359" ht="15.75" hidden="1" customHeight="1">
      <c r="A359" s="58">
        <v>-1.0</v>
      </c>
      <c r="B359" s="58"/>
      <c r="C359" s="58" t="s">
        <v>5552</v>
      </c>
      <c r="D359" s="72" t="s">
        <v>901</v>
      </c>
      <c r="E359" s="73"/>
      <c r="F359" s="10"/>
      <c r="G359" s="10"/>
      <c r="H359" s="10"/>
      <c r="I359" s="10"/>
      <c r="J359" s="10"/>
      <c r="K359" s="10"/>
      <c r="L359" s="10"/>
      <c r="M359" s="10"/>
      <c r="N359" s="10"/>
      <c r="O359" s="10"/>
      <c r="P359" s="10"/>
      <c r="Q359" s="10"/>
      <c r="R359" s="10"/>
      <c r="S359" s="10"/>
      <c r="T359" s="10"/>
      <c r="U359" s="10"/>
    </row>
    <row r="360" ht="15.75" customHeight="1">
      <c r="A360" s="58">
        <v>0.0</v>
      </c>
      <c r="B360" s="188" t="s">
        <v>5725</v>
      </c>
      <c r="C360" s="58" t="s">
        <v>5819</v>
      </c>
      <c r="D360" s="72" t="s">
        <v>1131</v>
      </c>
      <c r="E360" s="73"/>
      <c r="F360" s="10"/>
      <c r="G360" s="10"/>
      <c r="H360" s="10"/>
      <c r="I360" s="10"/>
      <c r="J360" s="10"/>
      <c r="K360" s="10"/>
      <c r="L360" s="10"/>
      <c r="M360" s="10"/>
      <c r="N360" s="10"/>
      <c r="O360" s="10"/>
      <c r="P360" s="10"/>
      <c r="Q360" s="10"/>
      <c r="R360" s="10"/>
      <c r="S360" s="10"/>
      <c r="T360" s="10"/>
      <c r="U360" s="10"/>
    </row>
    <row r="361" ht="15.75" customHeight="1">
      <c r="A361" s="58">
        <v>0.0</v>
      </c>
      <c r="B361" s="188" t="s">
        <v>5702</v>
      </c>
      <c r="C361" s="58" t="s">
        <v>1403</v>
      </c>
      <c r="D361" s="72" t="s">
        <v>44</v>
      </c>
      <c r="E361" s="73"/>
      <c r="F361" s="10"/>
      <c r="G361" s="10"/>
      <c r="H361" s="10"/>
      <c r="I361" s="10"/>
      <c r="J361" s="10"/>
      <c r="K361" s="10"/>
      <c r="L361" s="10"/>
      <c r="M361" s="10"/>
      <c r="N361" s="10"/>
      <c r="O361" s="10"/>
      <c r="P361" s="10"/>
      <c r="Q361" s="10"/>
      <c r="R361" s="10"/>
      <c r="S361" s="10"/>
      <c r="T361" s="10"/>
      <c r="U361" s="10"/>
    </row>
    <row r="362" ht="15.75" hidden="1" customHeight="1">
      <c r="A362" s="58">
        <v>1.0</v>
      </c>
      <c r="B362" s="58"/>
      <c r="C362" s="58" t="s">
        <v>1714</v>
      </c>
      <c r="D362" s="72" t="s">
        <v>901</v>
      </c>
      <c r="E362" s="10"/>
      <c r="F362" s="10"/>
      <c r="G362" s="10"/>
      <c r="H362" s="10"/>
      <c r="I362" s="10"/>
      <c r="J362" s="10"/>
      <c r="K362" s="10"/>
      <c r="L362" s="10"/>
      <c r="M362" s="10"/>
      <c r="N362" s="10"/>
      <c r="O362" s="10"/>
      <c r="P362" s="10"/>
      <c r="Q362" s="10"/>
      <c r="R362" s="10"/>
      <c r="S362" s="10"/>
      <c r="T362" s="10"/>
      <c r="U362" s="10"/>
    </row>
    <row r="363" ht="15.75" customHeight="1">
      <c r="A363" s="58">
        <v>-1.0</v>
      </c>
      <c r="B363" s="188" t="s">
        <v>5694</v>
      </c>
      <c r="C363" s="58" t="s">
        <v>114</v>
      </c>
      <c r="D363" s="72" t="s">
        <v>44</v>
      </c>
      <c r="E363" s="73"/>
      <c r="F363" s="10"/>
      <c r="G363" s="10"/>
      <c r="H363" s="10"/>
      <c r="I363" s="10"/>
      <c r="J363" s="10"/>
      <c r="K363" s="10"/>
      <c r="L363" s="10"/>
      <c r="M363" s="10"/>
      <c r="N363" s="10"/>
      <c r="O363" s="10"/>
      <c r="P363" s="10"/>
      <c r="Q363" s="10"/>
      <c r="R363" s="10"/>
      <c r="S363" s="10"/>
      <c r="T363" s="10"/>
      <c r="U363" s="10"/>
    </row>
    <row r="364" ht="15.75" customHeight="1">
      <c r="A364" s="58">
        <v>-2.0</v>
      </c>
      <c r="B364" s="188" t="s">
        <v>5690</v>
      </c>
      <c r="C364" s="58" t="s">
        <v>114</v>
      </c>
      <c r="D364" s="72" t="s">
        <v>44</v>
      </c>
      <c r="E364" s="10"/>
      <c r="F364" s="16"/>
      <c r="G364" s="10"/>
      <c r="H364" s="10"/>
      <c r="I364" s="15"/>
      <c r="J364" s="10"/>
      <c r="K364" s="10"/>
      <c r="L364" s="10"/>
      <c r="M364" s="16"/>
      <c r="N364" s="10"/>
      <c r="O364" s="10"/>
      <c r="P364" s="10"/>
      <c r="Q364" s="10"/>
      <c r="R364" s="10"/>
      <c r="S364" s="10"/>
      <c r="T364" s="10"/>
      <c r="U364" s="10"/>
    </row>
    <row r="365" ht="15.75" customHeight="1">
      <c r="A365" s="58">
        <v>0.0</v>
      </c>
      <c r="B365" s="188" t="s">
        <v>5690</v>
      </c>
      <c r="C365" s="58" t="s">
        <v>114</v>
      </c>
      <c r="D365" s="72" t="s">
        <v>44</v>
      </c>
      <c r="E365" s="73"/>
      <c r="F365" s="10"/>
      <c r="G365" s="10"/>
      <c r="H365" s="10"/>
      <c r="I365" s="10"/>
      <c r="J365" s="10"/>
      <c r="K365" s="10"/>
      <c r="L365" s="10"/>
      <c r="M365" s="10"/>
      <c r="N365" s="10"/>
      <c r="O365" s="10"/>
      <c r="P365" s="10"/>
      <c r="Q365" s="10"/>
      <c r="R365" s="10"/>
      <c r="S365" s="10"/>
      <c r="T365" s="10"/>
      <c r="U365" s="10"/>
    </row>
    <row r="366" ht="15.75" customHeight="1">
      <c r="A366" s="10"/>
      <c r="B366" s="191"/>
      <c r="C366" s="10"/>
      <c r="D366" s="73"/>
      <c r="E366" s="73"/>
      <c r="F366" s="10"/>
      <c r="G366" s="10"/>
      <c r="H366" s="10"/>
      <c r="I366" s="10"/>
      <c r="J366" s="10"/>
      <c r="K366" s="10"/>
      <c r="L366" s="10"/>
      <c r="M366" s="10"/>
      <c r="N366" s="10"/>
      <c r="O366" s="10"/>
      <c r="P366" s="10"/>
      <c r="Q366" s="10"/>
      <c r="R366" s="10"/>
      <c r="S366" s="10"/>
      <c r="T366" s="10"/>
      <c r="U366" s="10"/>
    </row>
    <row r="367" ht="15.75" customHeight="1">
      <c r="A367" s="10"/>
      <c r="B367" s="191"/>
      <c r="C367" s="10"/>
      <c r="D367" s="73"/>
      <c r="E367" s="73"/>
      <c r="F367" s="10"/>
      <c r="G367" s="10"/>
      <c r="H367" s="10"/>
      <c r="I367" s="10"/>
      <c r="J367" s="10"/>
      <c r="K367" s="10"/>
      <c r="L367" s="10"/>
      <c r="M367" s="10"/>
      <c r="N367" s="10"/>
      <c r="O367" s="10"/>
      <c r="P367" s="10"/>
      <c r="Q367" s="10"/>
      <c r="R367" s="10"/>
      <c r="S367" s="10"/>
      <c r="T367" s="10"/>
      <c r="U367" s="10"/>
    </row>
    <row r="368" ht="15.75" customHeight="1">
      <c r="A368" s="10"/>
      <c r="B368" s="191"/>
      <c r="C368" s="10"/>
      <c r="D368" s="73"/>
      <c r="E368" s="73"/>
      <c r="F368" s="10"/>
      <c r="G368" s="10"/>
      <c r="H368" s="10"/>
      <c r="I368" s="10"/>
      <c r="J368" s="10"/>
      <c r="K368" s="10"/>
      <c r="L368" s="10"/>
      <c r="M368" s="10"/>
      <c r="N368" s="10"/>
      <c r="O368" s="10"/>
      <c r="P368" s="10"/>
      <c r="Q368" s="10"/>
      <c r="R368" s="10"/>
      <c r="S368" s="10"/>
      <c r="T368" s="10"/>
      <c r="U368" s="10"/>
    </row>
    <row r="369" ht="15.75" customHeight="1">
      <c r="A369" s="10"/>
      <c r="B369" s="191"/>
      <c r="C369" s="10"/>
      <c r="D369" s="73"/>
      <c r="E369" s="73"/>
      <c r="F369" s="10"/>
      <c r="G369" s="10"/>
      <c r="H369" s="10"/>
      <c r="I369" s="10"/>
      <c r="J369" s="10"/>
      <c r="K369" s="10"/>
      <c r="L369" s="10"/>
      <c r="M369" s="10"/>
      <c r="N369" s="10"/>
      <c r="O369" s="10"/>
      <c r="P369" s="10"/>
      <c r="Q369" s="10"/>
      <c r="R369" s="10"/>
      <c r="S369" s="10"/>
      <c r="T369" s="10"/>
      <c r="U369" s="10"/>
    </row>
    <row r="370" ht="15.75" customHeight="1">
      <c r="A370" s="10"/>
      <c r="B370" s="191"/>
      <c r="C370" s="10"/>
      <c r="D370" s="73"/>
      <c r="E370" s="73"/>
      <c r="F370" s="10"/>
      <c r="G370" s="10"/>
      <c r="H370" s="10"/>
      <c r="I370" s="10"/>
      <c r="J370" s="10"/>
      <c r="K370" s="10"/>
      <c r="L370" s="10"/>
      <c r="M370" s="10"/>
      <c r="N370" s="10"/>
      <c r="O370" s="10"/>
      <c r="P370" s="10"/>
      <c r="Q370" s="10"/>
      <c r="R370" s="10"/>
      <c r="S370" s="10"/>
      <c r="T370" s="10"/>
      <c r="U370" s="10"/>
    </row>
    <row r="371" ht="15.75" customHeight="1">
      <c r="A371" s="10"/>
      <c r="B371" s="191"/>
      <c r="C371" s="10"/>
      <c r="D371" s="73"/>
      <c r="E371" s="73"/>
      <c r="F371" s="10"/>
      <c r="G371" s="10"/>
      <c r="H371" s="10"/>
      <c r="I371" s="10"/>
      <c r="J371" s="10"/>
      <c r="K371" s="10"/>
      <c r="L371" s="10"/>
      <c r="M371" s="10"/>
      <c r="N371" s="10"/>
      <c r="O371" s="10"/>
      <c r="P371" s="10"/>
      <c r="Q371" s="10"/>
      <c r="R371" s="10"/>
      <c r="S371" s="10"/>
      <c r="T371" s="10"/>
      <c r="U371" s="10"/>
    </row>
    <row r="372" ht="15.75" customHeight="1">
      <c r="A372" s="10"/>
      <c r="B372" s="191"/>
      <c r="C372" s="10"/>
      <c r="D372" s="73"/>
      <c r="E372" s="73"/>
      <c r="F372" s="10"/>
      <c r="G372" s="10"/>
      <c r="H372" s="10"/>
      <c r="I372" s="10"/>
      <c r="J372" s="10"/>
      <c r="K372" s="10"/>
      <c r="L372" s="10"/>
      <c r="M372" s="10"/>
      <c r="N372" s="10"/>
      <c r="O372" s="10"/>
      <c r="P372" s="10"/>
      <c r="Q372" s="10"/>
      <c r="R372" s="10"/>
      <c r="S372" s="10"/>
      <c r="T372" s="10"/>
      <c r="U372" s="10"/>
    </row>
    <row r="373" ht="15.75" customHeight="1">
      <c r="A373" s="10"/>
      <c r="B373" s="191"/>
      <c r="C373" s="10"/>
      <c r="D373" s="73"/>
      <c r="E373" s="73"/>
      <c r="F373" s="10"/>
      <c r="G373" s="10"/>
      <c r="H373" s="10"/>
      <c r="I373" s="10"/>
      <c r="J373" s="10"/>
      <c r="K373" s="10"/>
      <c r="L373" s="10"/>
      <c r="M373" s="10"/>
      <c r="N373" s="10"/>
      <c r="O373" s="10"/>
      <c r="P373" s="10"/>
      <c r="Q373" s="10"/>
      <c r="R373" s="10"/>
      <c r="S373" s="10"/>
      <c r="T373" s="10"/>
      <c r="U373" s="10"/>
    </row>
    <row r="374" ht="15.75" customHeight="1">
      <c r="A374" s="10"/>
      <c r="B374" s="191"/>
      <c r="C374" s="10"/>
      <c r="D374" s="73"/>
      <c r="E374" s="73"/>
      <c r="F374" s="10"/>
      <c r="G374" s="10"/>
      <c r="H374" s="10"/>
      <c r="I374" s="10"/>
      <c r="J374" s="10"/>
      <c r="K374" s="10"/>
      <c r="L374" s="10"/>
      <c r="M374" s="10"/>
      <c r="N374" s="10"/>
      <c r="O374" s="10"/>
      <c r="P374" s="10"/>
      <c r="Q374" s="10"/>
      <c r="R374" s="10"/>
      <c r="S374" s="10"/>
      <c r="T374" s="10"/>
      <c r="U374" s="10"/>
    </row>
    <row r="375" ht="15.75" customHeight="1">
      <c r="A375" s="10"/>
      <c r="B375" s="191"/>
      <c r="C375" s="10"/>
      <c r="D375" s="73"/>
      <c r="E375" s="73"/>
      <c r="F375" s="10"/>
      <c r="G375" s="10"/>
      <c r="H375" s="10"/>
      <c r="I375" s="10"/>
      <c r="J375" s="10"/>
      <c r="K375" s="10"/>
      <c r="L375" s="10"/>
      <c r="M375" s="10"/>
      <c r="N375" s="10"/>
      <c r="O375" s="10"/>
      <c r="P375" s="10"/>
      <c r="Q375" s="10"/>
      <c r="R375" s="10"/>
      <c r="S375" s="10"/>
      <c r="T375" s="10"/>
      <c r="U375" s="10"/>
    </row>
    <row r="376" ht="15.75" customHeight="1">
      <c r="A376" s="10"/>
      <c r="B376" s="191"/>
      <c r="C376" s="10"/>
      <c r="D376" s="73"/>
      <c r="E376" s="73"/>
      <c r="F376" s="10"/>
      <c r="G376" s="10"/>
      <c r="H376" s="10"/>
      <c r="I376" s="10"/>
      <c r="J376" s="10"/>
      <c r="K376" s="10"/>
      <c r="L376" s="10"/>
      <c r="M376" s="10"/>
      <c r="N376" s="10"/>
      <c r="O376" s="10"/>
      <c r="P376" s="10"/>
      <c r="Q376" s="10"/>
      <c r="R376" s="10"/>
      <c r="S376" s="10"/>
      <c r="T376" s="10"/>
      <c r="U376" s="10"/>
    </row>
    <row r="377" ht="15.75" customHeight="1">
      <c r="A377" s="10"/>
      <c r="B377" s="191"/>
      <c r="C377" s="10"/>
      <c r="D377" s="73"/>
      <c r="E377" s="73"/>
      <c r="F377" s="10"/>
      <c r="G377" s="10"/>
      <c r="H377" s="10"/>
      <c r="I377" s="10"/>
      <c r="J377" s="10"/>
      <c r="K377" s="10"/>
      <c r="L377" s="10"/>
      <c r="M377" s="10"/>
      <c r="N377" s="10"/>
      <c r="O377" s="10"/>
      <c r="P377" s="10"/>
      <c r="Q377" s="10"/>
      <c r="R377" s="10"/>
      <c r="S377" s="10"/>
      <c r="T377" s="10"/>
      <c r="U377" s="10"/>
    </row>
    <row r="378" ht="15.75" customHeight="1">
      <c r="A378" s="10"/>
      <c r="B378" s="191"/>
      <c r="C378" s="10"/>
      <c r="D378" s="73"/>
      <c r="E378" s="73"/>
      <c r="F378" s="10"/>
      <c r="G378" s="10"/>
      <c r="H378" s="10"/>
      <c r="I378" s="10"/>
      <c r="J378" s="10"/>
      <c r="K378" s="10"/>
      <c r="L378" s="10"/>
      <c r="M378" s="10"/>
      <c r="N378" s="10"/>
      <c r="O378" s="10"/>
      <c r="P378" s="10"/>
      <c r="Q378" s="10"/>
      <c r="R378" s="10"/>
      <c r="S378" s="10"/>
      <c r="T378" s="10"/>
      <c r="U378" s="10"/>
    </row>
    <row r="379" ht="15.75" customHeight="1">
      <c r="A379" s="10"/>
      <c r="B379" s="191"/>
      <c r="C379" s="10"/>
      <c r="D379" s="73"/>
      <c r="E379" s="73"/>
      <c r="F379" s="10"/>
      <c r="G379" s="10"/>
      <c r="H379" s="10"/>
      <c r="I379" s="10"/>
      <c r="J379" s="10"/>
      <c r="K379" s="10"/>
      <c r="L379" s="10"/>
      <c r="M379" s="10"/>
      <c r="N379" s="10"/>
      <c r="O379" s="10"/>
      <c r="P379" s="10"/>
      <c r="Q379" s="10"/>
      <c r="R379" s="10"/>
      <c r="S379" s="10"/>
      <c r="T379" s="10"/>
      <c r="U379" s="10"/>
    </row>
    <row r="380" ht="15.75" customHeight="1">
      <c r="A380" s="10"/>
      <c r="B380" s="191"/>
      <c r="C380" s="10"/>
      <c r="D380" s="73"/>
      <c r="E380" s="73"/>
      <c r="F380" s="10"/>
      <c r="G380" s="10"/>
      <c r="H380" s="10"/>
      <c r="I380" s="10"/>
      <c r="J380" s="10"/>
      <c r="K380" s="10"/>
      <c r="L380" s="10"/>
      <c r="M380" s="10"/>
      <c r="N380" s="10"/>
      <c r="O380" s="10"/>
      <c r="P380" s="10"/>
      <c r="Q380" s="10"/>
      <c r="R380" s="10"/>
      <c r="S380" s="10"/>
      <c r="T380" s="10"/>
      <c r="U380" s="10"/>
    </row>
    <row r="381" ht="15.75" customHeight="1">
      <c r="A381" s="10"/>
      <c r="B381" s="191"/>
      <c r="C381" s="10"/>
      <c r="D381" s="73"/>
      <c r="E381" s="73"/>
      <c r="F381" s="10"/>
      <c r="G381" s="10"/>
      <c r="H381" s="10"/>
      <c r="I381" s="10"/>
      <c r="J381" s="10"/>
      <c r="K381" s="10"/>
      <c r="L381" s="10"/>
      <c r="M381" s="10"/>
      <c r="N381" s="10"/>
      <c r="O381" s="10"/>
      <c r="P381" s="10"/>
      <c r="Q381" s="10"/>
      <c r="R381" s="10"/>
      <c r="S381" s="10"/>
      <c r="T381" s="10"/>
      <c r="U381" s="10"/>
    </row>
    <row r="382" ht="15.75" customHeight="1">
      <c r="A382" s="10"/>
      <c r="B382" s="191"/>
      <c r="C382" s="10"/>
      <c r="D382" s="73"/>
      <c r="E382" s="73"/>
      <c r="F382" s="10"/>
      <c r="G382" s="10"/>
      <c r="H382" s="10"/>
      <c r="I382" s="10"/>
      <c r="J382" s="10"/>
      <c r="K382" s="10"/>
      <c r="L382" s="10"/>
      <c r="M382" s="10"/>
      <c r="N382" s="10"/>
      <c r="O382" s="10"/>
      <c r="P382" s="10"/>
      <c r="Q382" s="10"/>
      <c r="R382" s="10"/>
      <c r="S382" s="10"/>
      <c r="T382" s="10"/>
      <c r="U382" s="10"/>
    </row>
    <row r="383" ht="15.75" customHeight="1">
      <c r="A383" s="10"/>
      <c r="B383" s="191"/>
      <c r="C383" s="10"/>
      <c r="D383" s="73"/>
      <c r="E383" s="73"/>
      <c r="F383" s="10"/>
      <c r="G383" s="10"/>
      <c r="H383" s="10"/>
      <c r="I383" s="10"/>
      <c r="J383" s="10"/>
      <c r="K383" s="10"/>
      <c r="L383" s="10"/>
      <c r="M383" s="10"/>
      <c r="N383" s="10"/>
      <c r="O383" s="10"/>
      <c r="P383" s="10"/>
      <c r="Q383" s="10"/>
      <c r="R383" s="10"/>
      <c r="S383" s="10"/>
      <c r="T383" s="10"/>
      <c r="U383" s="10"/>
    </row>
    <row r="384" ht="15.75" customHeight="1">
      <c r="A384" s="10"/>
      <c r="B384" s="191"/>
      <c r="C384" s="10"/>
      <c r="D384" s="73"/>
      <c r="E384" s="73"/>
      <c r="F384" s="10"/>
      <c r="G384" s="10"/>
      <c r="H384" s="10"/>
      <c r="I384" s="10"/>
      <c r="J384" s="10"/>
      <c r="K384" s="10"/>
      <c r="L384" s="10"/>
      <c r="M384" s="10"/>
      <c r="N384" s="10"/>
      <c r="O384" s="10"/>
      <c r="P384" s="10"/>
      <c r="Q384" s="10"/>
      <c r="R384" s="10"/>
      <c r="S384" s="10"/>
      <c r="T384" s="10"/>
      <c r="U384" s="10"/>
    </row>
    <row r="385" ht="15.75" customHeight="1">
      <c r="A385" s="10"/>
      <c r="B385" s="191"/>
      <c r="C385" s="10"/>
      <c r="D385" s="73"/>
      <c r="E385" s="73"/>
      <c r="F385" s="10"/>
      <c r="G385" s="10"/>
      <c r="H385" s="10"/>
      <c r="I385" s="10"/>
      <c r="J385" s="10"/>
      <c r="K385" s="10"/>
      <c r="L385" s="10"/>
      <c r="M385" s="10"/>
      <c r="N385" s="10"/>
      <c r="O385" s="10"/>
      <c r="P385" s="10"/>
      <c r="Q385" s="10"/>
      <c r="R385" s="10"/>
      <c r="S385" s="10"/>
      <c r="T385" s="10"/>
      <c r="U385" s="10"/>
    </row>
    <row r="386" ht="15.75" customHeight="1">
      <c r="A386" s="10"/>
      <c r="B386" s="191"/>
      <c r="C386" s="10"/>
      <c r="D386" s="73"/>
      <c r="E386" s="73"/>
      <c r="F386" s="10"/>
      <c r="G386" s="10"/>
      <c r="H386" s="10"/>
      <c r="I386" s="10"/>
      <c r="J386" s="10"/>
      <c r="K386" s="10"/>
      <c r="L386" s="10"/>
      <c r="M386" s="10"/>
      <c r="N386" s="10"/>
      <c r="O386" s="10"/>
      <c r="P386" s="10"/>
      <c r="Q386" s="10"/>
      <c r="R386" s="10"/>
      <c r="S386" s="10"/>
      <c r="T386" s="10"/>
      <c r="U386" s="10"/>
    </row>
    <row r="387" ht="15.75" customHeight="1">
      <c r="A387" s="10"/>
      <c r="B387" s="191"/>
      <c r="C387" s="10"/>
      <c r="D387" s="73"/>
      <c r="E387" s="73"/>
      <c r="F387" s="10"/>
      <c r="G387" s="10"/>
      <c r="H387" s="10"/>
      <c r="I387" s="10"/>
      <c r="J387" s="10"/>
      <c r="K387" s="10"/>
      <c r="L387" s="10"/>
      <c r="M387" s="10"/>
      <c r="N387" s="10"/>
      <c r="O387" s="10"/>
      <c r="P387" s="10"/>
      <c r="Q387" s="10"/>
      <c r="R387" s="10"/>
      <c r="S387" s="10"/>
      <c r="T387" s="10"/>
      <c r="U387" s="10"/>
    </row>
    <row r="388" ht="15.75" customHeight="1">
      <c r="A388" s="10"/>
      <c r="B388" s="191"/>
      <c r="C388" s="10"/>
      <c r="D388" s="73"/>
      <c r="E388" s="73"/>
      <c r="F388" s="10"/>
      <c r="G388" s="10"/>
      <c r="H388" s="10"/>
      <c r="I388" s="10"/>
      <c r="J388" s="10"/>
      <c r="K388" s="10"/>
      <c r="L388" s="10"/>
      <c r="M388" s="10"/>
      <c r="N388" s="10"/>
      <c r="O388" s="10"/>
      <c r="P388" s="10"/>
      <c r="Q388" s="10"/>
      <c r="R388" s="10"/>
      <c r="S388" s="10"/>
      <c r="T388" s="10"/>
      <c r="U388" s="10"/>
    </row>
    <row r="389" ht="15.75" customHeight="1">
      <c r="A389" s="10"/>
      <c r="B389" s="191"/>
      <c r="C389" s="10"/>
      <c r="D389" s="73"/>
      <c r="E389" s="73"/>
      <c r="F389" s="10"/>
      <c r="G389" s="10"/>
      <c r="H389" s="10"/>
      <c r="I389" s="10"/>
      <c r="J389" s="10"/>
      <c r="K389" s="10"/>
      <c r="L389" s="10"/>
      <c r="M389" s="10"/>
      <c r="N389" s="10"/>
      <c r="O389" s="10"/>
      <c r="P389" s="10"/>
      <c r="Q389" s="10"/>
      <c r="R389" s="10"/>
      <c r="S389" s="10"/>
      <c r="T389" s="10"/>
      <c r="U389" s="10"/>
    </row>
    <row r="390" ht="15.75" customHeight="1">
      <c r="A390" s="10"/>
      <c r="B390" s="191"/>
      <c r="C390" s="10"/>
      <c r="D390" s="73"/>
      <c r="E390" s="73"/>
      <c r="F390" s="10"/>
      <c r="G390" s="10"/>
      <c r="H390" s="10"/>
      <c r="I390" s="10"/>
      <c r="J390" s="10"/>
      <c r="K390" s="10"/>
      <c r="L390" s="10"/>
      <c r="M390" s="10"/>
      <c r="N390" s="10"/>
      <c r="O390" s="10"/>
      <c r="P390" s="10"/>
      <c r="Q390" s="10"/>
      <c r="R390" s="10"/>
      <c r="S390" s="10"/>
      <c r="T390" s="10"/>
      <c r="U390" s="10"/>
    </row>
    <row r="391" ht="15.75" customHeight="1">
      <c r="A391" s="10"/>
      <c r="B391" s="191"/>
      <c r="C391" s="10"/>
      <c r="D391" s="73"/>
      <c r="E391" s="73"/>
      <c r="F391" s="10"/>
      <c r="G391" s="10"/>
      <c r="H391" s="10"/>
      <c r="I391" s="10"/>
      <c r="J391" s="10"/>
      <c r="K391" s="10"/>
      <c r="L391" s="10"/>
      <c r="M391" s="10"/>
      <c r="N391" s="10"/>
      <c r="O391" s="10"/>
      <c r="P391" s="10"/>
      <c r="Q391" s="10"/>
      <c r="R391" s="10"/>
      <c r="S391" s="10"/>
      <c r="T391" s="10"/>
      <c r="U391" s="10"/>
    </row>
    <row r="392" ht="15.75" customHeight="1">
      <c r="A392" s="10"/>
      <c r="B392" s="191"/>
      <c r="C392" s="10"/>
      <c r="D392" s="73"/>
      <c r="E392" s="73"/>
      <c r="F392" s="10"/>
      <c r="G392" s="10"/>
      <c r="H392" s="10"/>
      <c r="I392" s="10"/>
      <c r="J392" s="10"/>
      <c r="K392" s="10"/>
      <c r="L392" s="10"/>
      <c r="M392" s="10"/>
      <c r="N392" s="10"/>
      <c r="O392" s="10"/>
      <c r="P392" s="10"/>
      <c r="Q392" s="10"/>
      <c r="R392" s="10"/>
      <c r="S392" s="10"/>
      <c r="T392" s="10"/>
      <c r="U392" s="10"/>
    </row>
    <row r="393" ht="15.75" customHeight="1">
      <c r="A393" s="10"/>
      <c r="B393" s="191"/>
      <c r="C393" s="10"/>
      <c r="D393" s="73"/>
      <c r="E393" s="73"/>
      <c r="F393" s="10"/>
      <c r="G393" s="10"/>
      <c r="H393" s="10"/>
      <c r="I393" s="10"/>
      <c r="J393" s="10"/>
      <c r="K393" s="10"/>
      <c r="L393" s="10"/>
      <c r="M393" s="10"/>
      <c r="N393" s="10"/>
      <c r="O393" s="10"/>
      <c r="P393" s="10"/>
      <c r="Q393" s="10"/>
      <c r="R393" s="10"/>
      <c r="S393" s="10"/>
      <c r="T393" s="10"/>
      <c r="U393" s="10"/>
    </row>
    <row r="394" ht="15.75" customHeight="1">
      <c r="A394" s="10"/>
      <c r="B394" s="191"/>
      <c r="C394" s="10"/>
      <c r="D394" s="73"/>
      <c r="E394" s="73"/>
      <c r="F394" s="10"/>
      <c r="G394" s="10"/>
      <c r="H394" s="10"/>
      <c r="I394" s="10"/>
      <c r="J394" s="10"/>
      <c r="K394" s="10"/>
      <c r="L394" s="10"/>
      <c r="M394" s="10"/>
      <c r="N394" s="10"/>
      <c r="O394" s="10"/>
      <c r="P394" s="10"/>
      <c r="Q394" s="10"/>
      <c r="R394" s="10"/>
      <c r="S394" s="10"/>
      <c r="T394" s="10"/>
      <c r="U394" s="10"/>
    </row>
    <row r="395" ht="15.75" customHeight="1">
      <c r="A395" s="10"/>
      <c r="B395" s="191"/>
      <c r="C395" s="10"/>
      <c r="D395" s="73"/>
      <c r="E395" s="73"/>
      <c r="F395" s="10"/>
      <c r="G395" s="10"/>
      <c r="H395" s="10"/>
      <c r="I395" s="10"/>
      <c r="J395" s="10"/>
      <c r="K395" s="10"/>
      <c r="L395" s="10"/>
      <c r="M395" s="10"/>
      <c r="N395" s="10"/>
      <c r="O395" s="10"/>
      <c r="P395" s="10"/>
      <c r="Q395" s="10"/>
      <c r="R395" s="10"/>
      <c r="S395" s="10"/>
      <c r="T395" s="10"/>
      <c r="U395" s="10"/>
    </row>
    <row r="396" ht="15.75" customHeight="1">
      <c r="A396" s="10"/>
      <c r="B396" s="191"/>
      <c r="C396" s="10"/>
      <c r="D396" s="73"/>
      <c r="E396" s="73"/>
      <c r="F396" s="10"/>
      <c r="G396" s="10"/>
      <c r="H396" s="10"/>
      <c r="I396" s="10"/>
      <c r="J396" s="10"/>
      <c r="K396" s="10"/>
      <c r="L396" s="10"/>
      <c r="M396" s="10"/>
      <c r="N396" s="10"/>
      <c r="O396" s="10"/>
      <c r="P396" s="10"/>
      <c r="Q396" s="10"/>
      <c r="R396" s="10"/>
      <c r="S396" s="10"/>
      <c r="T396" s="10"/>
      <c r="U396" s="10"/>
    </row>
    <row r="397" ht="15.75" customHeight="1">
      <c r="A397" s="10"/>
      <c r="B397" s="191"/>
      <c r="C397" s="10"/>
      <c r="D397" s="73"/>
      <c r="E397" s="73"/>
      <c r="F397" s="10"/>
      <c r="G397" s="10"/>
      <c r="H397" s="10"/>
      <c r="I397" s="10"/>
      <c r="J397" s="10"/>
      <c r="K397" s="10"/>
      <c r="L397" s="10"/>
      <c r="M397" s="10"/>
      <c r="N397" s="10"/>
      <c r="O397" s="10"/>
      <c r="P397" s="10"/>
      <c r="Q397" s="10"/>
      <c r="R397" s="10"/>
      <c r="S397" s="10"/>
      <c r="T397" s="10"/>
      <c r="U397" s="10"/>
    </row>
    <row r="398" ht="15.75" customHeight="1">
      <c r="A398" s="10"/>
      <c r="B398" s="191"/>
      <c r="C398" s="10"/>
      <c r="D398" s="73"/>
      <c r="E398" s="73"/>
      <c r="F398" s="10"/>
      <c r="G398" s="10"/>
      <c r="H398" s="10"/>
      <c r="I398" s="10"/>
      <c r="J398" s="10"/>
      <c r="K398" s="10"/>
      <c r="L398" s="10"/>
      <c r="M398" s="10"/>
      <c r="N398" s="10"/>
      <c r="O398" s="10"/>
      <c r="P398" s="10"/>
      <c r="Q398" s="10"/>
      <c r="R398" s="10"/>
      <c r="S398" s="10"/>
      <c r="T398" s="10"/>
      <c r="U398" s="10"/>
    </row>
    <row r="399" ht="15.75" customHeight="1">
      <c r="A399" s="10"/>
      <c r="B399" s="191"/>
      <c r="C399" s="10"/>
      <c r="D399" s="73"/>
      <c r="E399" s="73"/>
      <c r="F399" s="10"/>
      <c r="G399" s="10"/>
      <c r="H399" s="10"/>
      <c r="I399" s="10"/>
      <c r="J399" s="10"/>
      <c r="K399" s="10"/>
      <c r="L399" s="10"/>
      <c r="M399" s="10"/>
      <c r="N399" s="10"/>
      <c r="O399" s="10"/>
      <c r="P399" s="10"/>
      <c r="Q399" s="10"/>
      <c r="R399" s="10"/>
      <c r="S399" s="10"/>
      <c r="T399" s="10"/>
      <c r="U399" s="10"/>
    </row>
    <row r="400" ht="15.75" customHeight="1">
      <c r="A400" s="10"/>
      <c r="B400" s="191"/>
      <c r="C400" s="10"/>
      <c r="D400" s="73"/>
      <c r="E400" s="73"/>
      <c r="F400" s="10"/>
      <c r="G400" s="10"/>
      <c r="H400" s="10"/>
      <c r="I400" s="10"/>
      <c r="J400" s="10"/>
      <c r="K400" s="10"/>
      <c r="L400" s="10"/>
      <c r="M400" s="10"/>
      <c r="N400" s="10"/>
      <c r="O400" s="10"/>
      <c r="P400" s="10"/>
      <c r="Q400" s="10"/>
      <c r="R400" s="10"/>
      <c r="S400" s="10"/>
      <c r="T400" s="10"/>
      <c r="U400" s="10"/>
    </row>
    <row r="401" ht="15.75" customHeight="1">
      <c r="A401" s="10"/>
      <c r="B401" s="191"/>
      <c r="C401" s="10"/>
      <c r="D401" s="73"/>
      <c r="E401" s="73"/>
      <c r="F401" s="10"/>
      <c r="G401" s="10"/>
      <c r="H401" s="10"/>
      <c r="I401" s="10"/>
      <c r="J401" s="10"/>
      <c r="K401" s="10"/>
      <c r="L401" s="10"/>
      <c r="M401" s="10"/>
      <c r="N401" s="10"/>
      <c r="O401" s="10"/>
      <c r="P401" s="10"/>
      <c r="Q401" s="10"/>
      <c r="R401" s="10"/>
      <c r="S401" s="10"/>
      <c r="T401" s="10"/>
      <c r="U401" s="10"/>
    </row>
    <row r="402" ht="15.75" customHeight="1">
      <c r="A402" s="10"/>
      <c r="B402" s="191"/>
      <c r="C402" s="10"/>
      <c r="D402" s="73"/>
      <c r="E402" s="73"/>
      <c r="F402" s="10"/>
      <c r="G402" s="10"/>
      <c r="H402" s="10"/>
      <c r="I402" s="10"/>
      <c r="J402" s="10"/>
      <c r="K402" s="10"/>
      <c r="L402" s="10"/>
      <c r="M402" s="10"/>
      <c r="N402" s="10"/>
      <c r="O402" s="10"/>
      <c r="P402" s="10"/>
      <c r="Q402" s="10"/>
      <c r="R402" s="10"/>
      <c r="S402" s="10"/>
      <c r="T402" s="10"/>
      <c r="U402" s="10"/>
    </row>
    <row r="403" ht="15.75" customHeight="1">
      <c r="A403" s="10"/>
      <c r="B403" s="191"/>
      <c r="C403" s="10"/>
      <c r="D403" s="73"/>
      <c r="E403" s="73"/>
      <c r="F403" s="10"/>
      <c r="G403" s="10"/>
      <c r="H403" s="10"/>
      <c r="I403" s="10"/>
      <c r="J403" s="10"/>
      <c r="K403" s="10"/>
      <c r="L403" s="10"/>
      <c r="M403" s="10"/>
      <c r="N403" s="10"/>
      <c r="O403" s="10"/>
      <c r="P403" s="10"/>
      <c r="Q403" s="10"/>
      <c r="R403" s="10"/>
      <c r="S403" s="10"/>
      <c r="T403" s="10"/>
      <c r="U403" s="10"/>
    </row>
    <row r="404" ht="15.75" customHeight="1">
      <c r="A404" s="10"/>
      <c r="B404" s="191"/>
      <c r="C404" s="10"/>
      <c r="D404" s="73"/>
      <c r="E404" s="73"/>
      <c r="F404" s="10"/>
      <c r="G404" s="10"/>
      <c r="H404" s="10"/>
      <c r="I404" s="10"/>
      <c r="J404" s="10"/>
      <c r="K404" s="10"/>
      <c r="L404" s="10"/>
      <c r="M404" s="10"/>
      <c r="N404" s="10"/>
      <c r="O404" s="10"/>
      <c r="P404" s="10"/>
      <c r="Q404" s="10"/>
      <c r="R404" s="10"/>
      <c r="S404" s="10"/>
      <c r="T404" s="10"/>
      <c r="U404" s="10"/>
    </row>
    <row r="405" ht="15.75" customHeight="1">
      <c r="A405" s="10"/>
      <c r="B405" s="191"/>
      <c r="C405" s="10"/>
      <c r="D405" s="73"/>
      <c r="E405" s="73"/>
      <c r="F405" s="10"/>
      <c r="G405" s="10"/>
      <c r="H405" s="10"/>
      <c r="I405" s="10"/>
      <c r="J405" s="10"/>
      <c r="K405" s="10"/>
      <c r="L405" s="10"/>
      <c r="M405" s="10"/>
      <c r="N405" s="10"/>
      <c r="O405" s="10"/>
      <c r="P405" s="10"/>
      <c r="Q405" s="10"/>
      <c r="R405" s="10"/>
      <c r="S405" s="10"/>
      <c r="T405" s="10"/>
      <c r="U405" s="10"/>
    </row>
    <row r="406" ht="15.75" customHeight="1">
      <c r="A406" s="10"/>
      <c r="B406" s="191"/>
      <c r="C406" s="10"/>
      <c r="D406" s="73"/>
      <c r="E406" s="73"/>
      <c r="F406" s="10"/>
      <c r="G406" s="10"/>
      <c r="H406" s="10"/>
      <c r="I406" s="10"/>
      <c r="J406" s="10"/>
      <c r="K406" s="10"/>
      <c r="L406" s="10"/>
      <c r="M406" s="10"/>
      <c r="N406" s="10"/>
      <c r="O406" s="10"/>
      <c r="P406" s="10"/>
      <c r="Q406" s="10"/>
      <c r="R406" s="10"/>
      <c r="S406" s="10"/>
      <c r="T406" s="10"/>
      <c r="U406" s="10"/>
    </row>
    <row r="407" ht="15.75" customHeight="1">
      <c r="A407" s="10"/>
      <c r="B407" s="191"/>
      <c r="C407" s="10"/>
      <c r="D407" s="73"/>
      <c r="E407" s="73"/>
      <c r="F407" s="10"/>
      <c r="G407" s="10"/>
      <c r="H407" s="10"/>
      <c r="I407" s="10"/>
      <c r="J407" s="10"/>
      <c r="K407" s="10"/>
      <c r="L407" s="10"/>
      <c r="M407" s="10"/>
      <c r="N407" s="10"/>
      <c r="O407" s="10"/>
      <c r="P407" s="10"/>
      <c r="Q407" s="10"/>
      <c r="R407" s="10"/>
      <c r="S407" s="10"/>
      <c r="T407" s="10"/>
      <c r="U407" s="10"/>
    </row>
    <row r="408" ht="15.75" customHeight="1">
      <c r="A408" s="10"/>
      <c r="B408" s="191"/>
      <c r="C408" s="10"/>
      <c r="D408" s="73"/>
      <c r="E408" s="73"/>
      <c r="F408" s="10"/>
      <c r="G408" s="10"/>
      <c r="H408" s="10"/>
      <c r="I408" s="10"/>
      <c r="J408" s="10"/>
      <c r="K408" s="10"/>
      <c r="L408" s="10"/>
      <c r="M408" s="10"/>
      <c r="N408" s="10"/>
      <c r="O408" s="10"/>
      <c r="P408" s="10"/>
      <c r="Q408" s="10"/>
      <c r="R408" s="10"/>
      <c r="S408" s="10"/>
      <c r="T408" s="10"/>
      <c r="U408" s="10"/>
    </row>
    <row r="409" ht="15.75" customHeight="1">
      <c r="A409" s="10"/>
      <c r="B409" s="191"/>
      <c r="C409" s="10"/>
      <c r="D409" s="73"/>
      <c r="E409" s="73"/>
      <c r="F409" s="10"/>
      <c r="G409" s="10"/>
      <c r="H409" s="10"/>
      <c r="I409" s="10"/>
      <c r="J409" s="10"/>
      <c r="K409" s="10"/>
      <c r="L409" s="10"/>
      <c r="M409" s="10"/>
      <c r="N409" s="10"/>
      <c r="O409" s="10"/>
      <c r="P409" s="10"/>
      <c r="Q409" s="10"/>
      <c r="R409" s="10"/>
      <c r="S409" s="10"/>
      <c r="T409" s="10"/>
      <c r="U409" s="10"/>
    </row>
    <row r="410" ht="15.75" customHeight="1">
      <c r="A410" s="10"/>
      <c r="B410" s="191"/>
      <c r="C410" s="10"/>
      <c r="D410" s="73"/>
      <c r="E410" s="73"/>
      <c r="F410" s="10"/>
      <c r="G410" s="10"/>
      <c r="H410" s="10"/>
      <c r="I410" s="10"/>
      <c r="J410" s="10"/>
      <c r="K410" s="10"/>
      <c r="L410" s="10"/>
      <c r="M410" s="10"/>
      <c r="N410" s="10"/>
      <c r="O410" s="10"/>
      <c r="P410" s="10"/>
      <c r="Q410" s="10"/>
      <c r="R410" s="10"/>
      <c r="S410" s="10"/>
      <c r="T410" s="10"/>
      <c r="U410" s="10"/>
    </row>
    <row r="411" ht="15.75" customHeight="1">
      <c r="A411" s="10"/>
      <c r="B411" s="191"/>
      <c r="C411" s="10"/>
      <c r="D411" s="73"/>
      <c r="E411" s="73"/>
      <c r="F411" s="10"/>
      <c r="G411" s="10"/>
      <c r="H411" s="10"/>
      <c r="I411" s="10"/>
      <c r="J411" s="10"/>
      <c r="K411" s="10"/>
      <c r="L411" s="10"/>
      <c r="M411" s="10"/>
      <c r="N411" s="10"/>
      <c r="O411" s="10"/>
      <c r="P411" s="10"/>
      <c r="Q411" s="10"/>
      <c r="R411" s="10"/>
      <c r="S411" s="10"/>
      <c r="T411" s="10"/>
      <c r="U411" s="10"/>
    </row>
    <row r="412" ht="15.75" customHeight="1">
      <c r="A412" s="10"/>
      <c r="B412" s="191"/>
      <c r="C412" s="10"/>
      <c r="D412" s="73"/>
      <c r="E412" s="73"/>
      <c r="F412" s="10"/>
      <c r="G412" s="10"/>
      <c r="H412" s="10"/>
      <c r="I412" s="10"/>
      <c r="J412" s="10"/>
      <c r="K412" s="10"/>
      <c r="L412" s="10"/>
      <c r="M412" s="10"/>
      <c r="N412" s="10"/>
      <c r="O412" s="10"/>
      <c r="P412" s="10"/>
      <c r="Q412" s="10"/>
      <c r="R412" s="10"/>
      <c r="S412" s="10"/>
      <c r="T412" s="10"/>
      <c r="U412" s="10"/>
    </row>
    <row r="413" ht="15.75" customHeight="1">
      <c r="A413" s="10"/>
      <c r="B413" s="191"/>
      <c r="C413" s="10"/>
      <c r="D413" s="73"/>
      <c r="E413" s="73"/>
      <c r="F413" s="10"/>
      <c r="G413" s="10"/>
      <c r="H413" s="10"/>
      <c r="I413" s="10"/>
      <c r="J413" s="10"/>
      <c r="K413" s="10"/>
      <c r="L413" s="10"/>
      <c r="M413" s="10"/>
      <c r="N413" s="10"/>
      <c r="O413" s="10"/>
      <c r="P413" s="10"/>
      <c r="Q413" s="10"/>
      <c r="R413" s="10"/>
      <c r="S413" s="10"/>
      <c r="T413" s="10"/>
      <c r="U413" s="10"/>
    </row>
    <row r="414" ht="15.75" customHeight="1">
      <c r="A414" s="10"/>
      <c r="B414" s="191"/>
      <c r="C414" s="10"/>
      <c r="D414" s="73"/>
      <c r="E414" s="73"/>
      <c r="F414" s="10"/>
      <c r="G414" s="10"/>
      <c r="H414" s="10"/>
      <c r="I414" s="10"/>
      <c r="J414" s="10"/>
      <c r="K414" s="10"/>
      <c r="L414" s="10"/>
      <c r="M414" s="10"/>
      <c r="N414" s="10"/>
      <c r="O414" s="10"/>
      <c r="P414" s="10"/>
      <c r="Q414" s="10"/>
      <c r="R414" s="10"/>
      <c r="S414" s="10"/>
      <c r="T414" s="10"/>
      <c r="U414" s="10"/>
    </row>
    <row r="415" ht="15.75" customHeight="1">
      <c r="A415" s="10"/>
      <c r="B415" s="191"/>
      <c r="C415" s="10"/>
      <c r="D415" s="73"/>
      <c r="E415" s="73"/>
      <c r="F415" s="10"/>
      <c r="G415" s="10"/>
      <c r="H415" s="10"/>
      <c r="I415" s="10"/>
      <c r="J415" s="10"/>
      <c r="K415" s="10"/>
      <c r="L415" s="10"/>
      <c r="M415" s="10"/>
      <c r="N415" s="10"/>
      <c r="O415" s="10"/>
      <c r="P415" s="10"/>
      <c r="Q415" s="10"/>
      <c r="R415" s="10"/>
      <c r="S415" s="10"/>
      <c r="T415" s="10"/>
      <c r="U415" s="10"/>
    </row>
    <row r="416" ht="15.75" customHeight="1">
      <c r="A416" s="10"/>
      <c r="B416" s="191"/>
      <c r="C416" s="10"/>
      <c r="D416" s="73"/>
      <c r="E416" s="73"/>
      <c r="F416" s="10"/>
      <c r="G416" s="10"/>
      <c r="H416" s="10"/>
      <c r="I416" s="10"/>
      <c r="J416" s="10"/>
      <c r="K416" s="10"/>
      <c r="L416" s="10"/>
      <c r="M416" s="10"/>
      <c r="N416" s="10"/>
      <c r="O416" s="10"/>
      <c r="P416" s="10"/>
      <c r="Q416" s="10"/>
      <c r="R416" s="10"/>
      <c r="S416" s="10"/>
      <c r="T416" s="10"/>
      <c r="U416" s="10"/>
    </row>
    <row r="417" ht="15.75" customHeight="1">
      <c r="A417" s="10"/>
      <c r="B417" s="191"/>
      <c r="C417" s="10"/>
      <c r="D417" s="73"/>
      <c r="E417" s="73"/>
      <c r="F417" s="10"/>
      <c r="G417" s="10"/>
      <c r="H417" s="10"/>
      <c r="I417" s="10"/>
      <c r="J417" s="10"/>
      <c r="K417" s="10"/>
      <c r="L417" s="10"/>
      <c r="M417" s="10"/>
      <c r="N417" s="10"/>
      <c r="O417" s="10"/>
      <c r="P417" s="10"/>
      <c r="Q417" s="10"/>
      <c r="R417" s="10"/>
      <c r="S417" s="10"/>
      <c r="T417" s="10"/>
      <c r="U417" s="10"/>
    </row>
    <row r="418" ht="15.75" customHeight="1">
      <c r="A418" s="10"/>
      <c r="B418" s="191"/>
      <c r="C418" s="10"/>
      <c r="D418" s="73"/>
      <c r="E418" s="73"/>
      <c r="F418" s="10"/>
      <c r="G418" s="10"/>
      <c r="H418" s="10"/>
      <c r="I418" s="10"/>
      <c r="J418" s="10"/>
      <c r="K418" s="10"/>
      <c r="L418" s="10"/>
      <c r="M418" s="10"/>
      <c r="N418" s="10"/>
      <c r="O418" s="10"/>
      <c r="P418" s="10"/>
      <c r="Q418" s="10"/>
      <c r="R418" s="10"/>
      <c r="S418" s="10"/>
      <c r="T418" s="10"/>
      <c r="U418" s="10"/>
    </row>
    <row r="419" ht="15.75" customHeight="1">
      <c r="A419" s="10"/>
      <c r="B419" s="191"/>
      <c r="C419" s="10"/>
      <c r="D419" s="73"/>
      <c r="E419" s="73"/>
      <c r="F419" s="10"/>
      <c r="G419" s="10"/>
      <c r="H419" s="10"/>
      <c r="I419" s="10"/>
      <c r="J419" s="10"/>
      <c r="K419" s="10"/>
      <c r="L419" s="10"/>
      <c r="M419" s="10"/>
      <c r="N419" s="10"/>
      <c r="O419" s="10"/>
      <c r="P419" s="10"/>
      <c r="Q419" s="10"/>
      <c r="R419" s="10"/>
      <c r="S419" s="10"/>
      <c r="T419" s="10"/>
      <c r="U419" s="10"/>
    </row>
    <row r="420" ht="15.75" customHeight="1">
      <c r="A420" s="10"/>
      <c r="B420" s="191"/>
      <c r="C420" s="10"/>
      <c r="D420" s="73"/>
      <c r="E420" s="73"/>
      <c r="F420" s="10"/>
      <c r="G420" s="10"/>
      <c r="H420" s="10"/>
      <c r="I420" s="10"/>
      <c r="J420" s="10"/>
      <c r="K420" s="10"/>
      <c r="L420" s="10"/>
      <c r="M420" s="10"/>
      <c r="N420" s="10"/>
      <c r="O420" s="10"/>
      <c r="P420" s="10"/>
      <c r="Q420" s="10"/>
      <c r="R420" s="10"/>
      <c r="S420" s="10"/>
      <c r="T420" s="10"/>
      <c r="U420" s="10"/>
    </row>
    <row r="421" ht="15.75" customHeight="1">
      <c r="A421" s="10"/>
      <c r="B421" s="191"/>
      <c r="C421" s="10"/>
      <c r="D421" s="73"/>
      <c r="E421" s="73"/>
      <c r="F421" s="10"/>
      <c r="G421" s="10"/>
      <c r="H421" s="10"/>
      <c r="I421" s="10"/>
      <c r="J421" s="10"/>
      <c r="K421" s="10"/>
      <c r="L421" s="10"/>
      <c r="M421" s="10"/>
      <c r="N421" s="10"/>
      <c r="O421" s="10"/>
      <c r="P421" s="10"/>
      <c r="Q421" s="10"/>
      <c r="R421" s="10"/>
      <c r="S421" s="10"/>
      <c r="T421" s="10"/>
      <c r="U421" s="10"/>
    </row>
    <row r="422" ht="15.75" customHeight="1">
      <c r="A422" s="10"/>
      <c r="B422" s="191"/>
      <c r="C422" s="10"/>
      <c r="D422" s="73"/>
      <c r="E422" s="73"/>
      <c r="F422" s="10"/>
      <c r="G422" s="10"/>
      <c r="H422" s="10"/>
      <c r="I422" s="10"/>
      <c r="J422" s="10"/>
      <c r="K422" s="10"/>
      <c r="L422" s="10"/>
      <c r="M422" s="10"/>
      <c r="N422" s="10"/>
      <c r="O422" s="10"/>
      <c r="P422" s="10"/>
      <c r="Q422" s="10"/>
      <c r="R422" s="10"/>
      <c r="S422" s="10"/>
      <c r="T422" s="10"/>
      <c r="U422" s="10"/>
    </row>
    <row r="423" ht="15.75" customHeight="1">
      <c r="A423" s="10"/>
      <c r="B423" s="191"/>
      <c r="C423" s="10"/>
      <c r="D423" s="73"/>
      <c r="E423" s="73"/>
      <c r="F423" s="10"/>
      <c r="G423" s="10"/>
      <c r="H423" s="10"/>
      <c r="I423" s="10"/>
      <c r="J423" s="10"/>
      <c r="K423" s="10"/>
      <c r="L423" s="10"/>
      <c r="M423" s="10"/>
      <c r="N423" s="10"/>
      <c r="O423" s="10"/>
      <c r="P423" s="10"/>
      <c r="Q423" s="10"/>
      <c r="R423" s="10"/>
      <c r="S423" s="10"/>
      <c r="T423" s="10"/>
      <c r="U423" s="10"/>
    </row>
    <row r="424" ht="15.75" customHeight="1">
      <c r="A424" s="10"/>
      <c r="B424" s="191"/>
      <c r="C424" s="10"/>
      <c r="D424" s="73"/>
      <c r="E424" s="73"/>
      <c r="F424" s="10"/>
      <c r="G424" s="10"/>
      <c r="H424" s="10"/>
      <c r="I424" s="10"/>
      <c r="J424" s="10"/>
      <c r="K424" s="10"/>
      <c r="L424" s="10"/>
      <c r="M424" s="10"/>
      <c r="N424" s="10"/>
      <c r="O424" s="10"/>
      <c r="P424" s="10"/>
      <c r="Q424" s="10"/>
      <c r="R424" s="10"/>
      <c r="S424" s="10"/>
      <c r="T424" s="10"/>
      <c r="U424" s="10"/>
    </row>
    <row r="425" ht="15.75" customHeight="1">
      <c r="A425" s="10"/>
      <c r="B425" s="191"/>
      <c r="C425" s="10"/>
      <c r="D425" s="73"/>
      <c r="E425" s="73"/>
      <c r="F425" s="10"/>
      <c r="G425" s="10"/>
      <c r="H425" s="10"/>
      <c r="I425" s="10"/>
      <c r="J425" s="10"/>
      <c r="K425" s="10"/>
      <c r="L425" s="10"/>
      <c r="M425" s="10"/>
      <c r="N425" s="10"/>
      <c r="O425" s="10"/>
      <c r="P425" s="10"/>
      <c r="Q425" s="10"/>
      <c r="R425" s="10"/>
      <c r="S425" s="10"/>
      <c r="T425" s="10"/>
      <c r="U425" s="10"/>
    </row>
    <row r="426" ht="15.75" customHeight="1">
      <c r="A426" s="10"/>
      <c r="B426" s="191"/>
      <c r="C426" s="10"/>
      <c r="D426" s="73"/>
      <c r="E426" s="73"/>
      <c r="F426" s="10"/>
      <c r="G426" s="10"/>
      <c r="H426" s="10"/>
      <c r="I426" s="10"/>
      <c r="J426" s="10"/>
      <c r="K426" s="10"/>
      <c r="L426" s="10"/>
      <c r="M426" s="10"/>
      <c r="N426" s="10"/>
      <c r="O426" s="10"/>
      <c r="P426" s="10"/>
      <c r="Q426" s="10"/>
      <c r="R426" s="10"/>
      <c r="S426" s="10"/>
      <c r="T426" s="10"/>
      <c r="U426" s="10"/>
    </row>
    <row r="427" ht="15.75" customHeight="1">
      <c r="A427" s="10"/>
      <c r="B427" s="191"/>
      <c r="C427" s="10"/>
      <c r="D427" s="73"/>
      <c r="E427" s="73"/>
      <c r="F427" s="10"/>
      <c r="G427" s="10"/>
      <c r="H427" s="10"/>
      <c r="I427" s="10"/>
      <c r="J427" s="10"/>
      <c r="K427" s="10"/>
      <c r="L427" s="10"/>
      <c r="M427" s="10"/>
      <c r="N427" s="10"/>
      <c r="O427" s="10"/>
      <c r="P427" s="10"/>
      <c r="Q427" s="10"/>
      <c r="R427" s="10"/>
      <c r="S427" s="10"/>
      <c r="T427" s="10"/>
      <c r="U427" s="10"/>
    </row>
    <row r="428" ht="15.75" customHeight="1">
      <c r="A428" s="10"/>
      <c r="B428" s="191"/>
      <c r="C428" s="10"/>
      <c r="D428" s="73"/>
      <c r="E428" s="73"/>
      <c r="F428" s="10"/>
      <c r="G428" s="10"/>
      <c r="H428" s="10"/>
      <c r="I428" s="10"/>
      <c r="J428" s="10"/>
      <c r="K428" s="10"/>
      <c r="L428" s="10"/>
      <c r="M428" s="10"/>
      <c r="N428" s="10"/>
      <c r="O428" s="10"/>
      <c r="P428" s="10"/>
      <c r="Q428" s="10"/>
      <c r="R428" s="10"/>
      <c r="S428" s="10"/>
      <c r="T428" s="10"/>
      <c r="U428" s="10"/>
    </row>
    <row r="429" ht="15.75" customHeight="1">
      <c r="A429" s="10"/>
      <c r="B429" s="191"/>
      <c r="C429" s="10"/>
      <c r="D429" s="73"/>
      <c r="E429" s="73"/>
      <c r="F429" s="10"/>
      <c r="G429" s="10"/>
      <c r="H429" s="10"/>
      <c r="I429" s="10"/>
      <c r="J429" s="10"/>
      <c r="K429" s="10"/>
      <c r="L429" s="10"/>
      <c r="M429" s="10"/>
      <c r="N429" s="10"/>
      <c r="O429" s="10"/>
      <c r="P429" s="10"/>
      <c r="Q429" s="10"/>
      <c r="R429" s="10"/>
      <c r="S429" s="10"/>
      <c r="T429" s="10"/>
      <c r="U429" s="10"/>
    </row>
    <row r="430" ht="15.75" customHeight="1">
      <c r="A430" s="10"/>
      <c r="B430" s="191"/>
      <c r="C430" s="10"/>
      <c r="D430" s="73"/>
      <c r="E430" s="73"/>
      <c r="F430" s="10"/>
      <c r="G430" s="10"/>
      <c r="H430" s="10"/>
      <c r="I430" s="10"/>
      <c r="J430" s="10"/>
      <c r="K430" s="10"/>
      <c r="L430" s="10"/>
      <c r="M430" s="10"/>
      <c r="N430" s="10"/>
      <c r="O430" s="10"/>
      <c r="P430" s="10"/>
      <c r="Q430" s="10"/>
      <c r="R430" s="10"/>
      <c r="S430" s="10"/>
      <c r="T430" s="10"/>
      <c r="U430" s="10"/>
    </row>
    <row r="431" ht="15.75" customHeight="1">
      <c r="A431" s="10"/>
      <c r="B431" s="191"/>
      <c r="C431" s="10"/>
      <c r="D431" s="73"/>
      <c r="E431" s="73"/>
      <c r="F431" s="10"/>
      <c r="G431" s="10"/>
      <c r="H431" s="10"/>
      <c r="I431" s="10"/>
      <c r="J431" s="10"/>
      <c r="K431" s="10"/>
      <c r="L431" s="10"/>
      <c r="M431" s="10"/>
      <c r="N431" s="10"/>
      <c r="O431" s="10"/>
      <c r="P431" s="10"/>
      <c r="Q431" s="10"/>
      <c r="R431" s="10"/>
      <c r="S431" s="10"/>
      <c r="T431" s="10"/>
      <c r="U431" s="10"/>
    </row>
    <row r="432" ht="15.75" customHeight="1">
      <c r="A432" s="10"/>
      <c r="B432" s="191"/>
      <c r="C432" s="10"/>
      <c r="D432" s="73"/>
      <c r="E432" s="73"/>
      <c r="F432" s="10"/>
      <c r="G432" s="10"/>
      <c r="H432" s="10"/>
      <c r="I432" s="10"/>
      <c r="J432" s="10"/>
      <c r="K432" s="10"/>
      <c r="L432" s="10"/>
      <c r="M432" s="10"/>
      <c r="N432" s="10"/>
      <c r="O432" s="10"/>
      <c r="P432" s="10"/>
      <c r="Q432" s="10"/>
      <c r="R432" s="10"/>
      <c r="S432" s="10"/>
      <c r="T432" s="10"/>
      <c r="U432" s="10"/>
    </row>
    <row r="433" ht="15.75" customHeight="1">
      <c r="A433" s="10"/>
      <c r="B433" s="191"/>
      <c r="C433" s="10"/>
      <c r="D433" s="73"/>
      <c r="E433" s="73"/>
      <c r="F433" s="10"/>
      <c r="G433" s="10"/>
      <c r="H433" s="10"/>
      <c r="I433" s="10"/>
      <c r="J433" s="10"/>
      <c r="K433" s="10"/>
      <c r="L433" s="10"/>
      <c r="M433" s="10"/>
      <c r="N433" s="10"/>
      <c r="O433" s="10"/>
      <c r="P433" s="10"/>
      <c r="Q433" s="10"/>
      <c r="R433" s="10"/>
      <c r="S433" s="10"/>
      <c r="T433" s="10"/>
      <c r="U433" s="10"/>
    </row>
    <row r="434" ht="15.75" customHeight="1">
      <c r="A434" s="10"/>
      <c r="B434" s="191"/>
      <c r="C434" s="10"/>
      <c r="D434" s="73"/>
      <c r="E434" s="73"/>
      <c r="F434" s="10"/>
      <c r="G434" s="10"/>
      <c r="H434" s="10"/>
      <c r="I434" s="10"/>
      <c r="J434" s="10"/>
      <c r="K434" s="10"/>
      <c r="L434" s="10"/>
      <c r="M434" s="10"/>
      <c r="N434" s="10"/>
      <c r="O434" s="10"/>
      <c r="P434" s="10"/>
      <c r="Q434" s="10"/>
      <c r="R434" s="10"/>
      <c r="S434" s="10"/>
      <c r="T434" s="10"/>
      <c r="U434" s="10"/>
    </row>
    <row r="435" ht="15.75" customHeight="1">
      <c r="A435" s="10"/>
      <c r="B435" s="191"/>
      <c r="C435" s="10"/>
      <c r="D435" s="73"/>
      <c r="E435" s="73"/>
      <c r="F435" s="10"/>
      <c r="G435" s="10"/>
      <c r="H435" s="10"/>
      <c r="I435" s="10"/>
      <c r="J435" s="10"/>
      <c r="K435" s="10"/>
      <c r="L435" s="10"/>
      <c r="M435" s="10"/>
      <c r="N435" s="10"/>
      <c r="O435" s="10"/>
      <c r="P435" s="10"/>
      <c r="Q435" s="10"/>
      <c r="R435" s="10"/>
      <c r="S435" s="10"/>
      <c r="T435" s="10"/>
      <c r="U435" s="10"/>
    </row>
    <row r="436" ht="15.75" customHeight="1">
      <c r="A436" s="10"/>
      <c r="B436" s="191"/>
      <c r="C436" s="10"/>
      <c r="D436" s="73"/>
      <c r="E436" s="73"/>
      <c r="F436" s="10"/>
      <c r="G436" s="10"/>
      <c r="H436" s="10"/>
      <c r="I436" s="10"/>
      <c r="J436" s="10"/>
      <c r="K436" s="10"/>
      <c r="L436" s="10"/>
      <c r="M436" s="10"/>
      <c r="N436" s="10"/>
      <c r="O436" s="10"/>
      <c r="P436" s="10"/>
      <c r="Q436" s="10"/>
      <c r="R436" s="10"/>
      <c r="S436" s="10"/>
      <c r="T436" s="10"/>
      <c r="U436" s="10"/>
    </row>
    <row r="437" ht="15.75" customHeight="1">
      <c r="A437" s="10"/>
      <c r="B437" s="191"/>
      <c r="C437" s="10"/>
      <c r="D437" s="73"/>
      <c r="E437" s="73"/>
      <c r="F437" s="10"/>
      <c r="G437" s="10"/>
      <c r="H437" s="10"/>
      <c r="I437" s="10"/>
      <c r="J437" s="10"/>
      <c r="K437" s="10"/>
      <c r="L437" s="10"/>
      <c r="M437" s="10"/>
      <c r="N437" s="10"/>
      <c r="O437" s="10"/>
      <c r="P437" s="10"/>
      <c r="Q437" s="10"/>
      <c r="R437" s="10"/>
      <c r="S437" s="10"/>
      <c r="T437" s="10"/>
      <c r="U437" s="10"/>
    </row>
    <row r="438" ht="15.75" customHeight="1">
      <c r="A438" s="10"/>
      <c r="B438" s="191"/>
      <c r="C438" s="10"/>
      <c r="D438" s="73"/>
      <c r="E438" s="73"/>
      <c r="F438" s="10"/>
      <c r="G438" s="10"/>
      <c r="H438" s="10"/>
      <c r="I438" s="10"/>
      <c r="J438" s="10"/>
      <c r="K438" s="10"/>
      <c r="L438" s="10"/>
      <c r="M438" s="10"/>
      <c r="N438" s="10"/>
      <c r="O438" s="10"/>
      <c r="P438" s="10"/>
      <c r="Q438" s="10"/>
      <c r="R438" s="10"/>
      <c r="S438" s="10"/>
      <c r="T438" s="10"/>
      <c r="U438" s="10"/>
    </row>
    <row r="439" ht="15.75" customHeight="1">
      <c r="A439" s="10"/>
      <c r="B439" s="191"/>
      <c r="C439" s="10"/>
      <c r="D439" s="73"/>
      <c r="E439" s="73"/>
      <c r="F439" s="10"/>
      <c r="G439" s="10"/>
      <c r="H439" s="10"/>
      <c r="I439" s="10"/>
      <c r="J439" s="10"/>
      <c r="K439" s="10"/>
      <c r="L439" s="10"/>
      <c r="M439" s="10"/>
      <c r="N439" s="10"/>
      <c r="O439" s="10"/>
      <c r="P439" s="10"/>
      <c r="Q439" s="10"/>
      <c r="R439" s="10"/>
      <c r="S439" s="10"/>
      <c r="T439" s="10"/>
      <c r="U439" s="10"/>
    </row>
    <row r="440" ht="15.75" customHeight="1">
      <c r="A440" s="10"/>
      <c r="B440" s="191"/>
      <c r="C440" s="10"/>
      <c r="D440" s="73"/>
      <c r="E440" s="73"/>
      <c r="F440" s="10"/>
      <c r="G440" s="10"/>
      <c r="H440" s="10"/>
      <c r="I440" s="10"/>
      <c r="J440" s="10"/>
      <c r="K440" s="10"/>
      <c r="L440" s="10"/>
      <c r="M440" s="10"/>
      <c r="N440" s="10"/>
      <c r="O440" s="10"/>
      <c r="P440" s="10"/>
      <c r="Q440" s="10"/>
      <c r="R440" s="10"/>
      <c r="S440" s="10"/>
      <c r="T440" s="10"/>
      <c r="U440" s="10"/>
    </row>
    <row r="441" ht="15.75" customHeight="1">
      <c r="A441" s="10"/>
      <c r="B441" s="191"/>
      <c r="C441" s="10"/>
      <c r="D441" s="73"/>
      <c r="E441" s="73"/>
      <c r="F441" s="10"/>
      <c r="G441" s="10"/>
      <c r="H441" s="10"/>
      <c r="I441" s="10"/>
      <c r="J441" s="10"/>
      <c r="K441" s="10"/>
      <c r="L441" s="10"/>
      <c r="M441" s="10"/>
      <c r="N441" s="10"/>
      <c r="O441" s="10"/>
      <c r="P441" s="10"/>
      <c r="Q441" s="10"/>
      <c r="R441" s="10"/>
      <c r="S441" s="10"/>
      <c r="T441" s="10"/>
      <c r="U441" s="10"/>
    </row>
    <row r="442" ht="15.75" customHeight="1">
      <c r="A442" s="10"/>
      <c r="B442" s="191"/>
      <c r="C442" s="10"/>
      <c r="D442" s="73"/>
      <c r="E442" s="73"/>
      <c r="F442" s="10"/>
      <c r="G442" s="10"/>
      <c r="H442" s="10"/>
      <c r="I442" s="10"/>
      <c r="J442" s="10"/>
      <c r="K442" s="10"/>
      <c r="L442" s="10"/>
      <c r="M442" s="10"/>
      <c r="N442" s="10"/>
      <c r="O442" s="10"/>
      <c r="P442" s="10"/>
      <c r="Q442" s="10"/>
      <c r="R442" s="10"/>
      <c r="S442" s="10"/>
      <c r="T442" s="10"/>
      <c r="U442" s="10"/>
    </row>
    <row r="443" ht="15.75" customHeight="1">
      <c r="A443" s="10"/>
      <c r="B443" s="191"/>
      <c r="C443" s="10"/>
      <c r="D443" s="73"/>
      <c r="E443" s="73"/>
      <c r="F443" s="10"/>
      <c r="G443" s="10"/>
      <c r="H443" s="10"/>
      <c r="I443" s="10"/>
      <c r="J443" s="10"/>
      <c r="K443" s="10"/>
      <c r="L443" s="10"/>
      <c r="M443" s="10"/>
      <c r="N443" s="10"/>
      <c r="O443" s="10"/>
      <c r="P443" s="10"/>
      <c r="Q443" s="10"/>
      <c r="R443" s="10"/>
      <c r="S443" s="10"/>
      <c r="T443" s="10"/>
      <c r="U443" s="10"/>
    </row>
    <row r="444" ht="15.75" customHeight="1">
      <c r="A444" s="10"/>
      <c r="B444" s="191"/>
      <c r="C444" s="10"/>
      <c r="D444" s="73"/>
      <c r="E444" s="73"/>
      <c r="F444" s="10"/>
      <c r="G444" s="10"/>
      <c r="H444" s="10"/>
      <c r="I444" s="10"/>
      <c r="J444" s="10"/>
      <c r="K444" s="10"/>
      <c r="L444" s="10"/>
      <c r="M444" s="10"/>
      <c r="N444" s="10"/>
      <c r="O444" s="10"/>
      <c r="P444" s="10"/>
      <c r="Q444" s="10"/>
      <c r="R444" s="10"/>
      <c r="S444" s="10"/>
      <c r="T444" s="10"/>
      <c r="U444" s="10"/>
    </row>
    <row r="445" ht="15.75" customHeight="1">
      <c r="A445" s="10"/>
      <c r="B445" s="191"/>
      <c r="C445" s="10"/>
      <c r="D445" s="73"/>
      <c r="E445" s="73"/>
      <c r="F445" s="10"/>
      <c r="G445" s="10"/>
      <c r="H445" s="10"/>
      <c r="I445" s="10"/>
      <c r="J445" s="10"/>
      <c r="K445" s="10"/>
      <c r="L445" s="10"/>
      <c r="M445" s="10"/>
      <c r="N445" s="10"/>
      <c r="O445" s="10"/>
      <c r="P445" s="10"/>
      <c r="Q445" s="10"/>
      <c r="R445" s="10"/>
      <c r="S445" s="10"/>
      <c r="T445" s="10"/>
      <c r="U445" s="10"/>
    </row>
    <row r="446" ht="15.75" customHeight="1">
      <c r="A446" s="10"/>
      <c r="B446" s="191"/>
      <c r="C446" s="10"/>
      <c r="D446" s="73"/>
      <c r="E446" s="73"/>
      <c r="F446" s="10"/>
      <c r="G446" s="10"/>
      <c r="H446" s="10"/>
      <c r="I446" s="10"/>
      <c r="J446" s="10"/>
      <c r="K446" s="10"/>
      <c r="L446" s="10"/>
      <c r="M446" s="10"/>
      <c r="N446" s="10"/>
      <c r="O446" s="10"/>
      <c r="P446" s="10"/>
      <c r="Q446" s="10"/>
      <c r="R446" s="10"/>
      <c r="S446" s="10"/>
      <c r="T446" s="10"/>
      <c r="U446" s="10"/>
    </row>
    <row r="447" ht="15.75" customHeight="1">
      <c r="A447" s="10"/>
      <c r="B447" s="191"/>
      <c r="C447" s="10"/>
      <c r="D447" s="73"/>
      <c r="E447" s="73"/>
      <c r="F447" s="10"/>
      <c r="G447" s="10"/>
      <c r="H447" s="10"/>
      <c r="I447" s="10"/>
      <c r="J447" s="10"/>
      <c r="K447" s="10"/>
      <c r="L447" s="10"/>
      <c r="M447" s="10"/>
      <c r="N447" s="10"/>
      <c r="O447" s="10"/>
      <c r="P447" s="10"/>
      <c r="Q447" s="10"/>
      <c r="R447" s="10"/>
      <c r="S447" s="10"/>
      <c r="T447" s="10"/>
      <c r="U447" s="10"/>
    </row>
    <row r="448" ht="15.75" customHeight="1">
      <c r="A448" s="10"/>
      <c r="B448" s="191"/>
      <c r="C448" s="10"/>
      <c r="D448" s="73"/>
      <c r="E448" s="73"/>
      <c r="F448" s="10"/>
      <c r="G448" s="10"/>
      <c r="H448" s="10"/>
      <c r="I448" s="10"/>
      <c r="J448" s="10"/>
      <c r="K448" s="10"/>
      <c r="L448" s="10"/>
      <c r="M448" s="10"/>
      <c r="N448" s="10"/>
      <c r="O448" s="10"/>
      <c r="P448" s="10"/>
      <c r="Q448" s="10"/>
      <c r="R448" s="10"/>
      <c r="S448" s="10"/>
      <c r="T448" s="10"/>
      <c r="U448" s="10"/>
    </row>
    <row r="449" ht="15.75" customHeight="1">
      <c r="A449" s="10"/>
      <c r="B449" s="191"/>
      <c r="C449" s="10"/>
      <c r="D449" s="73"/>
      <c r="E449" s="73"/>
      <c r="F449" s="10"/>
      <c r="G449" s="10"/>
      <c r="H449" s="10"/>
      <c r="I449" s="10"/>
      <c r="J449" s="10"/>
      <c r="K449" s="10"/>
      <c r="L449" s="10"/>
      <c r="M449" s="10"/>
      <c r="N449" s="10"/>
      <c r="O449" s="10"/>
      <c r="P449" s="10"/>
      <c r="Q449" s="10"/>
      <c r="R449" s="10"/>
      <c r="S449" s="10"/>
      <c r="T449" s="10"/>
      <c r="U449" s="10"/>
    </row>
    <row r="450" ht="15.75" customHeight="1">
      <c r="A450" s="10"/>
      <c r="B450" s="191"/>
      <c r="C450" s="10"/>
      <c r="D450" s="73"/>
      <c r="E450" s="73"/>
      <c r="F450" s="10"/>
      <c r="G450" s="10"/>
      <c r="H450" s="10"/>
      <c r="I450" s="10"/>
      <c r="J450" s="10"/>
      <c r="K450" s="10"/>
      <c r="L450" s="10"/>
      <c r="M450" s="10"/>
      <c r="N450" s="10"/>
      <c r="O450" s="10"/>
      <c r="P450" s="10"/>
      <c r="Q450" s="10"/>
      <c r="R450" s="10"/>
      <c r="S450" s="10"/>
      <c r="T450" s="10"/>
      <c r="U450" s="10"/>
    </row>
    <row r="451" ht="15.75" customHeight="1">
      <c r="A451" s="10"/>
      <c r="B451" s="191"/>
      <c r="C451" s="10"/>
      <c r="D451" s="73"/>
      <c r="E451" s="73"/>
      <c r="F451" s="10"/>
      <c r="G451" s="10"/>
      <c r="H451" s="10"/>
      <c r="I451" s="10"/>
      <c r="J451" s="10"/>
      <c r="K451" s="10"/>
      <c r="L451" s="10"/>
      <c r="M451" s="10"/>
      <c r="N451" s="10"/>
      <c r="O451" s="10"/>
      <c r="P451" s="10"/>
      <c r="Q451" s="10"/>
      <c r="R451" s="10"/>
      <c r="S451" s="10"/>
      <c r="T451" s="10"/>
      <c r="U451" s="10"/>
    </row>
    <row r="452" ht="15.75" customHeight="1">
      <c r="A452" s="10"/>
      <c r="B452" s="191"/>
      <c r="C452" s="10"/>
      <c r="D452" s="73"/>
      <c r="E452" s="73"/>
      <c r="F452" s="10"/>
      <c r="G452" s="10"/>
      <c r="H452" s="10"/>
      <c r="I452" s="10"/>
      <c r="J452" s="10"/>
      <c r="K452" s="10"/>
      <c r="L452" s="10"/>
      <c r="M452" s="10"/>
      <c r="N452" s="10"/>
      <c r="O452" s="10"/>
      <c r="P452" s="10"/>
      <c r="Q452" s="10"/>
      <c r="R452" s="10"/>
      <c r="S452" s="10"/>
      <c r="T452" s="10"/>
      <c r="U452" s="10"/>
    </row>
    <row r="453" ht="15.75" customHeight="1">
      <c r="A453" s="10"/>
      <c r="B453" s="191"/>
      <c r="C453" s="10"/>
      <c r="D453" s="73"/>
      <c r="E453" s="73"/>
      <c r="F453" s="10"/>
      <c r="G453" s="10"/>
      <c r="H453" s="10"/>
      <c r="I453" s="10"/>
      <c r="J453" s="10"/>
      <c r="K453" s="10"/>
      <c r="L453" s="10"/>
      <c r="M453" s="10"/>
      <c r="N453" s="10"/>
      <c r="O453" s="10"/>
      <c r="P453" s="10"/>
      <c r="Q453" s="10"/>
      <c r="R453" s="10"/>
      <c r="S453" s="10"/>
      <c r="T453" s="10"/>
      <c r="U453" s="10"/>
    </row>
    <row r="454" ht="15.75" customHeight="1">
      <c r="A454" s="10"/>
      <c r="B454" s="191"/>
      <c r="C454" s="10"/>
      <c r="D454" s="73"/>
      <c r="E454" s="73"/>
      <c r="F454" s="10"/>
      <c r="G454" s="10"/>
      <c r="H454" s="10"/>
      <c r="I454" s="10"/>
      <c r="J454" s="10"/>
      <c r="K454" s="10"/>
      <c r="L454" s="10"/>
      <c r="M454" s="10"/>
      <c r="N454" s="10"/>
      <c r="O454" s="10"/>
      <c r="P454" s="10"/>
      <c r="Q454" s="10"/>
      <c r="R454" s="10"/>
      <c r="S454" s="10"/>
      <c r="T454" s="10"/>
      <c r="U454" s="10"/>
    </row>
    <row r="455" ht="15.75" customHeight="1">
      <c r="A455" s="10"/>
      <c r="B455" s="191"/>
      <c r="C455" s="10"/>
      <c r="D455" s="73"/>
      <c r="E455" s="73"/>
      <c r="F455" s="10"/>
      <c r="G455" s="10"/>
      <c r="H455" s="10"/>
      <c r="I455" s="10"/>
      <c r="J455" s="10"/>
      <c r="K455" s="10"/>
      <c r="L455" s="10"/>
      <c r="M455" s="10"/>
      <c r="N455" s="10"/>
      <c r="O455" s="10"/>
      <c r="P455" s="10"/>
      <c r="Q455" s="10"/>
      <c r="R455" s="10"/>
      <c r="S455" s="10"/>
      <c r="T455" s="10"/>
      <c r="U455" s="10"/>
    </row>
    <row r="456" ht="15.75" customHeight="1">
      <c r="A456" s="10"/>
      <c r="B456" s="191"/>
      <c r="C456" s="10"/>
      <c r="D456" s="73"/>
      <c r="E456" s="73"/>
      <c r="F456" s="10"/>
      <c r="G456" s="10"/>
      <c r="H456" s="10"/>
      <c r="I456" s="10"/>
      <c r="J456" s="10"/>
      <c r="K456" s="10"/>
      <c r="L456" s="10"/>
      <c r="M456" s="10"/>
      <c r="N456" s="10"/>
      <c r="O456" s="10"/>
      <c r="P456" s="10"/>
      <c r="Q456" s="10"/>
      <c r="R456" s="10"/>
      <c r="S456" s="10"/>
      <c r="T456" s="10"/>
      <c r="U456" s="10"/>
    </row>
    <row r="457" ht="15.75" customHeight="1">
      <c r="A457" s="10"/>
      <c r="B457" s="191"/>
      <c r="C457" s="10"/>
      <c r="D457" s="73"/>
      <c r="E457" s="73"/>
      <c r="F457" s="10"/>
      <c r="G457" s="10"/>
      <c r="H457" s="10"/>
      <c r="I457" s="10"/>
      <c r="J457" s="10"/>
      <c r="K457" s="10"/>
      <c r="L457" s="10"/>
      <c r="M457" s="10"/>
      <c r="N457" s="10"/>
      <c r="O457" s="10"/>
      <c r="P457" s="10"/>
      <c r="Q457" s="10"/>
      <c r="R457" s="10"/>
      <c r="S457" s="10"/>
      <c r="T457" s="10"/>
      <c r="U457" s="10"/>
    </row>
    <row r="458" ht="15.75" customHeight="1">
      <c r="A458" s="10"/>
      <c r="B458" s="191"/>
      <c r="C458" s="10"/>
      <c r="D458" s="73"/>
      <c r="E458" s="73"/>
      <c r="F458" s="10"/>
      <c r="G458" s="10"/>
      <c r="H458" s="10"/>
      <c r="I458" s="10"/>
      <c r="J458" s="10"/>
      <c r="K458" s="10"/>
      <c r="L458" s="10"/>
      <c r="M458" s="10"/>
      <c r="N458" s="10"/>
      <c r="O458" s="10"/>
      <c r="P458" s="10"/>
      <c r="Q458" s="10"/>
      <c r="R458" s="10"/>
      <c r="S458" s="10"/>
      <c r="T458" s="10"/>
      <c r="U458" s="10"/>
    </row>
    <row r="459" ht="15.75" customHeight="1">
      <c r="A459" s="10"/>
      <c r="B459" s="191"/>
      <c r="C459" s="10"/>
      <c r="D459" s="73"/>
      <c r="E459" s="73"/>
      <c r="F459" s="10"/>
      <c r="G459" s="10"/>
      <c r="H459" s="10"/>
      <c r="I459" s="10"/>
      <c r="J459" s="10"/>
      <c r="K459" s="10"/>
      <c r="L459" s="10"/>
      <c r="M459" s="10"/>
      <c r="N459" s="10"/>
      <c r="O459" s="10"/>
      <c r="P459" s="10"/>
      <c r="Q459" s="10"/>
      <c r="R459" s="10"/>
      <c r="S459" s="10"/>
      <c r="T459" s="10"/>
      <c r="U459" s="10"/>
    </row>
    <row r="460" ht="15.75" customHeight="1">
      <c r="A460" s="10"/>
      <c r="B460" s="191"/>
      <c r="C460" s="10"/>
      <c r="D460" s="73"/>
      <c r="E460" s="73"/>
      <c r="F460" s="10"/>
      <c r="G460" s="10"/>
      <c r="H460" s="10"/>
      <c r="I460" s="10"/>
      <c r="J460" s="10"/>
      <c r="K460" s="10"/>
      <c r="L460" s="10"/>
      <c r="M460" s="10"/>
      <c r="N460" s="10"/>
      <c r="O460" s="10"/>
      <c r="P460" s="10"/>
      <c r="Q460" s="10"/>
      <c r="R460" s="10"/>
      <c r="S460" s="10"/>
      <c r="T460" s="10"/>
      <c r="U460" s="10"/>
    </row>
    <row r="461" ht="15.75" customHeight="1">
      <c r="A461" s="10"/>
      <c r="B461" s="191"/>
      <c r="C461" s="10"/>
      <c r="D461" s="73"/>
      <c r="E461" s="73"/>
      <c r="F461" s="10"/>
      <c r="G461" s="10"/>
      <c r="H461" s="10"/>
      <c r="I461" s="10"/>
      <c r="J461" s="10"/>
      <c r="K461" s="10"/>
      <c r="L461" s="10"/>
      <c r="M461" s="10"/>
      <c r="N461" s="10"/>
      <c r="O461" s="10"/>
      <c r="P461" s="10"/>
      <c r="Q461" s="10"/>
      <c r="R461" s="10"/>
      <c r="S461" s="10"/>
      <c r="T461" s="10"/>
      <c r="U461" s="10"/>
    </row>
    <row r="462" ht="15.75" customHeight="1">
      <c r="A462" s="10"/>
      <c r="B462" s="191"/>
      <c r="C462" s="10"/>
      <c r="D462" s="73"/>
      <c r="E462" s="73"/>
      <c r="F462" s="10"/>
      <c r="G462" s="10"/>
      <c r="H462" s="10"/>
      <c r="I462" s="10"/>
      <c r="J462" s="10"/>
      <c r="K462" s="10"/>
      <c r="L462" s="10"/>
      <c r="M462" s="10"/>
      <c r="N462" s="10"/>
      <c r="O462" s="10"/>
      <c r="P462" s="10"/>
      <c r="Q462" s="10"/>
      <c r="R462" s="10"/>
      <c r="S462" s="10"/>
      <c r="T462" s="10"/>
      <c r="U462" s="10"/>
    </row>
    <row r="463" ht="15.75" customHeight="1">
      <c r="A463" s="10"/>
      <c r="B463" s="191"/>
      <c r="C463" s="10"/>
      <c r="D463" s="73"/>
      <c r="E463" s="73"/>
      <c r="F463" s="10"/>
      <c r="G463" s="10"/>
      <c r="H463" s="10"/>
      <c r="I463" s="10"/>
      <c r="J463" s="10"/>
      <c r="K463" s="10"/>
      <c r="L463" s="10"/>
      <c r="M463" s="10"/>
      <c r="N463" s="10"/>
      <c r="O463" s="10"/>
      <c r="P463" s="10"/>
      <c r="Q463" s="10"/>
      <c r="R463" s="10"/>
      <c r="S463" s="10"/>
      <c r="T463" s="10"/>
      <c r="U463" s="10"/>
    </row>
    <row r="464" ht="15.75" customHeight="1">
      <c r="A464" s="10"/>
      <c r="B464" s="191"/>
      <c r="C464" s="10"/>
      <c r="D464" s="73"/>
      <c r="E464" s="73"/>
      <c r="F464" s="10"/>
      <c r="G464" s="10"/>
      <c r="H464" s="10"/>
      <c r="I464" s="10"/>
      <c r="J464" s="10"/>
      <c r="K464" s="10"/>
      <c r="L464" s="10"/>
      <c r="M464" s="10"/>
      <c r="N464" s="10"/>
      <c r="O464" s="10"/>
      <c r="P464" s="10"/>
      <c r="Q464" s="10"/>
      <c r="R464" s="10"/>
      <c r="S464" s="10"/>
      <c r="T464" s="10"/>
      <c r="U464" s="10"/>
    </row>
    <row r="465" ht="15.75" customHeight="1">
      <c r="A465" s="10"/>
      <c r="B465" s="191"/>
      <c r="C465" s="10"/>
      <c r="D465" s="73"/>
      <c r="E465" s="73"/>
      <c r="F465" s="10"/>
      <c r="G465" s="10"/>
      <c r="H465" s="10"/>
      <c r="I465" s="10"/>
      <c r="J465" s="10"/>
      <c r="K465" s="10"/>
      <c r="L465" s="10"/>
      <c r="M465" s="10"/>
      <c r="N465" s="10"/>
      <c r="O465" s="10"/>
      <c r="P465" s="10"/>
      <c r="Q465" s="10"/>
      <c r="R465" s="10"/>
      <c r="S465" s="10"/>
      <c r="T465" s="10"/>
      <c r="U465" s="10"/>
    </row>
    <row r="466" ht="15.75" customHeight="1">
      <c r="A466" s="10"/>
      <c r="B466" s="191"/>
      <c r="C466" s="10"/>
      <c r="D466" s="73"/>
      <c r="E466" s="73"/>
      <c r="F466" s="10"/>
      <c r="G466" s="10"/>
      <c r="H466" s="10"/>
      <c r="I466" s="10"/>
      <c r="J466" s="10"/>
      <c r="K466" s="10"/>
      <c r="L466" s="10"/>
      <c r="M466" s="10"/>
      <c r="N466" s="10"/>
      <c r="O466" s="10"/>
      <c r="P466" s="10"/>
      <c r="Q466" s="10"/>
      <c r="R466" s="10"/>
      <c r="S466" s="10"/>
      <c r="T466" s="10"/>
      <c r="U466" s="10"/>
    </row>
    <row r="467" ht="15.75" customHeight="1">
      <c r="A467" s="10"/>
      <c r="B467" s="191"/>
      <c r="C467" s="10"/>
      <c r="D467" s="73"/>
      <c r="E467" s="73"/>
      <c r="F467" s="10"/>
      <c r="G467" s="10"/>
      <c r="H467" s="10"/>
      <c r="I467" s="10"/>
      <c r="J467" s="10"/>
      <c r="K467" s="10"/>
      <c r="L467" s="10"/>
      <c r="M467" s="10"/>
      <c r="N467" s="10"/>
      <c r="O467" s="10"/>
      <c r="P467" s="10"/>
      <c r="Q467" s="10"/>
      <c r="R467" s="10"/>
      <c r="S467" s="10"/>
      <c r="T467" s="10"/>
      <c r="U467" s="10"/>
    </row>
    <row r="468" ht="15.75" customHeight="1">
      <c r="A468" s="10"/>
      <c r="B468" s="191"/>
      <c r="C468" s="10"/>
      <c r="D468" s="73"/>
      <c r="E468" s="73"/>
      <c r="F468" s="10"/>
      <c r="G468" s="10"/>
      <c r="H468" s="10"/>
      <c r="I468" s="10"/>
      <c r="J468" s="10"/>
      <c r="K468" s="10"/>
      <c r="L468" s="10"/>
      <c r="M468" s="10"/>
      <c r="N468" s="10"/>
      <c r="O468" s="10"/>
      <c r="P468" s="10"/>
      <c r="Q468" s="10"/>
      <c r="R468" s="10"/>
      <c r="S468" s="10"/>
      <c r="T468" s="10"/>
      <c r="U468" s="10"/>
    </row>
    <row r="469" ht="15.75" customHeight="1">
      <c r="A469" s="10"/>
      <c r="B469" s="191"/>
      <c r="C469" s="10"/>
      <c r="D469" s="73"/>
      <c r="E469" s="73"/>
      <c r="F469" s="10"/>
      <c r="G469" s="10"/>
      <c r="H469" s="10"/>
      <c r="I469" s="10"/>
      <c r="J469" s="10"/>
      <c r="K469" s="10"/>
      <c r="L469" s="10"/>
      <c r="M469" s="10"/>
      <c r="N469" s="10"/>
      <c r="O469" s="10"/>
      <c r="P469" s="10"/>
      <c r="Q469" s="10"/>
      <c r="R469" s="10"/>
      <c r="S469" s="10"/>
      <c r="T469" s="10"/>
      <c r="U469" s="10"/>
    </row>
    <row r="470" ht="15.75" customHeight="1">
      <c r="A470" s="10"/>
      <c r="B470" s="191"/>
      <c r="C470" s="10"/>
      <c r="D470" s="73"/>
      <c r="E470" s="73"/>
      <c r="F470" s="10"/>
      <c r="G470" s="10"/>
      <c r="H470" s="10"/>
      <c r="I470" s="10"/>
      <c r="J470" s="10"/>
      <c r="K470" s="10"/>
      <c r="L470" s="10"/>
      <c r="M470" s="10"/>
      <c r="N470" s="10"/>
      <c r="O470" s="10"/>
      <c r="P470" s="10"/>
      <c r="Q470" s="10"/>
      <c r="R470" s="10"/>
      <c r="S470" s="10"/>
      <c r="T470" s="10"/>
      <c r="U470" s="10"/>
    </row>
    <row r="471" ht="15.75" customHeight="1">
      <c r="A471" s="10"/>
      <c r="B471" s="191"/>
      <c r="C471" s="10"/>
      <c r="D471" s="73"/>
      <c r="E471" s="73"/>
      <c r="F471" s="10"/>
      <c r="G471" s="10"/>
      <c r="H471" s="10"/>
      <c r="I471" s="10"/>
      <c r="J471" s="10"/>
      <c r="K471" s="10"/>
      <c r="L471" s="10"/>
      <c r="M471" s="10"/>
      <c r="N471" s="10"/>
      <c r="O471" s="10"/>
      <c r="P471" s="10"/>
      <c r="Q471" s="10"/>
      <c r="R471" s="10"/>
      <c r="S471" s="10"/>
      <c r="T471" s="10"/>
      <c r="U471" s="10"/>
    </row>
    <row r="472" ht="15.75" customHeight="1">
      <c r="A472" s="10"/>
      <c r="B472" s="191"/>
      <c r="C472" s="10"/>
      <c r="D472" s="73"/>
      <c r="E472" s="73"/>
      <c r="F472" s="10"/>
      <c r="G472" s="10"/>
      <c r="H472" s="10"/>
      <c r="I472" s="10"/>
      <c r="J472" s="10"/>
      <c r="K472" s="10"/>
      <c r="L472" s="10"/>
      <c r="M472" s="10"/>
      <c r="N472" s="10"/>
      <c r="O472" s="10"/>
      <c r="P472" s="10"/>
      <c r="Q472" s="10"/>
      <c r="R472" s="10"/>
      <c r="S472" s="10"/>
      <c r="T472" s="10"/>
      <c r="U472" s="10"/>
    </row>
    <row r="473" ht="15.75" customHeight="1">
      <c r="A473" s="10"/>
      <c r="B473" s="191"/>
      <c r="C473" s="10"/>
      <c r="D473" s="73"/>
      <c r="E473" s="73"/>
      <c r="F473" s="10"/>
      <c r="G473" s="10"/>
      <c r="H473" s="10"/>
      <c r="I473" s="10"/>
      <c r="J473" s="10"/>
      <c r="K473" s="10"/>
      <c r="L473" s="10"/>
      <c r="M473" s="10"/>
      <c r="N473" s="10"/>
      <c r="O473" s="10"/>
      <c r="P473" s="10"/>
      <c r="Q473" s="10"/>
      <c r="R473" s="10"/>
      <c r="S473" s="10"/>
      <c r="T473" s="10"/>
      <c r="U473" s="10"/>
    </row>
    <row r="474" ht="15.75" customHeight="1">
      <c r="A474" s="10"/>
      <c r="B474" s="191"/>
      <c r="C474" s="10"/>
      <c r="D474" s="73"/>
      <c r="E474" s="73"/>
      <c r="F474" s="10"/>
      <c r="G474" s="10"/>
      <c r="H474" s="10"/>
      <c r="I474" s="10"/>
      <c r="J474" s="10"/>
      <c r="K474" s="10"/>
      <c r="L474" s="10"/>
      <c r="M474" s="10"/>
      <c r="N474" s="10"/>
      <c r="O474" s="10"/>
      <c r="P474" s="10"/>
      <c r="Q474" s="10"/>
      <c r="R474" s="10"/>
      <c r="S474" s="10"/>
      <c r="T474" s="10"/>
      <c r="U474" s="10"/>
    </row>
    <row r="475" ht="15.75" customHeight="1">
      <c r="A475" s="10"/>
      <c r="B475" s="191"/>
      <c r="C475" s="10"/>
      <c r="D475" s="73"/>
      <c r="E475" s="73"/>
      <c r="F475" s="10"/>
      <c r="G475" s="10"/>
      <c r="H475" s="10"/>
      <c r="I475" s="10"/>
      <c r="J475" s="10"/>
      <c r="K475" s="10"/>
      <c r="L475" s="10"/>
      <c r="M475" s="10"/>
      <c r="N475" s="10"/>
      <c r="O475" s="10"/>
      <c r="P475" s="10"/>
      <c r="Q475" s="10"/>
      <c r="R475" s="10"/>
      <c r="S475" s="10"/>
      <c r="T475" s="10"/>
      <c r="U475" s="10"/>
    </row>
    <row r="476" ht="15.75" customHeight="1">
      <c r="A476" s="10"/>
      <c r="B476" s="191"/>
      <c r="C476" s="10"/>
      <c r="D476" s="73"/>
      <c r="E476" s="73"/>
      <c r="F476" s="10"/>
      <c r="G476" s="10"/>
      <c r="H476" s="10"/>
      <c r="I476" s="10"/>
      <c r="J476" s="10"/>
      <c r="K476" s="10"/>
      <c r="L476" s="10"/>
      <c r="M476" s="10"/>
      <c r="N476" s="10"/>
      <c r="O476" s="10"/>
      <c r="P476" s="10"/>
      <c r="Q476" s="10"/>
      <c r="R476" s="10"/>
      <c r="S476" s="10"/>
      <c r="T476" s="10"/>
      <c r="U476" s="10"/>
    </row>
    <row r="477" ht="15.75" customHeight="1">
      <c r="A477" s="10"/>
      <c r="B477" s="191"/>
      <c r="C477" s="10"/>
      <c r="D477" s="73"/>
      <c r="E477" s="73"/>
      <c r="F477" s="10"/>
      <c r="G477" s="10"/>
      <c r="H477" s="10"/>
      <c r="I477" s="10"/>
      <c r="J477" s="10"/>
      <c r="K477" s="10"/>
      <c r="L477" s="10"/>
      <c r="M477" s="10"/>
      <c r="N477" s="10"/>
      <c r="O477" s="10"/>
      <c r="P477" s="10"/>
      <c r="Q477" s="10"/>
      <c r="R477" s="10"/>
      <c r="S477" s="10"/>
      <c r="T477" s="10"/>
      <c r="U477" s="10"/>
    </row>
    <row r="478" ht="15.75" customHeight="1">
      <c r="A478" s="10"/>
      <c r="B478" s="191"/>
      <c r="C478" s="10"/>
      <c r="D478" s="73"/>
      <c r="E478" s="73"/>
      <c r="F478" s="10"/>
      <c r="G478" s="10"/>
      <c r="H478" s="10"/>
      <c r="I478" s="10"/>
      <c r="J478" s="10"/>
      <c r="K478" s="10"/>
      <c r="L478" s="10"/>
      <c r="M478" s="10"/>
      <c r="N478" s="10"/>
      <c r="O478" s="10"/>
      <c r="P478" s="10"/>
      <c r="Q478" s="10"/>
      <c r="R478" s="10"/>
      <c r="S478" s="10"/>
      <c r="T478" s="10"/>
      <c r="U478" s="10"/>
    </row>
    <row r="479" ht="15.75" customHeight="1">
      <c r="A479" s="10"/>
      <c r="B479" s="191"/>
      <c r="C479" s="10"/>
      <c r="D479" s="73"/>
      <c r="E479" s="73"/>
      <c r="F479" s="10"/>
      <c r="G479" s="10"/>
      <c r="H479" s="10"/>
      <c r="I479" s="10"/>
      <c r="J479" s="10"/>
      <c r="K479" s="10"/>
      <c r="L479" s="10"/>
      <c r="M479" s="10"/>
      <c r="N479" s="10"/>
      <c r="O479" s="10"/>
      <c r="P479" s="10"/>
      <c r="Q479" s="10"/>
      <c r="R479" s="10"/>
      <c r="S479" s="10"/>
      <c r="T479" s="10"/>
      <c r="U479" s="10"/>
    </row>
    <row r="480" ht="15.75" customHeight="1">
      <c r="A480" s="10"/>
      <c r="B480" s="191"/>
      <c r="C480" s="10"/>
      <c r="D480" s="73"/>
      <c r="E480" s="73"/>
      <c r="F480" s="10"/>
      <c r="G480" s="10"/>
      <c r="H480" s="10"/>
      <c r="I480" s="10"/>
      <c r="J480" s="10"/>
      <c r="K480" s="10"/>
      <c r="L480" s="10"/>
      <c r="M480" s="10"/>
      <c r="N480" s="10"/>
      <c r="O480" s="10"/>
      <c r="P480" s="10"/>
      <c r="Q480" s="10"/>
      <c r="R480" s="10"/>
      <c r="S480" s="10"/>
      <c r="T480" s="10"/>
      <c r="U480" s="10"/>
    </row>
    <row r="481" ht="15.75" customHeight="1">
      <c r="A481" s="10"/>
      <c r="B481" s="191"/>
      <c r="C481" s="10"/>
      <c r="D481" s="73"/>
      <c r="E481" s="73"/>
      <c r="F481" s="10"/>
      <c r="G481" s="10"/>
      <c r="H481" s="10"/>
      <c r="I481" s="10"/>
      <c r="J481" s="10"/>
      <c r="K481" s="10"/>
      <c r="L481" s="10"/>
      <c r="M481" s="10"/>
      <c r="N481" s="10"/>
      <c r="O481" s="10"/>
      <c r="P481" s="10"/>
      <c r="Q481" s="10"/>
      <c r="R481" s="10"/>
      <c r="S481" s="10"/>
      <c r="T481" s="10"/>
      <c r="U481" s="10"/>
    </row>
    <row r="482" ht="15.75" customHeight="1">
      <c r="A482" s="10"/>
      <c r="B482" s="191"/>
      <c r="C482" s="10"/>
      <c r="D482" s="73"/>
      <c r="E482" s="73"/>
      <c r="F482" s="10"/>
      <c r="G482" s="10"/>
      <c r="H482" s="10"/>
      <c r="I482" s="10"/>
      <c r="J482" s="10"/>
      <c r="K482" s="10"/>
      <c r="L482" s="10"/>
      <c r="M482" s="10"/>
      <c r="N482" s="10"/>
      <c r="O482" s="10"/>
      <c r="P482" s="10"/>
      <c r="Q482" s="10"/>
      <c r="R482" s="10"/>
      <c r="S482" s="10"/>
      <c r="T482" s="10"/>
      <c r="U482" s="10"/>
    </row>
    <row r="483" ht="15.75" customHeight="1">
      <c r="A483" s="10"/>
      <c r="B483" s="191"/>
      <c r="C483" s="10"/>
      <c r="D483" s="73"/>
      <c r="E483" s="73"/>
      <c r="F483" s="10"/>
      <c r="G483" s="10"/>
      <c r="H483" s="10"/>
      <c r="I483" s="10"/>
      <c r="J483" s="10"/>
      <c r="K483" s="10"/>
      <c r="L483" s="10"/>
      <c r="M483" s="10"/>
      <c r="N483" s="10"/>
      <c r="O483" s="10"/>
      <c r="P483" s="10"/>
      <c r="Q483" s="10"/>
      <c r="R483" s="10"/>
      <c r="S483" s="10"/>
      <c r="T483" s="10"/>
      <c r="U483" s="10"/>
    </row>
    <row r="484" ht="15.75" customHeight="1">
      <c r="A484" s="10"/>
      <c r="B484" s="191"/>
      <c r="C484" s="10"/>
      <c r="D484" s="73"/>
      <c r="E484" s="73"/>
      <c r="F484" s="10"/>
      <c r="G484" s="10"/>
      <c r="H484" s="10"/>
      <c r="I484" s="10"/>
      <c r="J484" s="10"/>
      <c r="K484" s="10"/>
      <c r="L484" s="10"/>
      <c r="M484" s="10"/>
      <c r="N484" s="10"/>
      <c r="O484" s="10"/>
      <c r="P484" s="10"/>
      <c r="Q484" s="10"/>
      <c r="R484" s="10"/>
      <c r="S484" s="10"/>
      <c r="T484" s="10"/>
      <c r="U484" s="10"/>
    </row>
    <row r="485" ht="15.75" customHeight="1">
      <c r="A485" s="10"/>
      <c r="B485" s="191"/>
      <c r="C485" s="10"/>
      <c r="D485" s="73"/>
      <c r="E485" s="73"/>
      <c r="F485" s="10"/>
      <c r="G485" s="10"/>
      <c r="H485" s="10"/>
      <c r="I485" s="10"/>
      <c r="J485" s="10"/>
      <c r="K485" s="10"/>
      <c r="L485" s="10"/>
      <c r="M485" s="10"/>
      <c r="N485" s="10"/>
      <c r="O485" s="10"/>
      <c r="P485" s="10"/>
      <c r="Q485" s="10"/>
      <c r="R485" s="10"/>
      <c r="S485" s="10"/>
      <c r="T485" s="10"/>
      <c r="U485" s="10"/>
    </row>
    <row r="486" ht="15.75" customHeight="1">
      <c r="A486" s="10"/>
      <c r="B486" s="191"/>
      <c r="C486" s="10"/>
      <c r="D486" s="73"/>
      <c r="E486" s="73"/>
      <c r="F486" s="10"/>
      <c r="G486" s="10"/>
      <c r="H486" s="10"/>
      <c r="I486" s="10"/>
      <c r="J486" s="10"/>
      <c r="K486" s="10"/>
      <c r="L486" s="10"/>
      <c r="M486" s="10"/>
      <c r="N486" s="10"/>
      <c r="O486" s="10"/>
      <c r="P486" s="10"/>
      <c r="Q486" s="10"/>
      <c r="R486" s="10"/>
      <c r="S486" s="10"/>
      <c r="T486" s="10"/>
      <c r="U486" s="10"/>
    </row>
    <row r="487" ht="15.75" customHeight="1">
      <c r="A487" s="10"/>
      <c r="B487" s="191"/>
      <c r="C487" s="10"/>
      <c r="D487" s="73"/>
      <c r="E487" s="73"/>
      <c r="F487" s="10"/>
      <c r="G487" s="10"/>
      <c r="H487" s="10"/>
      <c r="I487" s="10"/>
      <c r="J487" s="10"/>
      <c r="K487" s="10"/>
      <c r="L487" s="10"/>
      <c r="M487" s="10"/>
      <c r="N487" s="10"/>
      <c r="O487" s="10"/>
      <c r="P487" s="10"/>
      <c r="Q487" s="10"/>
      <c r="R487" s="10"/>
      <c r="S487" s="10"/>
      <c r="T487" s="10"/>
      <c r="U487" s="10"/>
    </row>
    <row r="488" ht="15.75" customHeight="1">
      <c r="A488" s="10"/>
      <c r="B488" s="191"/>
      <c r="C488" s="10"/>
      <c r="D488" s="73"/>
      <c r="E488" s="73"/>
      <c r="F488" s="10"/>
      <c r="G488" s="10"/>
      <c r="H488" s="10"/>
      <c r="I488" s="10"/>
      <c r="J488" s="10"/>
      <c r="K488" s="10"/>
      <c r="L488" s="10"/>
      <c r="M488" s="10"/>
      <c r="N488" s="10"/>
      <c r="O488" s="10"/>
      <c r="P488" s="10"/>
      <c r="Q488" s="10"/>
      <c r="R488" s="10"/>
      <c r="S488" s="10"/>
      <c r="T488" s="10"/>
      <c r="U488" s="10"/>
    </row>
    <row r="489" ht="15.75" customHeight="1">
      <c r="A489" s="10"/>
      <c r="B489" s="191"/>
      <c r="C489" s="10"/>
      <c r="D489" s="73"/>
      <c r="E489" s="73"/>
      <c r="F489" s="10"/>
      <c r="G489" s="10"/>
      <c r="H489" s="10"/>
      <c r="I489" s="10"/>
      <c r="J489" s="10"/>
      <c r="K489" s="10"/>
      <c r="L489" s="10"/>
      <c r="M489" s="10"/>
      <c r="N489" s="10"/>
      <c r="O489" s="10"/>
      <c r="P489" s="10"/>
      <c r="Q489" s="10"/>
      <c r="R489" s="10"/>
      <c r="S489" s="10"/>
      <c r="T489" s="10"/>
      <c r="U489" s="10"/>
    </row>
    <row r="490" ht="15.75" customHeight="1">
      <c r="A490" s="10"/>
      <c r="B490" s="191"/>
      <c r="C490" s="10"/>
      <c r="D490" s="73"/>
      <c r="E490" s="73"/>
      <c r="F490" s="10"/>
      <c r="G490" s="10"/>
      <c r="H490" s="10"/>
      <c r="I490" s="10"/>
      <c r="J490" s="10"/>
      <c r="K490" s="10"/>
      <c r="L490" s="10"/>
      <c r="M490" s="10"/>
      <c r="N490" s="10"/>
      <c r="O490" s="10"/>
      <c r="P490" s="10"/>
      <c r="Q490" s="10"/>
      <c r="R490" s="10"/>
      <c r="S490" s="10"/>
      <c r="T490" s="10"/>
      <c r="U490" s="10"/>
    </row>
    <row r="491" ht="15.75" customHeight="1">
      <c r="A491" s="10"/>
      <c r="B491" s="191"/>
      <c r="C491" s="10"/>
      <c r="D491" s="73"/>
      <c r="E491" s="73"/>
      <c r="F491" s="10"/>
      <c r="G491" s="10"/>
      <c r="H491" s="10"/>
      <c r="I491" s="10"/>
      <c r="J491" s="10"/>
      <c r="K491" s="10"/>
      <c r="L491" s="10"/>
      <c r="M491" s="10"/>
      <c r="N491" s="10"/>
      <c r="O491" s="10"/>
      <c r="P491" s="10"/>
      <c r="Q491" s="10"/>
      <c r="R491" s="10"/>
      <c r="S491" s="10"/>
      <c r="T491" s="10"/>
      <c r="U491" s="10"/>
    </row>
    <row r="492" ht="15.75" customHeight="1">
      <c r="A492" s="10"/>
      <c r="B492" s="191"/>
      <c r="C492" s="10"/>
      <c r="D492" s="73"/>
      <c r="E492" s="73"/>
      <c r="F492" s="10"/>
      <c r="G492" s="10"/>
      <c r="H492" s="10"/>
      <c r="I492" s="10"/>
      <c r="J492" s="10"/>
      <c r="K492" s="10"/>
      <c r="L492" s="10"/>
      <c r="M492" s="10"/>
      <c r="N492" s="10"/>
      <c r="O492" s="10"/>
      <c r="P492" s="10"/>
      <c r="Q492" s="10"/>
      <c r="R492" s="10"/>
      <c r="S492" s="10"/>
      <c r="T492" s="10"/>
      <c r="U492" s="10"/>
    </row>
    <row r="493" ht="15.75" customHeight="1">
      <c r="A493" s="10"/>
      <c r="B493" s="191"/>
      <c r="C493" s="10"/>
      <c r="D493" s="73"/>
      <c r="E493" s="73"/>
      <c r="F493" s="10"/>
      <c r="G493" s="10"/>
      <c r="H493" s="10"/>
      <c r="I493" s="10"/>
      <c r="J493" s="10"/>
      <c r="K493" s="10"/>
      <c r="L493" s="10"/>
      <c r="M493" s="10"/>
      <c r="N493" s="10"/>
      <c r="O493" s="10"/>
      <c r="P493" s="10"/>
      <c r="Q493" s="10"/>
      <c r="R493" s="10"/>
      <c r="S493" s="10"/>
      <c r="T493" s="10"/>
      <c r="U493" s="10"/>
    </row>
    <row r="494" ht="15.75" customHeight="1">
      <c r="A494" s="10"/>
      <c r="B494" s="191"/>
      <c r="C494" s="10"/>
      <c r="D494" s="73"/>
      <c r="E494" s="73"/>
      <c r="F494" s="10"/>
      <c r="G494" s="10"/>
      <c r="H494" s="10"/>
      <c r="I494" s="10"/>
      <c r="J494" s="10"/>
      <c r="K494" s="10"/>
      <c r="L494" s="10"/>
      <c r="M494" s="10"/>
      <c r="N494" s="10"/>
      <c r="O494" s="10"/>
      <c r="P494" s="10"/>
      <c r="Q494" s="10"/>
      <c r="R494" s="10"/>
      <c r="S494" s="10"/>
      <c r="T494" s="10"/>
      <c r="U494" s="10"/>
    </row>
    <row r="495" ht="15.75" customHeight="1">
      <c r="A495" s="10"/>
      <c r="B495" s="191"/>
      <c r="C495" s="10"/>
      <c r="D495" s="73"/>
      <c r="E495" s="73"/>
      <c r="F495" s="10"/>
      <c r="G495" s="10"/>
      <c r="H495" s="10"/>
      <c r="I495" s="10"/>
      <c r="J495" s="10"/>
      <c r="K495" s="10"/>
      <c r="L495" s="10"/>
      <c r="M495" s="10"/>
      <c r="N495" s="10"/>
      <c r="O495" s="10"/>
      <c r="P495" s="10"/>
      <c r="Q495" s="10"/>
      <c r="R495" s="10"/>
      <c r="S495" s="10"/>
      <c r="T495" s="10"/>
      <c r="U495" s="10"/>
    </row>
    <row r="496" ht="15.75" customHeight="1">
      <c r="A496" s="10"/>
      <c r="B496" s="191"/>
      <c r="C496" s="10"/>
      <c r="D496" s="73"/>
      <c r="E496" s="73"/>
      <c r="F496" s="10"/>
      <c r="G496" s="10"/>
      <c r="H496" s="10"/>
      <c r="I496" s="10"/>
      <c r="J496" s="10"/>
      <c r="K496" s="10"/>
      <c r="L496" s="10"/>
      <c r="M496" s="10"/>
      <c r="N496" s="10"/>
      <c r="O496" s="10"/>
      <c r="P496" s="10"/>
      <c r="Q496" s="10"/>
      <c r="R496" s="10"/>
      <c r="S496" s="10"/>
      <c r="T496" s="10"/>
      <c r="U496" s="10"/>
    </row>
    <row r="497" ht="15.75" customHeight="1">
      <c r="A497" s="10"/>
      <c r="B497" s="191"/>
      <c r="C497" s="10"/>
      <c r="D497" s="73"/>
      <c r="E497" s="73"/>
      <c r="F497" s="10"/>
      <c r="G497" s="10"/>
      <c r="H497" s="10"/>
      <c r="I497" s="10"/>
      <c r="J497" s="10"/>
      <c r="K497" s="10"/>
      <c r="L497" s="10"/>
      <c r="M497" s="10"/>
      <c r="N497" s="10"/>
      <c r="O497" s="10"/>
      <c r="P497" s="10"/>
      <c r="Q497" s="10"/>
      <c r="R497" s="10"/>
      <c r="S497" s="10"/>
      <c r="T497" s="10"/>
      <c r="U497" s="10"/>
    </row>
    <row r="498" ht="15.75" customHeight="1">
      <c r="A498" s="10"/>
      <c r="B498" s="191"/>
      <c r="C498" s="10"/>
      <c r="D498" s="73"/>
      <c r="E498" s="73"/>
      <c r="F498" s="10"/>
      <c r="G498" s="10"/>
      <c r="H498" s="10"/>
      <c r="I498" s="10"/>
      <c r="J498" s="10"/>
      <c r="K498" s="10"/>
      <c r="L498" s="10"/>
      <c r="M498" s="10"/>
      <c r="N498" s="10"/>
      <c r="O498" s="10"/>
      <c r="P498" s="10"/>
      <c r="Q498" s="10"/>
      <c r="R498" s="10"/>
      <c r="S498" s="10"/>
      <c r="T498" s="10"/>
      <c r="U498" s="10"/>
    </row>
    <row r="499" ht="15.75" customHeight="1">
      <c r="A499" s="10"/>
      <c r="B499" s="191"/>
      <c r="C499" s="10"/>
      <c r="D499" s="73"/>
      <c r="E499" s="73"/>
      <c r="F499" s="10"/>
      <c r="G499" s="10"/>
      <c r="H499" s="10"/>
      <c r="I499" s="10"/>
      <c r="J499" s="10"/>
      <c r="K499" s="10"/>
      <c r="L499" s="10"/>
      <c r="M499" s="10"/>
      <c r="N499" s="10"/>
      <c r="O499" s="10"/>
      <c r="P499" s="10"/>
      <c r="Q499" s="10"/>
      <c r="R499" s="10"/>
      <c r="S499" s="10"/>
      <c r="T499" s="10"/>
      <c r="U499" s="10"/>
    </row>
    <row r="500" ht="15.75" customHeight="1">
      <c r="A500" s="10"/>
      <c r="B500" s="191"/>
      <c r="C500" s="10"/>
      <c r="D500" s="73"/>
      <c r="E500" s="73"/>
      <c r="F500" s="10"/>
      <c r="G500" s="10"/>
      <c r="H500" s="10"/>
      <c r="I500" s="10"/>
      <c r="J500" s="10"/>
      <c r="K500" s="10"/>
      <c r="L500" s="10"/>
      <c r="M500" s="10"/>
      <c r="N500" s="10"/>
      <c r="O500" s="10"/>
      <c r="P500" s="10"/>
      <c r="Q500" s="10"/>
      <c r="R500" s="10"/>
      <c r="S500" s="10"/>
      <c r="T500" s="10"/>
      <c r="U500" s="10"/>
    </row>
    <row r="501" ht="15.75" customHeight="1">
      <c r="A501" s="10"/>
      <c r="B501" s="191"/>
      <c r="C501" s="10"/>
      <c r="D501" s="73"/>
      <c r="E501" s="73"/>
      <c r="F501" s="10"/>
      <c r="G501" s="10"/>
      <c r="H501" s="10"/>
      <c r="I501" s="10"/>
      <c r="J501" s="10"/>
      <c r="K501" s="10"/>
      <c r="L501" s="10"/>
      <c r="M501" s="10"/>
      <c r="N501" s="10"/>
      <c r="O501" s="10"/>
      <c r="P501" s="10"/>
      <c r="Q501" s="10"/>
      <c r="R501" s="10"/>
      <c r="S501" s="10"/>
      <c r="T501" s="10"/>
      <c r="U501" s="10"/>
    </row>
    <row r="502" ht="15.75" customHeight="1">
      <c r="A502" s="10"/>
      <c r="B502" s="191"/>
      <c r="C502" s="10"/>
      <c r="D502" s="73"/>
      <c r="E502" s="73"/>
      <c r="F502" s="10"/>
      <c r="G502" s="10"/>
      <c r="H502" s="10"/>
      <c r="I502" s="10"/>
      <c r="J502" s="10"/>
      <c r="K502" s="10"/>
      <c r="L502" s="10"/>
      <c r="M502" s="10"/>
      <c r="N502" s="10"/>
      <c r="O502" s="10"/>
      <c r="P502" s="10"/>
      <c r="Q502" s="10"/>
      <c r="R502" s="10"/>
      <c r="S502" s="10"/>
      <c r="T502" s="10"/>
      <c r="U502" s="10"/>
    </row>
    <row r="503" ht="15.75" customHeight="1">
      <c r="A503" s="10"/>
      <c r="B503" s="191"/>
      <c r="C503" s="10"/>
      <c r="D503" s="73"/>
      <c r="E503" s="73"/>
      <c r="F503" s="10"/>
      <c r="G503" s="10"/>
      <c r="H503" s="10"/>
      <c r="I503" s="10"/>
      <c r="J503" s="10"/>
      <c r="K503" s="10"/>
      <c r="L503" s="10"/>
      <c r="M503" s="10"/>
      <c r="N503" s="10"/>
      <c r="O503" s="10"/>
      <c r="P503" s="10"/>
      <c r="Q503" s="10"/>
      <c r="R503" s="10"/>
      <c r="S503" s="10"/>
      <c r="T503" s="10"/>
      <c r="U503" s="10"/>
    </row>
    <row r="504" ht="15.75" customHeight="1">
      <c r="A504" s="10"/>
      <c r="B504" s="191"/>
      <c r="C504" s="10"/>
      <c r="D504" s="73"/>
      <c r="E504" s="73"/>
      <c r="F504" s="10"/>
      <c r="G504" s="10"/>
      <c r="H504" s="10"/>
      <c r="I504" s="10"/>
      <c r="J504" s="10"/>
      <c r="K504" s="10"/>
      <c r="L504" s="10"/>
      <c r="M504" s="10"/>
      <c r="N504" s="10"/>
      <c r="O504" s="10"/>
      <c r="P504" s="10"/>
      <c r="Q504" s="10"/>
      <c r="R504" s="10"/>
      <c r="S504" s="10"/>
      <c r="T504" s="10"/>
      <c r="U504" s="10"/>
    </row>
    <row r="505" ht="15.75" customHeight="1">
      <c r="A505" s="10"/>
      <c r="B505" s="191"/>
      <c r="C505" s="10"/>
      <c r="D505" s="73"/>
      <c r="E505" s="73"/>
      <c r="F505" s="10"/>
      <c r="G505" s="10"/>
      <c r="H505" s="10"/>
      <c r="I505" s="10"/>
      <c r="J505" s="10"/>
      <c r="K505" s="10"/>
      <c r="L505" s="10"/>
      <c r="M505" s="10"/>
      <c r="N505" s="10"/>
      <c r="O505" s="10"/>
      <c r="P505" s="10"/>
      <c r="Q505" s="10"/>
      <c r="R505" s="10"/>
      <c r="S505" s="10"/>
      <c r="T505" s="10"/>
      <c r="U505" s="10"/>
    </row>
    <row r="506" ht="15.75" customHeight="1">
      <c r="A506" s="10"/>
      <c r="B506" s="191"/>
      <c r="C506" s="10"/>
      <c r="D506" s="73"/>
      <c r="E506" s="73"/>
      <c r="F506" s="10"/>
      <c r="G506" s="10"/>
      <c r="H506" s="10"/>
      <c r="I506" s="10"/>
      <c r="J506" s="10"/>
      <c r="K506" s="10"/>
      <c r="L506" s="10"/>
      <c r="M506" s="10"/>
      <c r="N506" s="10"/>
      <c r="O506" s="10"/>
      <c r="P506" s="10"/>
      <c r="Q506" s="10"/>
      <c r="R506" s="10"/>
      <c r="S506" s="10"/>
      <c r="T506" s="10"/>
      <c r="U506" s="10"/>
    </row>
    <row r="507" ht="15.75" customHeight="1">
      <c r="A507" s="10"/>
      <c r="B507" s="191"/>
      <c r="C507" s="10"/>
      <c r="D507" s="73"/>
      <c r="E507" s="73"/>
      <c r="F507" s="10"/>
      <c r="G507" s="10"/>
      <c r="H507" s="10"/>
      <c r="I507" s="10"/>
      <c r="J507" s="10"/>
      <c r="K507" s="10"/>
      <c r="L507" s="10"/>
      <c r="M507" s="10"/>
      <c r="N507" s="10"/>
      <c r="O507" s="10"/>
      <c r="P507" s="10"/>
      <c r="Q507" s="10"/>
      <c r="R507" s="10"/>
      <c r="S507" s="10"/>
      <c r="T507" s="10"/>
      <c r="U507" s="10"/>
    </row>
    <row r="508" ht="15.75" customHeight="1">
      <c r="A508" s="10"/>
      <c r="B508" s="191"/>
      <c r="C508" s="10"/>
      <c r="D508" s="73"/>
      <c r="E508" s="73"/>
      <c r="F508" s="10"/>
      <c r="G508" s="10"/>
      <c r="H508" s="10"/>
      <c r="I508" s="10"/>
      <c r="J508" s="10"/>
      <c r="K508" s="10"/>
      <c r="L508" s="10"/>
      <c r="M508" s="10"/>
      <c r="N508" s="10"/>
      <c r="O508" s="10"/>
      <c r="P508" s="10"/>
      <c r="Q508" s="10"/>
      <c r="R508" s="10"/>
      <c r="S508" s="10"/>
      <c r="T508" s="10"/>
      <c r="U508" s="10"/>
    </row>
    <row r="509" ht="15.75" customHeight="1">
      <c r="A509" s="10"/>
      <c r="B509" s="191"/>
      <c r="C509" s="10"/>
      <c r="D509" s="73"/>
      <c r="E509" s="73"/>
      <c r="F509" s="10"/>
      <c r="G509" s="10"/>
      <c r="H509" s="10"/>
      <c r="I509" s="10"/>
      <c r="J509" s="10"/>
      <c r="K509" s="10"/>
      <c r="L509" s="10"/>
      <c r="M509" s="10"/>
      <c r="N509" s="10"/>
      <c r="O509" s="10"/>
      <c r="P509" s="10"/>
      <c r="Q509" s="10"/>
      <c r="R509" s="10"/>
      <c r="S509" s="10"/>
      <c r="T509" s="10"/>
      <c r="U509" s="10"/>
    </row>
    <row r="510" ht="15.75" customHeight="1">
      <c r="A510" s="10"/>
      <c r="B510" s="191"/>
      <c r="C510" s="10"/>
      <c r="D510" s="73"/>
      <c r="E510" s="73"/>
      <c r="F510" s="10"/>
      <c r="G510" s="10"/>
      <c r="H510" s="10"/>
      <c r="I510" s="10"/>
      <c r="J510" s="10"/>
      <c r="K510" s="10"/>
      <c r="L510" s="10"/>
      <c r="M510" s="10"/>
      <c r="N510" s="10"/>
      <c r="O510" s="10"/>
      <c r="P510" s="10"/>
      <c r="Q510" s="10"/>
      <c r="R510" s="10"/>
      <c r="S510" s="10"/>
      <c r="T510" s="10"/>
      <c r="U510" s="10"/>
    </row>
    <row r="511" ht="15.75" customHeight="1">
      <c r="A511" s="10"/>
      <c r="B511" s="191"/>
      <c r="C511" s="10"/>
      <c r="D511" s="73"/>
      <c r="E511" s="73"/>
      <c r="F511" s="10"/>
      <c r="G511" s="10"/>
      <c r="H511" s="10"/>
      <c r="I511" s="10"/>
      <c r="J511" s="10"/>
      <c r="K511" s="10"/>
      <c r="L511" s="10"/>
      <c r="M511" s="10"/>
      <c r="N511" s="10"/>
      <c r="O511" s="10"/>
      <c r="P511" s="10"/>
      <c r="Q511" s="10"/>
      <c r="R511" s="10"/>
      <c r="S511" s="10"/>
      <c r="T511" s="10"/>
      <c r="U511" s="10"/>
    </row>
    <row r="512" ht="15.75" customHeight="1">
      <c r="A512" s="10"/>
      <c r="B512" s="191"/>
      <c r="C512" s="10"/>
      <c r="D512" s="73"/>
      <c r="E512" s="73"/>
      <c r="F512" s="10"/>
      <c r="G512" s="10"/>
      <c r="H512" s="10"/>
      <c r="I512" s="10"/>
      <c r="J512" s="10"/>
      <c r="K512" s="10"/>
      <c r="L512" s="10"/>
      <c r="M512" s="10"/>
      <c r="N512" s="10"/>
      <c r="O512" s="10"/>
      <c r="P512" s="10"/>
      <c r="Q512" s="10"/>
      <c r="R512" s="10"/>
      <c r="S512" s="10"/>
      <c r="T512" s="10"/>
      <c r="U512" s="10"/>
    </row>
    <row r="513" ht="15.75" customHeight="1">
      <c r="A513" s="10"/>
      <c r="B513" s="191"/>
      <c r="C513" s="10"/>
      <c r="D513" s="73"/>
      <c r="E513" s="73"/>
      <c r="F513" s="10"/>
      <c r="G513" s="10"/>
      <c r="H513" s="10"/>
      <c r="I513" s="10"/>
      <c r="J513" s="10"/>
      <c r="K513" s="10"/>
      <c r="L513" s="10"/>
      <c r="M513" s="10"/>
      <c r="N513" s="10"/>
      <c r="O513" s="10"/>
      <c r="P513" s="10"/>
      <c r="Q513" s="10"/>
      <c r="R513" s="10"/>
      <c r="S513" s="10"/>
      <c r="T513" s="10"/>
      <c r="U513" s="10"/>
    </row>
    <row r="514" ht="15.75" customHeight="1">
      <c r="A514" s="10"/>
      <c r="B514" s="191"/>
      <c r="C514" s="10"/>
      <c r="D514" s="73"/>
      <c r="E514" s="73"/>
      <c r="F514" s="10"/>
      <c r="G514" s="10"/>
      <c r="H514" s="10"/>
      <c r="I514" s="10"/>
      <c r="J514" s="10"/>
      <c r="K514" s="10"/>
      <c r="L514" s="10"/>
      <c r="M514" s="10"/>
      <c r="N514" s="10"/>
      <c r="O514" s="10"/>
      <c r="P514" s="10"/>
      <c r="Q514" s="10"/>
      <c r="R514" s="10"/>
      <c r="S514" s="10"/>
      <c r="T514" s="10"/>
      <c r="U514" s="10"/>
    </row>
    <row r="515" ht="15.75" customHeight="1">
      <c r="A515" s="10"/>
      <c r="B515" s="191"/>
      <c r="C515" s="10"/>
      <c r="D515" s="73"/>
      <c r="E515" s="73"/>
      <c r="F515" s="10"/>
      <c r="G515" s="10"/>
      <c r="H515" s="10"/>
      <c r="I515" s="10"/>
      <c r="J515" s="10"/>
      <c r="K515" s="10"/>
      <c r="L515" s="10"/>
      <c r="M515" s="10"/>
      <c r="N515" s="10"/>
      <c r="O515" s="10"/>
      <c r="P515" s="10"/>
      <c r="Q515" s="10"/>
      <c r="R515" s="10"/>
      <c r="S515" s="10"/>
      <c r="T515" s="10"/>
      <c r="U515" s="10"/>
    </row>
    <row r="516" ht="15.75" customHeight="1">
      <c r="A516" s="10"/>
      <c r="B516" s="191"/>
      <c r="C516" s="10"/>
      <c r="D516" s="73"/>
      <c r="E516" s="73"/>
      <c r="F516" s="10"/>
      <c r="G516" s="10"/>
      <c r="H516" s="10"/>
      <c r="I516" s="10"/>
      <c r="J516" s="10"/>
      <c r="K516" s="10"/>
      <c r="L516" s="10"/>
      <c r="M516" s="10"/>
      <c r="N516" s="10"/>
      <c r="O516" s="10"/>
      <c r="P516" s="10"/>
      <c r="Q516" s="10"/>
      <c r="R516" s="10"/>
      <c r="S516" s="10"/>
      <c r="T516" s="10"/>
      <c r="U516" s="10"/>
    </row>
    <row r="517" ht="15.75" customHeight="1">
      <c r="A517" s="10"/>
      <c r="B517" s="191"/>
      <c r="C517" s="10"/>
      <c r="D517" s="73"/>
      <c r="E517" s="73"/>
      <c r="F517" s="10"/>
      <c r="G517" s="10"/>
      <c r="H517" s="10"/>
      <c r="I517" s="10"/>
      <c r="J517" s="10"/>
      <c r="K517" s="10"/>
      <c r="L517" s="10"/>
      <c r="M517" s="10"/>
      <c r="N517" s="10"/>
      <c r="O517" s="10"/>
      <c r="P517" s="10"/>
      <c r="Q517" s="10"/>
      <c r="R517" s="10"/>
      <c r="S517" s="10"/>
      <c r="T517" s="10"/>
      <c r="U517" s="10"/>
    </row>
    <row r="518" ht="15.75" customHeight="1">
      <c r="A518" s="10"/>
      <c r="B518" s="191"/>
      <c r="C518" s="10"/>
      <c r="D518" s="73"/>
      <c r="E518" s="73"/>
      <c r="F518" s="10"/>
      <c r="G518" s="10"/>
      <c r="H518" s="10"/>
      <c r="I518" s="10"/>
      <c r="J518" s="10"/>
      <c r="K518" s="10"/>
      <c r="L518" s="10"/>
      <c r="M518" s="10"/>
      <c r="N518" s="10"/>
      <c r="O518" s="10"/>
      <c r="P518" s="10"/>
      <c r="Q518" s="10"/>
      <c r="R518" s="10"/>
      <c r="S518" s="10"/>
      <c r="T518" s="10"/>
      <c r="U518" s="10"/>
    </row>
    <row r="519" ht="15.75" customHeight="1">
      <c r="A519" s="10"/>
      <c r="B519" s="191"/>
      <c r="C519" s="10"/>
      <c r="D519" s="73"/>
      <c r="E519" s="73"/>
      <c r="F519" s="10"/>
      <c r="G519" s="10"/>
      <c r="H519" s="10"/>
      <c r="I519" s="10"/>
      <c r="J519" s="10"/>
      <c r="K519" s="10"/>
      <c r="L519" s="10"/>
      <c r="M519" s="10"/>
      <c r="N519" s="10"/>
      <c r="O519" s="10"/>
      <c r="P519" s="10"/>
      <c r="Q519" s="10"/>
      <c r="R519" s="10"/>
      <c r="S519" s="10"/>
      <c r="T519" s="10"/>
      <c r="U519" s="10"/>
    </row>
    <row r="520" ht="15.75" customHeight="1">
      <c r="A520" s="10"/>
      <c r="B520" s="191"/>
      <c r="C520" s="10"/>
      <c r="D520" s="73"/>
      <c r="E520" s="73"/>
      <c r="F520" s="10"/>
      <c r="G520" s="10"/>
      <c r="H520" s="10"/>
      <c r="I520" s="10"/>
      <c r="J520" s="10"/>
      <c r="K520" s="10"/>
      <c r="L520" s="10"/>
      <c r="M520" s="10"/>
      <c r="N520" s="10"/>
      <c r="O520" s="10"/>
      <c r="P520" s="10"/>
      <c r="Q520" s="10"/>
      <c r="R520" s="10"/>
      <c r="S520" s="10"/>
      <c r="T520" s="10"/>
      <c r="U520" s="10"/>
    </row>
    <row r="521" ht="15.75" customHeight="1">
      <c r="A521" s="10"/>
      <c r="B521" s="191"/>
      <c r="C521" s="10"/>
      <c r="D521" s="73"/>
      <c r="E521" s="73"/>
      <c r="F521" s="10"/>
      <c r="G521" s="10"/>
      <c r="H521" s="10"/>
      <c r="I521" s="10"/>
      <c r="J521" s="10"/>
      <c r="K521" s="10"/>
      <c r="L521" s="10"/>
      <c r="M521" s="10"/>
      <c r="N521" s="10"/>
      <c r="O521" s="10"/>
      <c r="P521" s="10"/>
      <c r="Q521" s="10"/>
      <c r="R521" s="10"/>
      <c r="S521" s="10"/>
      <c r="T521" s="10"/>
      <c r="U521" s="10"/>
    </row>
    <row r="522" ht="15.75" customHeight="1">
      <c r="A522" s="10"/>
      <c r="B522" s="191"/>
      <c r="C522" s="10"/>
      <c r="D522" s="73"/>
      <c r="E522" s="73"/>
      <c r="F522" s="10"/>
      <c r="G522" s="10"/>
      <c r="H522" s="10"/>
      <c r="I522" s="10"/>
      <c r="J522" s="10"/>
      <c r="K522" s="10"/>
      <c r="L522" s="10"/>
      <c r="M522" s="10"/>
      <c r="N522" s="10"/>
      <c r="O522" s="10"/>
      <c r="P522" s="10"/>
      <c r="Q522" s="10"/>
      <c r="R522" s="10"/>
      <c r="S522" s="10"/>
      <c r="T522" s="10"/>
      <c r="U522" s="10"/>
    </row>
    <row r="523" ht="15.75" customHeight="1">
      <c r="A523" s="10"/>
      <c r="B523" s="191"/>
      <c r="C523" s="10"/>
      <c r="D523" s="73"/>
      <c r="E523" s="73"/>
      <c r="F523" s="10"/>
      <c r="G523" s="10"/>
      <c r="H523" s="10"/>
      <c r="I523" s="10"/>
      <c r="J523" s="10"/>
      <c r="K523" s="10"/>
      <c r="L523" s="10"/>
      <c r="M523" s="10"/>
      <c r="N523" s="10"/>
      <c r="O523" s="10"/>
      <c r="P523" s="10"/>
      <c r="Q523" s="10"/>
      <c r="R523" s="10"/>
      <c r="S523" s="10"/>
      <c r="T523" s="10"/>
      <c r="U523" s="10"/>
    </row>
    <row r="524" ht="15.75" customHeight="1">
      <c r="A524" s="10"/>
      <c r="B524" s="191"/>
      <c r="C524" s="10"/>
      <c r="D524" s="73"/>
      <c r="E524" s="73"/>
      <c r="F524" s="10"/>
      <c r="G524" s="10"/>
      <c r="H524" s="10"/>
      <c r="I524" s="10"/>
      <c r="J524" s="10"/>
      <c r="K524" s="10"/>
      <c r="L524" s="10"/>
      <c r="M524" s="10"/>
      <c r="N524" s="10"/>
      <c r="O524" s="10"/>
      <c r="P524" s="10"/>
      <c r="Q524" s="10"/>
      <c r="R524" s="10"/>
      <c r="S524" s="10"/>
      <c r="T524" s="10"/>
      <c r="U524" s="10"/>
    </row>
    <row r="525" ht="15.75" customHeight="1">
      <c r="A525" s="10"/>
      <c r="B525" s="191"/>
      <c r="C525" s="10"/>
      <c r="D525" s="73"/>
      <c r="E525" s="73"/>
      <c r="F525" s="10"/>
      <c r="G525" s="10"/>
      <c r="H525" s="10"/>
      <c r="I525" s="10"/>
      <c r="J525" s="10"/>
      <c r="K525" s="10"/>
      <c r="L525" s="10"/>
      <c r="M525" s="10"/>
      <c r="N525" s="10"/>
      <c r="O525" s="10"/>
      <c r="P525" s="10"/>
      <c r="Q525" s="10"/>
      <c r="R525" s="10"/>
      <c r="S525" s="10"/>
      <c r="T525" s="10"/>
      <c r="U525" s="10"/>
    </row>
    <row r="526" ht="15.75" customHeight="1">
      <c r="A526" s="10"/>
      <c r="B526" s="191"/>
      <c r="C526" s="10"/>
      <c r="D526" s="73"/>
      <c r="E526" s="73"/>
      <c r="F526" s="10"/>
      <c r="G526" s="10"/>
      <c r="H526" s="10"/>
      <c r="I526" s="10"/>
      <c r="J526" s="10"/>
      <c r="K526" s="10"/>
      <c r="L526" s="10"/>
      <c r="M526" s="10"/>
      <c r="N526" s="10"/>
      <c r="O526" s="10"/>
      <c r="P526" s="10"/>
      <c r="Q526" s="10"/>
      <c r="R526" s="10"/>
      <c r="S526" s="10"/>
      <c r="T526" s="10"/>
      <c r="U526" s="10"/>
    </row>
    <row r="527" ht="15.75" customHeight="1">
      <c r="A527" s="10"/>
      <c r="B527" s="191"/>
      <c r="C527" s="10"/>
      <c r="D527" s="73"/>
      <c r="E527" s="73"/>
      <c r="F527" s="10"/>
      <c r="G527" s="10"/>
      <c r="H527" s="10"/>
      <c r="I527" s="10"/>
      <c r="J527" s="10"/>
      <c r="K527" s="10"/>
      <c r="L527" s="10"/>
      <c r="M527" s="10"/>
      <c r="N527" s="10"/>
      <c r="O527" s="10"/>
      <c r="P527" s="10"/>
      <c r="Q527" s="10"/>
      <c r="R527" s="10"/>
      <c r="S527" s="10"/>
      <c r="T527" s="10"/>
      <c r="U527" s="10"/>
    </row>
    <row r="528" ht="15.75" customHeight="1">
      <c r="A528" s="10"/>
      <c r="B528" s="191"/>
      <c r="C528" s="10"/>
      <c r="D528" s="73"/>
      <c r="E528" s="73"/>
      <c r="F528" s="10"/>
      <c r="G528" s="10"/>
      <c r="H528" s="10"/>
      <c r="I528" s="10"/>
      <c r="J528" s="10"/>
      <c r="K528" s="10"/>
      <c r="L528" s="10"/>
      <c r="M528" s="10"/>
      <c r="N528" s="10"/>
      <c r="O528" s="10"/>
      <c r="P528" s="10"/>
      <c r="Q528" s="10"/>
      <c r="R528" s="10"/>
      <c r="S528" s="10"/>
      <c r="T528" s="10"/>
      <c r="U528" s="10"/>
    </row>
    <row r="529" ht="15.75" customHeight="1">
      <c r="A529" s="10"/>
      <c r="B529" s="191"/>
      <c r="C529" s="10"/>
      <c r="D529" s="73"/>
      <c r="E529" s="73"/>
      <c r="F529" s="10"/>
      <c r="G529" s="10"/>
      <c r="H529" s="10"/>
      <c r="I529" s="10"/>
      <c r="J529" s="10"/>
      <c r="K529" s="10"/>
      <c r="L529" s="10"/>
      <c r="M529" s="10"/>
      <c r="N529" s="10"/>
      <c r="O529" s="10"/>
      <c r="P529" s="10"/>
      <c r="Q529" s="10"/>
      <c r="R529" s="10"/>
      <c r="S529" s="10"/>
      <c r="T529" s="10"/>
      <c r="U529" s="10"/>
    </row>
    <row r="530" ht="15.75" customHeight="1">
      <c r="A530" s="10"/>
      <c r="B530" s="191"/>
      <c r="C530" s="10"/>
      <c r="D530" s="73"/>
      <c r="E530" s="73"/>
      <c r="F530" s="10"/>
      <c r="G530" s="10"/>
      <c r="H530" s="10"/>
      <c r="I530" s="10"/>
      <c r="J530" s="10"/>
      <c r="K530" s="10"/>
      <c r="L530" s="10"/>
      <c r="M530" s="10"/>
      <c r="N530" s="10"/>
      <c r="O530" s="10"/>
      <c r="P530" s="10"/>
      <c r="Q530" s="10"/>
      <c r="R530" s="10"/>
      <c r="S530" s="10"/>
      <c r="T530" s="10"/>
      <c r="U530" s="10"/>
    </row>
    <row r="531" ht="15.75" customHeight="1">
      <c r="A531" s="10"/>
      <c r="B531" s="191"/>
      <c r="C531" s="10"/>
      <c r="D531" s="73"/>
      <c r="E531" s="73"/>
      <c r="F531" s="10"/>
      <c r="G531" s="10"/>
      <c r="H531" s="10"/>
      <c r="I531" s="10"/>
      <c r="J531" s="10"/>
      <c r="K531" s="10"/>
      <c r="L531" s="10"/>
      <c r="M531" s="10"/>
      <c r="N531" s="10"/>
      <c r="O531" s="10"/>
      <c r="P531" s="10"/>
      <c r="Q531" s="10"/>
      <c r="R531" s="10"/>
      <c r="S531" s="10"/>
      <c r="T531" s="10"/>
      <c r="U531" s="10"/>
    </row>
    <row r="532" ht="15.75" customHeight="1">
      <c r="A532" s="10"/>
      <c r="B532" s="191"/>
      <c r="C532" s="10"/>
      <c r="D532" s="73"/>
      <c r="E532" s="73"/>
      <c r="F532" s="10"/>
      <c r="G532" s="10"/>
      <c r="H532" s="10"/>
      <c r="I532" s="10"/>
      <c r="J532" s="10"/>
      <c r="K532" s="10"/>
      <c r="L532" s="10"/>
      <c r="M532" s="10"/>
      <c r="N532" s="10"/>
      <c r="O532" s="10"/>
      <c r="P532" s="10"/>
      <c r="Q532" s="10"/>
      <c r="R532" s="10"/>
      <c r="S532" s="10"/>
      <c r="T532" s="10"/>
      <c r="U532" s="10"/>
    </row>
    <row r="533" ht="15.75" customHeight="1">
      <c r="A533" s="10"/>
      <c r="B533" s="191"/>
      <c r="C533" s="10"/>
      <c r="D533" s="73"/>
      <c r="E533" s="73"/>
      <c r="F533" s="10"/>
      <c r="G533" s="10"/>
      <c r="H533" s="10"/>
      <c r="I533" s="10"/>
      <c r="J533" s="10"/>
      <c r="K533" s="10"/>
      <c r="L533" s="10"/>
      <c r="M533" s="10"/>
      <c r="N533" s="10"/>
      <c r="O533" s="10"/>
      <c r="P533" s="10"/>
      <c r="Q533" s="10"/>
      <c r="R533" s="10"/>
      <c r="S533" s="10"/>
      <c r="T533" s="10"/>
      <c r="U533" s="10"/>
    </row>
    <row r="534" ht="15.75" customHeight="1">
      <c r="A534" s="10"/>
      <c r="B534" s="191"/>
      <c r="C534" s="10"/>
      <c r="D534" s="73"/>
      <c r="E534" s="73"/>
      <c r="F534" s="10"/>
      <c r="G534" s="10"/>
      <c r="H534" s="10"/>
      <c r="I534" s="10"/>
      <c r="J534" s="10"/>
      <c r="K534" s="10"/>
      <c r="L534" s="10"/>
      <c r="M534" s="10"/>
      <c r="N534" s="10"/>
      <c r="O534" s="10"/>
      <c r="P534" s="10"/>
      <c r="Q534" s="10"/>
      <c r="R534" s="10"/>
      <c r="S534" s="10"/>
      <c r="T534" s="10"/>
      <c r="U534" s="10"/>
    </row>
    <row r="535" ht="15.75" customHeight="1">
      <c r="A535" s="10"/>
      <c r="B535" s="191"/>
      <c r="C535" s="10"/>
      <c r="D535" s="73"/>
      <c r="E535" s="73"/>
      <c r="F535" s="10"/>
      <c r="G535" s="10"/>
      <c r="H535" s="10"/>
      <c r="I535" s="10"/>
      <c r="J535" s="10"/>
      <c r="K535" s="10"/>
      <c r="L535" s="10"/>
      <c r="M535" s="10"/>
      <c r="N535" s="10"/>
      <c r="O535" s="10"/>
      <c r="P535" s="10"/>
      <c r="Q535" s="10"/>
      <c r="R535" s="10"/>
      <c r="S535" s="10"/>
      <c r="T535" s="10"/>
      <c r="U535" s="10"/>
    </row>
    <row r="536" ht="15.75" customHeight="1">
      <c r="A536" s="10"/>
      <c r="B536" s="191"/>
      <c r="C536" s="10"/>
      <c r="D536" s="73"/>
      <c r="E536" s="73"/>
      <c r="F536" s="10"/>
      <c r="G536" s="10"/>
      <c r="H536" s="10"/>
      <c r="I536" s="10"/>
      <c r="J536" s="10"/>
      <c r="K536" s="10"/>
      <c r="L536" s="10"/>
      <c r="M536" s="10"/>
      <c r="N536" s="10"/>
      <c r="O536" s="10"/>
      <c r="P536" s="10"/>
      <c r="Q536" s="10"/>
      <c r="R536" s="10"/>
      <c r="S536" s="10"/>
      <c r="T536" s="10"/>
      <c r="U536" s="10"/>
    </row>
    <row r="537" ht="15.75" customHeight="1">
      <c r="A537" s="10"/>
      <c r="B537" s="191"/>
      <c r="C537" s="10"/>
      <c r="D537" s="73"/>
      <c r="E537" s="73"/>
      <c r="F537" s="10"/>
      <c r="G537" s="10"/>
      <c r="H537" s="10"/>
      <c r="I537" s="10"/>
      <c r="J537" s="10"/>
      <c r="K537" s="10"/>
      <c r="L537" s="10"/>
      <c r="M537" s="10"/>
      <c r="N537" s="10"/>
      <c r="O537" s="10"/>
      <c r="P537" s="10"/>
      <c r="Q537" s="10"/>
      <c r="R537" s="10"/>
      <c r="S537" s="10"/>
      <c r="T537" s="10"/>
      <c r="U537" s="10"/>
    </row>
    <row r="538" ht="15.75" customHeight="1">
      <c r="A538" s="10"/>
      <c r="B538" s="191"/>
      <c r="C538" s="10"/>
      <c r="D538" s="73"/>
      <c r="E538" s="73"/>
      <c r="F538" s="10"/>
      <c r="G538" s="10"/>
      <c r="H538" s="10"/>
      <c r="I538" s="10"/>
      <c r="J538" s="10"/>
      <c r="K538" s="10"/>
      <c r="L538" s="10"/>
      <c r="M538" s="10"/>
      <c r="N538" s="10"/>
      <c r="O538" s="10"/>
      <c r="P538" s="10"/>
      <c r="Q538" s="10"/>
      <c r="R538" s="10"/>
      <c r="S538" s="10"/>
      <c r="T538" s="10"/>
      <c r="U538" s="10"/>
    </row>
    <row r="539" ht="15.75" customHeight="1">
      <c r="A539" s="10"/>
      <c r="B539" s="191"/>
      <c r="C539" s="10"/>
      <c r="D539" s="73"/>
      <c r="E539" s="73"/>
      <c r="F539" s="10"/>
      <c r="G539" s="10"/>
      <c r="H539" s="10"/>
      <c r="I539" s="10"/>
      <c r="J539" s="10"/>
      <c r="K539" s="10"/>
      <c r="L539" s="10"/>
      <c r="M539" s="10"/>
      <c r="N539" s="10"/>
      <c r="O539" s="10"/>
      <c r="P539" s="10"/>
      <c r="Q539" s="10"/>
      <c r="R539" s="10"/>
      <c r="S539" s="10"/>
      <c r="T539" s="10"/>
      <c r="U539" s="10"/>
    </row>
    <row r="540" ht="15.75" customHeight="1">
      <c r="A540" s="10"/>
      <c r="B540" s="191"/>
      <c r="C540" s="10"/>
      <c r="D540" s="73"/>
      <c r="E540" s="73"/>
      <c r="F540" s="10"/>
      <c r="G540" s="10"/>
      <c r="H540" s="10"/>
      <c r="I540" s="10"/>
      <c r="J540" s="10"/>
      <c r="K540" s="10"/>
      <c r="L540" s="10"/>
      <c r="M540" s="10"/>
      <c r="N540" s="10"/>
      <c r="O540" s="10"/>
      <c r="P540" s="10"/>
      <c r="Q540" s="10"/>
      <c r="R540" s="10"/>
      <c r="S540" s="10"/>
      <c r="T540" s="10"/>
      <c r="U540" s="10"/>
    </row>
    <row r="541" ht="15.75" customHeight="1">
      <c r="A541" s="10"/>
      <c r="B541" s="191"/>
      <c r="C541" s="10"/>
      <c r="D541" s="73"/>
      <c r="E541" s="73"/>
      <c r="F541" s="10"/>
      <c r="G541" s="10"/>
      <c r="H541" s="10"/>
      <c r="I541" s="10"/>
      <c r="J541" s="10"/>
      <c r="K541" s="10"/>
      <c r="L541" s="10"/>
      <c r="M541" s="10"/>
      <c r="N541" s="10"/>
      <c r="O541" s="10"/>
      <c r="P541" s="10"/>
      <c r="Q541" s="10"/>
      <c r="R541" s="10"/>
      <c r="S541" s="10"/>
      <c r="T541" s="10"/>
      <c r="U541" s="10"/>
    </row>
    <row r="542" ht="15.75" customHeight="1">
      <c r="A542" s="10"/>
      <c r="B542" s="191"/>
      <c r="C542" s="10"/>
      <c r="D542" s="73"/>
      <c r="E542" s="73"/>
      <c r="F542" s="10"/>
      <c r="G542" s="10"/>
      <c r="H542" s="10"/>
      <c r="I542" s="10"/>
      <c r="J542" s="10"/>
      <c r="K542" s="10"/>
      <c r="L542" s="10"/>
      <c r="M542" s="10"/>
      <c r="N542" s="10"/>
      <c r="O542" s="10"/>
      <c r="P542" s="10"/>
      <c r="Q542" s="10"/>
      <c r="R542" s="10"/>
      <c r="S542" s="10"/>
      <c r="T542" s="10"/>
      <c r="U542" s="10"/>
    </row>
    <row r="543" ht="15.75" customHeight="1">
      <c r="A543" s="10"/>
      <c r="B543" s="191"/>
      <c r="C543" s="10"/>
      <c r="D543" s="73"/>
      <c r="E543" s="73"/>
      <c r="F543" s="10"/>
      <c r="G543" s="10"/>
      <c r="H543" s="10"/>
      <c r="I543" s="10"/>
      <c r="J543" s="10"/>
      <c r="K543" s="10"/>
      <c r="L543" s="10"/>
      <c r="M543" s="10"/>
      <c r="N543" s="10"/>
      <c r="O543" s="10"/>
      <c r="P543" s="10"/>
      <c r="Q543" s="10"/>
      <c r="R543" s="10"/>
      <c r="S543" s="10"/>
      <c r="T543" s="10"/>
      <c r="U543" s="10"/>
    </row>
    <row r="544" ht="15.75" customHeight="1">
      <c r="A544" s="10"/>
      <c r="B544" s="191"/>
      <c r="C544" s="10"/>
      <c r="D544" s="73"/>
      <c r="E544" s="73"/>
      <c r="F544" s="10"/>
      <c r="G544" s="10"/>
      <c r="H544" s="10"/>
      <c r="I544" s="10"/>
      <c r="J544" s="10"/>
      <c r="K544" s="10"/>
      <c r="L544" s="10"/>
      <c r="M544" s="10"/>
      <c r="N544" s="10"/>
      <c r="O544" s="10"/>
      <c r="P544" s="10"/>
      <c r="Q544" s="10"/>
      <c r="R544" s="10"/>
      <c r="S544" s="10"/>
      <c r="T544" s="10"/>
      <c r="U544" s="10"/>
    </row>
    <row r="545" ht="15.75" customHeight="1">
      <c r="A545" s="10"/>
      <c r="B545" s="191"/>
      <c r="C545" s="10"/>
      <c r="D545" s="73"/>
      <c r="E545" s="73"/>
      <c r="F545" s="10"/>
      <c r="G545" s="10"/>
      <c r="H545" s="10"/>
      <c r="I545" s="10"/>
      <c r="J545" s="10"/>
      <c r="K545" s="10"/>
      <c r="L545" s="10"/>
      <c r="M545" s="10"/>
      <c r="N545" s="10"/>
      <c r="O545" s="10"/>
      <c r="P545" s="10"/>
      <c r="Q545" s="10"/>
      <c r="R545" s="10"/>
      <c r="S545" s="10"/>
      <c r="T545" s="10"/>
      <c r="U545" s="10"/>
    </row>
    <row r="546" ht="15.75" customHeight="1">
      <c r="A546" s="10"/>
      <c r="B546" s="191"/>
      <c r="C546" s="10"/>
      <c r="D546" s="73"/>
      <c r="E546" s="73"/>
      <c r="F546" s="10"/>
      <c r="G546" s="10"/>
      <c r="H546" s="10"/>
      <c r="I546" s="10"/>
      <c r="J546" s="10"/>
      <c r="K546" s="10"/>
      <c r="L546" s="10"/>
      <c r="M546" s="10"/>
      <c r="N546" s="10"/>
      <c r="O546" s="10"/>
      <c r="P546" s="10"/>
      <c r="Q546" s="10"/>
      <c r="R546" s="10"/>
      <c r="S546" s="10"/>
      <c r="T546" s="10"/>
      <c r="U546" s="10"/>
    </row>
    <row r="547" ht="15.75" customHeight="1">
      <c r="A547" s="10"/>
      <c r="B547" s="191"/>
      <c r="C547" s="10"/>
      <c r="D547" s="73"/>
      <c r="E547" s="73"/>
      <c r="F547" s="10"/>
      <c r="G547" s="10"/>
      <c r="H547" s="10"/>
      <c r="I547" s="10"/>
      <c r="J547" s="10"/>
      <c r="K547" s="10"/>
      <c r="L547" s="10"/>
      <c r="M547" s="10"/>
      <c r="N547" s="10"/>
      <c r="O547" s="10"/>
      <c r="P547" s="10"/>
      <c r="Q547" s="10"/>
      <c r="R547" s="10"/>
      <c r="S547" s="10"/>
      <c r="T547" s="10"/>
      <c r="U547" s="10"/>
    </row>
    <row r="548" ht="15.75" customHeight="1">
      <c r="A548" s="10"/>
      <c r="B548" s="191"/>
      <c r="C548" s="10"/>
      <c r="D548" s="73"/>
      <c r="E548" s="73"/>
      <c r="F548" s="10"/>
      <c r="G548" s="10"/>
      <c r="H548" s="10"/>
      <c r="I548" s="10"/>
      <c r="J548" s="10"/>
      <c r="K548" s="10"/>
      <c r="L548" s="10"/>
      <c r="M548" s="10"/>
      <c r="N548" s="10"/>
      <c r="O548" s="10"/>
      <c r="P548" s="10"/>
      <c r="Q548" s="10"/>
      <c r="R548" s="10"/>
      <c r="S548" s="10"/>
      <c r="T548" s="10"/>
      <c r="U548" s="10"/>
    </row>
    <row r="549" ht="15.75" customHeight="1">
      <c r="A549" s="10"/>
      <c r="B549" s="191"/>
      <c r="C549" s="10"/>
      <c r="D549" s="73"/>
      <c r="E549" s="73"/>
      <c r="F549" s="10"/>
      <c r="G549" s="10"/>
      <c r="H549" s="10"/>
      <c r="I549" s="10"/>
      <c r="J549" s="10"/>
      <c r="K549" s="10"/>
      <c r="L549" s="10"/>
      <c r="M549" s="10"/>
      <c r="N549" s="10"/>
      <c r="O549" s="10"/>
      <c r="P549" s="10"/>
      <c r="Q549" s="10"/>
      <c r="R549" s="10"/>
      <c r="S549" s="10"/>
      <c r="T549" s="10"/>
      <c r="U549" s="10"/>
    </row>
    <row r="550" ht="15.75" customHeight="1">
      <c r="A550" s="10"/>
      <c r="B550" s="191"/>
      <c r="C550" s="10"/>
      <c r="D550" s="73"/>
      <c r="E550" s="73"/>
      <c r="F550" s="10"/>
      <c r="G550" s="10"/>
      <c r="H550" s="10"/>
      <c r="I550" s="10"/>
      <c r="J550" s="10"/>
      <c r="K550" s="10"/>
      <c r="L550" s="10"/>
      <c r="M550" s="10"/>
      <c r="N550" s="10"/>
      <c r="O550" s="10"/>
      <c r="P550" s="10"/>
      <c r="Q550" s="10"/>
      <c r="R550" s="10"/>
      <c r="S550" s="10"/>
      <c r="T550" s="10"/>
      <c r="U550" s="10"/>
    </row>
    <row r="551" ht="15.75" customHeight="1">
      <c r="A551" s="10"/>
      <c r="B551" s="191"/>
      <c r="C551" s="10"/>
      <c r="D551" s="73"/>
      <c r="E551" s="73"/>
      <c r="F551" s="10"/>
      <c r="G551" s="10"/>
      <c r="H551" s="10"/>
      <c r="I551" s="10"/>
      <c r="J551" s="10"/>
      <c r="K551" s="10"/>
      <c r="L551" s="10"/>
      <c r="M551" s="10"/>
      <c r="N551" s="10"/>
      <c r="O551" s="10"/>
      <c r="P551" s="10"/>
      <c r="Q551" s="10"/>
      <c r="R551" s="10"/>
      <c r="S551" s="10"/>
      <c r="T551" s="10"/>
      <c r="U551" s="10"/>
    </row>
    <row r="552" ht="15.75" customHeight="1">
      <c r="A552" s="10"/>
      <c r="B552" s="191"/>
      <c r="C552" s="10"/>
      <c r="D552" s="73"/>
      <c r="E552" s="73"/>
      <c r="F552" s="10"/>
      <c r="G552" s="10"/>
      <c r="H552" s="10"/>
      <c r="I552" s="10"/>
      <c r="J552" s="10"/>
      <c r="K552" s="10"/>
      <c r="L552" s="10"/>
      <c r="M552" s="10"/>
      <c r="N552" s="10"/>
      <c r="O552" s="10"/>
      <c r="P552" s="10"/>
      <c r="Q552" s="10"/>
      <c r="R552" s="10"/>
      <c r="S552" s="10"/>
      <c r="T552" s="10"/>
      <c r="U552" s="10"/>
    </row>
    <row r="553" ht="15.75" customHeight="1">
      <c r="A553" s="10"/>
      <c r="B553" s="191"/>
      <c r="C553" s="10"/>
      <c r="D553" s="73"/>
      <c r="E553" s="73"/>
      <c r="F553" s="10"/>
      <c r="G553" s="10"/>
      <c r="H553" s="10"/>
      <c r="I553" s="10"/>
      <c r="J553" s="10"/>
      <c r="K553" s="10"/>
      <c r="L553" s="10"/>
      <c r="M553" s="10"/>
      <c r="N553" s="10"/>
      <c r="O553" s="10"/>
      <c r="P553" s="10"/>
      <c r="Q553" s="10"/>
      <c r="R553" s="10"/>
      <c r="S553" s="10"/>
      <c r="T553" s="10"/>
      <c r="U553" s="10"/>
    </row>
    <row r="554" ht="15.75" customHeight="1">
      <c r="A554" s="10"/>
      <c r="B554" s="191"/>
      <c r="C554" s="10"/>
      <c r="D554" s="73"/>
      <c r="E554" s="73"/>
      <c r="F554" s="10"/>
      <c r="G554" s="10"/>
      <c r="H554" s="10"/>
      <c r="I554" s="10"/>
      <c r="J554" s="10"/>
      <c r="K554" s="10"/>
      <c r="L554" s="10"/>
      <c r="M554" s="10"/>
      <c r="N554" s="10"/>
      <c r="O554" s="10"/>
      <c r="P554" s="10"/>
      <c r="Q554" s="10"/>
      <c r="R554" s="10"/>
      <c r="S554" s="10"/>
      <c r="T554" s="10"/>
      <c r="U554" s="10"/>
    </row>
    <row r="555" ht="15.75" customHeight="1">
      <c r="A555" s="10"/>
      <c r="B555" s="191"/>
      <c r="C555" s="10"/>
      <c r="D555" s="73"/>
      <c r="E555" s="73"/>
      <c r="F555" s="10"/>
      <c r="G555" s="10"/>
      <c r="H555" s="10"/>
      <c r="I555" s="10"/>
      <c r="J555" s="10"/>
      <c r="K555" s="10"/>
      <c r="L555" s="10"/>
      <c r="M555" s="10"/>
      <c r="N555" s="10"/>
      <c r="O555" s="10"/>
      <c r="P555" s="10"/>
      <c r="Q555" s="10"/>
      <c r="R555" s="10"/>
      <c r="S555" s="10"/>
      <c r="T555" s="10"/>
      <c r="U555" s="10"/>
    </row>
    <row r="556" ht="15.75" customHeight="1">
      <c r="A556" s="10"/>
      <c r="B556" s="191"/>
      <c r="C556" s="10"/>
      <c r="D556" s="73"/>
      <c r="E556" s="73"/>
      <c r="F556" s="10"/>
      <c r="G556" s="10"/>
      <c r="H556" s="10"/>
      <c r="I556" s="10"/>
      <c r="J556" s="10"/>
      <c r="K556" s="10"/>
      <c r="L556" s="10"/>
      <c r="M556" s="10"/>
      <c r="N556" s="10"/>
      <c r="O556" s="10"/>
      <c r="P556" s="10"/>
      <c r="Q556" s="10"/>
      <c r="R556" s="10"/>
      <c r="S556" s="10"/>
      <c r="T556" s="10"/>
      <c r="U556" s="10"/>
    </row>
    <row r="557" ht="15.75" customHeight="1">
      <c r="A557" s="10"/>
      <c r="B557" s="191"/>
      <c r="C557" s="10"/>
      <c r="D557" s="73"/>
      <c r="E557" s="73"/>
      <c r="F557" s="10"/>
      <c r="G557" s="10"/>
      <c r="H557" s="10"/>
      <c r="I557" s="10"/>
      <c r="J557" s="10"/>
      <c r="K557" s="10"/>
      <c r="L557" s="10"/>
      <c r="M557" s="10"/>
      <c r="N557" s="10"/>
      <c r="O557" s="10"/>
      <c r="P557" s="10"/>
      <c r="Q557" s="10"/>
      <c r="R557" s="10"/>
      <c r="S557" s="10"/>
      <c r="T557" s="10"/>
      <c r="U557" s="10"/>
    </row>
    <row r="558" ht="15.75" customHeight="1">
      <c r="A558" s="10"/>
      <c r="B558" s="191"/>
      <c r="C558" s="10"/>
      <c r="D558" s="73"/>
      <c r="E558" s="73"/>
      <c r="F558" s="10"/>
      <c r="G558" s="10"/>
      <c r="H558" s="10"/>
      <c r="I558" s="10"/>
      <c r="J558" s="10"/>
      <c r="K558" s="10"/>
      <c r="L558" s="10"/>
      <c r="M558" s="10"/>
      <c r="N558" s="10"/>
      <c r="O558" s="10"/>
      <c r="P558" s="10"/>
      <c r="Q558" s="10"/>
      <c r="R558" s="10"/>
      <c r="S558" s="10"/>
      <c r="T558" s="10"/>
      <c r="U558" s="10"/>
    </row>
    <row r="559" ht="15.75" customHeight="1">
      <c r="A559" s="10"/>
      <c r="B559" s="191"/>
      <c r="C559" s="10"/>
      <c r="D559" s="73"/>
      <c r="E559" s="73"/>
      <c r="F559" s="10"/>
      <c r="G559" s="10"/>
      <c r="H559" s="10"/>
      <c r="I559" s="10"/>
      <c r="J559" s="10"/>
      <c r="K559" s="10"/>
      <c r="L559" s="10"/>
      <c r="M559" s="10"/>
      <c r="N559" s="10"/>
      <c r="O559" s="10"/>
      <c r="P559" s="10"/>
      <c r="Q559" s="10"/>
      <c r="R559" s="10"/>
      <c r="S559" s="10"/>
      <c r="T559" s="10"/>
      <c r="U559" s="10"/>
    </row>
    <row r="560" ht="15.75" customHeight="1">
      <c r="A560" s="10"/>
      <c r="B560" s="191"/>
      <c r="C560" s="10"/>
      <c r="D560" s="73"/>
      <c r="E560" s="73"/>
      <c r="F560" s="10"/>
      <c r="G560" s="10"/>
      <c r="H560" s="10"/>
      <c r="I560" s="10"/>
      <c r="J560" s="10"/>
      <c r="K560" s="10"/>
      <c r="L560" s="10"/>
      <c r="M560" s="10"/>
      <c r="N560" s="10"/>
      <c r="O560" s="10"/>
      <c r="P560" s="10"/>
      <c r="Q560" s="10"/>
      <c r="R560" s="10"/>
      <c r="S560" s="10"/>
      <c r="T560" s="10"/>
      <c r="U560" s="10"/>
    </row>
    <row r="561" ht="15.75" customHeight="1">
      <c r="A561" s="10"/>
      <c r="B561" s="191"/>
      <c r="C561" s="10"/>
      <c r="D561" s="73"/>
      <c r="E561" s="73"/>
      <c r="F561" s="10"/>
      <c r="G561" s="10"/>
      <c r="H561" s="10"/>
      <c r="I561" s="10"/>
      <c r="J561" s="10"/>
      <c r="K561" s="10"/>
      <c r="L561" s="10"/>
      <c r="M561" s="10"/>
      <c r="N561" s="10"/>
      <c r="O561" s="10"/>
      <c r="P561" s="10"/>
      <c r="Q561" s="10"/>
      <c r="R561" s="10"/>
      <c r="S561" s="10"/>
      <c r="T561" s="10"/>
      <c r="U561" s="10"/>
    </row>
    <row r="562" ht="15.75" customHeight="1">
      <c r="A562" s="10"/>
      <c r="B562" s="191"/>
      <c r="C562" s="10"/>
      <c r="D562" s="73"/>
      <c r="E562" s="73"/>
      <c r="F562" s="10"/>
      <c r="G562" s="10"/>
      <c r="H562" s="10"/>
      <c r="I562" s="10"/>
      <c r="J562" s="10"/>
      <c r="K562" s="10"/>
      <c r="L562" s="10"/>
      <c r="M562" s="10"/>
      <c r="N562" s="10"/>
      <c r="O562" s="10"/>
      <c r="P562" s="10"/>
      <c r="Q562" s="10"/>
      <c r="R562" s="10"/>
      <c r="S562" s="10"/>
      <c r="T562" s="10"/>
      <c r="U562" s="10"/>
    </row>
    <row r="563" ht="15.75" customHeight="1">
      <c r="A563" s="10"/>
      <c r="B563" s="191"/>
      <c r="C563" s="10"/>
      <c r="D563" s="73"/>
      <c r="E563" s="73"/>
      <c r="F563" s="10"/>
      <c r="G563" s="10"/>
      <c r="H563" s="10"/>
      <c r="I563" s="10"/>
      <c r="J563" s="10"/>
      <c r="K563" s="10"/>
      <c r="L563" s="10"/>
      <c r="M563" s="10"/>
      <c r="N563" s="10"/>
      <c r="O563" s="10"/>
      <c r="P563" s="10"/>
      <c r="Q563" s="10"/>
      <c r="R563" s="10"/>
      <c r="S563" s="10"/>
      <c r="T563" s="10"/>
      <c r="U563" s="10"/>
    </row>
    <row r="564" ht="15.75" customHeight="1">
      <c r="A564" s="10"/>
      <c r="B564" s="191"/>
      <c r="C564" s="10"/>
      <c r="D564" s="73"/>
      <c r="E564" s="73"/>
      <c r="F564" s="10"/>
      <c r="G564" s="10"/>
      <c r="H564" s="10"/>
      <c r="I564" s="10"/>
      <c r="J564" s="10"/>
      <c r="K564" s="10"/>
      <c r="L564" s="10"/>
      <c r="M564" s="10"/>
      <c r="N564" s="10"/>
      <c r="O564" s="10"/>
      <c r="P564" s="10"/>
      <c r="Q564" s="10"/>
      <c r="R564" s="10"/>
      <c r="S564" s="10"/>
      <c r="T564" s="10"/>
      <c r="U564" s="10"/>
    </row>
    <row r="565" ht="15.75" customHeight="1">
      <c r="A565" s="10"/>
      <c r="B565" s="191"/>
      <c r="C565" s="10"/>
      <c r="D565" s="73"/>
      <c r="E565" s="73"/>
      <c r="F565" s="10"/>
      <c r="G565" s="10"/>
      <c r="H565" s="10"/>
      <c r="I565" s="10"/>
      <c r="J565" s="10"/>
      <c r="K565" s="10"/>
      <c r="L565" s="10"/>
      <c r="M565" s="10"/>
      <c r="N565" s="10"/>
      <c r="O565" s="10"/>
      <c r="P565" s="10"/>
      <c r="Q565" s="10"/>
      <c r="R565" s="10"/>
      <c r="S565" s="10"/>
      <c r="T565" s="10"/>
      <c r="U565" s="10"/>
    </row>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D$565"/>
  <customSheetViews>
    <customSheetView guid="{286D910F-B494-43B4-A0A2-71B95F9B2068}" filter="1" showAutoFilter="1">
      <autoFilter ref="$D$1:$D$565"/>
      <extLst>
        <ext uri="GoogleSheetsCustomDataVersion1">
          <go:sheetsCustomData xmlns:go="http://customooxmlschemas.google.com/" filterViewId="1464576735"/>
        </ext>
      </extLst>
    </customSheetView>
  </customSheetView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13"/>
    <col customWidth="1" min="3" max="3" width="31.38"/>
    <col customWidth="1" min="4" max="5" width="12.63"/>
    <col customWidth="1" min="6" max="7" width="5.13"/>
    <col customWidth="1" min="8" max="8" width="31.38"/>
    <col customWidth="1" min="11" max="12" width="5.13"/>
    <col customWidth="1" min="13" max="13" width="31.38"/>
    <col customWidth="1" min="14" max="14" width="18.88"/>
    <col customWidth="1" min="16" max="17" width="5.13"/>
    <col customWidth="1" min="18" max="18" width="31.38"/>
  </cols>
  <sheetData>
    <row r="1" ht="15.75" customHeight="1">
      <c r="A1" s="149" t="str">
        <f>'Broşür v2'!A1</f>
        <v>Floor</v>
      </c>
      <c r="B1" s="192" t="str">
        <f>'Broşür v2'!B1</f>
        <v>No</v>
      </c>
      <c r="C1" s="149" t="str">
        <f>'Broşür v2'!C1</f>
        <v>Title</v>
      </c>
      <c r="D1" s="193" t="str">
        <f>'Broşür v2'!D1</f>
        <v>Category</v>
      </c>
      <c r="F1" s="149" t="str">
        <f>'Broşür v2'!A1</f>
        <v>Floor</v>
      </c>
      <c r="G1" s="192" t="str">
        <f>'Broşür v2'!B1</f>
        <v>No</v>
      </c>
      <c r="H1" s="149" t="str">
        <f>'Broşür v2'!C1</f>
        <v>Title</v>
      </c>
      <c r="I1" s="193" t="str">
        <f>'Broşür v2'!D1</f>
        <v>Category</v>
      </c>
      <c r="K1" s="149" t="str">
        <f>'Broşür v2'!A1</f>
        <v>Floor</v>
      </c>
      <c r="L1" s="192" t="str">
        <f>'Broşür v2'!B1</f>
        <v>No</v>
      </c>
      <c r="M1" s="149" t="str">
        <f>'Broşür v2'!C1</f>
        <v>Title</v>
      </c>
      <c r="N1" s="193" t="str">
        <f>'Broşür v2'!D1</f>
        <v>Category</v>
      </c>
      <c r="O1" s="149"/>
      <c r="P1" s="149" t="str">
        <f>'Broşür v2'!A1</f>
        <v>Floor</v>
      </c>
      <c r="Q1" s="192" t="str">
        <f>'Broşür v2'!B1</f>
        <v>No</v>
      </c>
      <c r="R1" s="149" t="str">
        <f>'Broşür v2'!C1</f>
        <v>Title</v>
      </c>
      <c r="S1" s="193" t="str">
        <f>'Broşür v2'!D1</f>
        <v>Category</v>
      </c>
    </row>
    <row r="2" ht="15.75" customHeight="1">
      <c r="A2" s="194">
        <f>'Broşür v2'!A2</f>
        <v>-1</v>
      </c>
      <c r="B2" s="195" t="str">
        <f>'Broşür v2'!B2</f>
        <v/>
      </c>
      <c r="C2" s="194" t="str">
        <f>'Broşür v2'!C2</f>
        <v>{“id”:”baby”}</v>
      </c>
      <c r="D2" s="196" t="str">
        <f>'Broşür v2'!D2</f>
        <v/>
      </c>
      <c r="F2" s="194">
        <f>'Broşür v2'!A21</f>
        <v>-1</v>
      </c>
      <c r="G2" s="195" t="str">
        <f>'Broşür v2'!B21</f>
        <v/>
      </c>
      <c r="H2" s="194" t="str">
        <f>'Broşür v2'!C21</f>
        <v>{“id”:”pharmacy”} Zorlu Center</v>
      </c>
      <c r="I2" s="196" t="str">
        <f>'Broşür v2'!D21</f>
        <v>Kozmetik &amp; Sağlık</v>
      </c>
      <c r="K2" s="194">
        <f>'Broşür v2'!A40</f>
        <v>-2</v>
      </c>
      <c r="L2" s="195" t="str">
        <f>'Broşür v2'!B40</f>
        <v>18</v>
      </c>
      <c r="M2" s="194" t="str">
        <f>'Broşür v2'!C40</f>
        <v>Adidas</v>
      </c>
      <c r="N2" s="196" t="str">
        <f>'Broşür v2'!D40</f>
        <v>Giyim</v>
      </c>
      <c r="P2" s="194">
        <f>'Broşür v2'!A59</f>
        <v>-1</v>
      </c>
      <c r="Q2" s="194" t="str">
        <f>'Broşür v2'!B59</f>
        <v/>
      </c>
      <c r="R2" s="194" t="str">
        <f>'Broşür v2'!C59</f>
        <v>Atış Gayrimenkul Pazarlama Ltd.</v>
      </c>
      <c r="S2" s="196" t="str">
        <f>'Broşür v2'!D59</f>
        <v>Ofisler</v>
      </c>
    </row>
    <row r="3" ht="15.75" customHeight="1">
      <c r="A3" s="194">
        <f>'Broşür v2'!A3</f>
        <v>-1</v>
      </c>
      <c r="B3" s="195" t="str">
        <f>'Broşür v2'!B3</f>
        <v/>
      </c>
      <c r="C3" s="194" t="str">
        <f>'Broşür v2'!C3</f>
        <v>{“id”:”baby”}</v>
      </c>
      <c r="D3" s="196" t="str">
        <f>'Broşür v2'!D3</f>
        <v/>
      </c>
      <c r="F3" s="194">
        <f>'Broşür v2'!A22</f>
        <v>-1</v>
      </c>
      <c r="G3" s="195" t="str">
        <f>'Broşür v2'!B22</f>
        <v/>
      </c>
      <c r="H3" s="194" t="str">
        <f>'Broşür v2'!C22</f>
        <v>{“id”:”pharmacy”} Zorlu Center</v>
      </c>
      <c r="I3" s="196" t="str">
        <f>'Broşür v2'!D22</f>
        <v>Kozmetik &amp; Sağlık</v>
      </c>
      <c r="K3" s="194">
        <f>'Broşür v2'!A41</f>
        <v>-2</v>
      </c>
      <c r="L3" s="195" t="str">
        <f>'Broşür v2'!B41</f>
        <v>17</v>
      </c>
      <c r="M3" s="194" t="str">
        <f>'Broşür v2'!C41</f>
        <v>Agatha</v>
      </c>
      <c r="N3" s="194" t="str">
        <f>'Broşür v2'!D41</f>
        <v>Aksesuar &amp; Mücevher</v>
      </c>
      <c r="P3" s="194">
        <f>'Broşür v2'!A60</f>
        <v>-2</v>
      </c>
      <c r="Q3" s="195" t="str">
        <f>'Broşür v2'!B60</f>
        <v> 22</v>
      </c>
      <c r="R3" s="194" t="str">
        <f>'Broşür v2'!C60</f>
        <v>Aveda HandeHaluk</v>
      </c>
      <c r="S3" s="196" t="str">
        <f>'Broşür v2'!D60</f>
        <v>Kozmetik &amp; Sağlık</v>
      </c>
    </row>
    <row r="4" ht="15.75" customHeight="1">
      <c r="A4" s="194">
        <f>'Broşür v2'!A4</f>
        <v>-2</v>
      </c>
      <c r="B4" s="195" t="str">
        <f>'Broşür v2'!B4</f>
        <v/>
      </c>
      <c r="C4" s="194" t="str">
        <f>'Broşür v2'!C4</f>
        <v>{“id”:”baby”}</v>
      </c>
      <c r="D4" s="196" t="str">
        <f>'Broşür v2'!D4</f>
        <v/>
      </c>
      <c r="F4" s="194">
        <f>'Broşür v2'!A23</f>
        <v>1</v>
      </c>
      <c r="G4" s="195" t="str">
        <f>'Broşür v2'!B23</f>
        <v/>
      </c>
      <c r="H4" s="194" t="str">
        <f>'Broşür v2'!C23</f>
        <v>{“id”:”prayer”}</v>
      </c>
      <c r="I4" s="196" t="str">
        <f>'Broşür v2'!D23</f>
        <v>Hizmetler</v>
      </c>
      <c r="K4" s="194">
        <f>'Broşür v2'!A42</f>
        <v>-1</v>
      </c>
      <c r="L4" s="194" t="str">
        <f>'Broşür v2'!B42</f>
        <v/>
      </c>
      <c r="M4" s="194" t="str">
        <f>'Broşür v2'!C42</f>
        <v>AI Analiz</v>
      </c>
      <c r="N4" s="196" t="str">
        <f>'Broşür v2'!D42</f>
        <v>Ofisler</v>
      </c>
      <c r="P4" s="194">
        <f>'Broşür v2'!A61</f>
        <v>-1</v>
      </c>
      <c r="Q4" s="194" t="str">
        <f>'Broşür v2'!B61</f>
        <v/>
      </c>
      <c r="R4" s="194" t="str">
        <f>'Broşür v2'!C61</f>
        <v>AYF Yatırım</v>
      </c>
      <c r="S4" s="196" t="str">
        <f>'Broşür v2'!D61</f>
        <v>Ofisler</v>
      </c>
    </row>
    <row r="5" ht="15.75" customHeight="1">
      <c r="A5" s="194">
        <f>'Broşür v2'!A5</f>
        <v>-2</v>
      </c>
      <c r="B5" s="195" t="str">
        <f>'Broşür v2'!B5</f>
        <v/>
      </c>
      <c r="C5" s="194" t="str">
        <f>'Broşür v2'!C5</f>
        <v>{“id”:”baby”}</v>
      </c>
      <c r="D5" s="196" t="str">
        <f>'Broşür v2'!D5</f>
        <v/>
      </c>
      <c r="F5" s="194">
        <f>'Broşür v2'!A24</f>
        <v>-1</v>
      </c>
      <c r="G5" s="195" t="str">
        <f>'Broşür v2'!B24</f>
        <v/>
      </c>
      <c r="H5" s="194" t="str">
        <f>'Broşür v2'!C24</f>
        <v>{“id”:”taxi”}</v>
      </c>
      <c r="I5" s="196" t="str">
        <f>'Broşür v2'!D24</f>
        <v>Hizmetler</v>
      </c>
      <c r="K5" s="194">
        <f>'Broşür v2'!A43</f>
        <v>0</v>
      </c>
      <c r="L5" s="195" t="str">
        <f>'Broşür v2'!B43</f>
        <v>11</v>
      </c>
      <c r="M5" s="194" t="str">
        <f>'Broşür v2'!C43</f>
        <v>Aigner</v>
      </c>
      <c r="N5" s="196" t="str">
        <f>'Broşür v2'!D43</f>
        <v>Ayakkabı &amp; Çanta</v>
      </c>
      <c r="P5" s="194">
        <f>'Broşür v2'!A62</f>
        <v>-3</v>
      </c>
      <c r="Q5" s="195" t="str">
        <f>'Broşür v2'!B62</f>
        <v>02</v>
      </c>
      <c r="R5" s="194" t="str">
        <f>'Broşür v2'!C62</f>
        <v>Balonevi</v>
      </c>
      <c r="S5" s="196" t="str">
        <f>'Broşür v2'!D62</f>
        <v>Kültür &amp; Eğlence</v>
      </c>
    </row>
    <row r="6" ht="15.75" customHeight="1">
      <c r="A6" s="194">
        <f>'Broşür v2'!A6</f>
        <v>0</v>
      </c>
      <c r="B6" s="195" t="str">
        <f>'Broşür v2'!B6</f>
        <v/>
      </c>
      <c r="C6" s="194" t="str">
        <f>'Broşür v2'!C6</f>
        <v>{“id”:”baby”}</v>
      </c>
      <c r="D6" s="196" t="str">
        <f>'Broşür v2'!D6</f>
        <v/>
      </c>
      <c r="F6" s="194">
        <f>'Broşür v2'!A25</f>
        <v>0</v>
      </c>
      <c r="G6" s="195" t="str">
        <f>'Broşür v2'!B25</f>
        <v/>
      </c>
      <c r="H6" s="194" t="str">
        <f>'Broşür v2'!C25</f>
        <v>{“id”:”taxi”}</v>
      </c>
      <c r="I6" s="196" t="str">
        <f>'Broşür v2'!D25</f>
        <v>Hizmetler</v>
      </c>
      <c r="K6" s="194">
        <f>'Broşür v2'!A44</f>
        <v>0</v>
      </c>
      <c r="L6" s="195" t="str">
        <f>'Broşür v2'!B44</f>
        <v>34</v>
      </c>
      <c r="M6" s="194" t="str">
        <f>'Broşür v2'!C44</f>
        <v>Akbank {“id”:”atm”}</v>
      </c>
      <c r="N6" s="196" t="str">
        <f>'Broşür v2'!D44</f>
        <v>Hizmetler</v>
      </c>
      <c r="P6" s="194">
        <f>'Broşür v2'!A63</f>
        <v>-1</v>
      </c>
      <c r="Q6" s="195" t="str">
        <f>'Broşür v2'!B63</f>
        <v>16</v>
      </c>
      <c r="R6" s="194" t="str">
        <f>'Broşür v2'!C63</f>
        <v>Beymen</v>
      </c>
      <c r="S6" s="196" t="str">
        <f>'Broşür v2'!D63</f>
        <v>Giyim</v>
      </c>
    </row>
    <row r="7" ht="15.75" customHeight="1">
      <c r="A7" s="194">
        <f>'Broşür v2'!A7</f>
        <v>-3</v>
      </c>
      <c r="B7" s="195" t="str">
        <f>'Broşür v2'!B7</f>
        <v/>
      </c>
      <c r="C7" s="194" t="str">
        <f>'Broşür v2'!C7</f>
        <v>{“id”:”carpark”}</v>
      </c>
      <c r="D7" s="196" t="str">
        <f>'Broşür v2'!D7</f>
        <v/>
      </c>
      <c r="F7" s="194">
        <f>'Broşür v2'!A26</f>
        <v>-1</v>
      </c>
      <c r="G7" s="195" t="str">
        <f>'Broşür v2'!B26</f>
        <v/>
      </c>
      <c r="H7" s="194" t="str">
        <f>'Broşür v2'!C26</f>
        <v>{“id”:”wc”}</v>
      </c>
      <c r="I7" s="196" t="str">
        <f>'Broşür v2'!D26</f>
        <v/>
      </c>
      <c r="K7" s="194">
        <f>'Broşür v2'!A45</f>
        <v>1</v>
      </c>
      <c r="L7" s="195" t="str">
        <f>'Broşür v2'!B45</f>
        <v>09</v>
      </c>
      <c r="M7" s="194" t="str">
        <f>'Broşür v2'!C45</f>
        <v>Akbank {“id”:”branch”}</v>
      </c>
      <c r="N7" s="196" t="str">
        <f>'Broşür v2'!D45</f>
        <v>Hizmetler</v>
      </c>
      <c r="P7" s="194">
        <f>'Broşür v2'!A64</f>
        <v>0</v>
      </c>
      <c r="Q7" s="195" t="str">
        <f>'Broşür v2'!B64</f>
        <v>17</v>
      </c>
      <c r="R7" s="194" t="str">
        <f>'Broşür v2'!C64</f>
        <v>Beymen</v>
      </c>
      <c r="S7" s="196" t="str">
        <f>'Broşür v2'!D64</f>
        <v>Giyim</v>
      </c>
    </row>
    <row r="8" ht="15.75" customHeight="1">
      <c r="A8" s="194">
        <f>'Broşür v2'!A8</f>
        <v>-1</v>
      </c>
      <c r="B8" s="195" t="str">
        <f>'Broşür v2'!B8</f>
        <v/>
      </c>
      <c r="C8" s="194" t="str">
        <f>'Broşür v2'!C8</f>
        <v>{“id”:”entrance”} Levazım</v>
      </c>
      <c r="D8" s="196" t="str">
        <f>'Broşür v2'!D8</f>
        <v/>
      </c>
      <c r="F8" s="194">
        <f>'Broşür v2'!A27</f>
        <v>-1</v>
      </c>
      <c r="G8" s="195" t="str">
        <f>'Broşür v2'!B27</f>
        <v/>
      </c>
      <c r="H8" s="194" t="str">
        <f>'Broşür v2'!C27</f>
        <v>{“id”:”wc”}</v>
      </c>
      <c r="I8" s="196" t="str">
        <f>'Broşür v2'!D27</f>
        <v/>
      </c>
      <c r="K8" s="194">
        <f>'Broşür v2'!A46</f>
        <v>-2</v>
      </c>
      <c r="L8" s="195" t="str">
        <f>'Broşür v2'!B46</f>
        <v>10</v>
      </c>
      <c r="M8" s="194" t="str">
        <f>'Broşür v2'!C46</f>
        <v>Aldo</v>
      </c>
      <c r="N8" s="196" t="str">
        <f>'Broşür v2'!D46</f>
        <v>Ayakkabı &amp; Çanta</v>
      </c>
      <c r="P8" s="194">
        <f>'Broşür v2'!A65</f>
        <v>-1</v>
      </c>
      <c r="Q8" s="195" t="str">
        <f>'Broşür v2'!B65</f>
        <v>09</v>
      </c>
      <c r="R8" s="194" t="str">
        <f>'Broşür v2'!C65</f>
        <v>Beymen Club</v>
      </c>
      <c r="S8" s="196" t="str">
        <f>'Broşür v2'!D65</f>
        <v>Giyim</v>
      </c>
    </row>
    <row r="9" ht="15.75" customHeight="1">
      <c r="A9" s="194">
        <f>'Broşür v2'!A9</f>
        <v>0</v>
      </c>
      <c r="B9" s="195" t="str">
        <f>'Broşür v2'!B9</f>
        <v/>
      </c>
      <c r="C9" s="194" t="str">
        <f>'Broşür v2'!C9</f>
        <v>{“id”:”entrance”} Levazım</v>
      </c>
      <c r="D9" s="196" t="str">
        <f>'Broşür v2'!D9</f>
        <v/>
      </c>
      <c r="F9" s="194">
        <f>'Broşür v2'!A28</f>
        <v>-2</v>
      </c>
      <c r="G9" s="195" t="str">
        <f>'Broşür v2'!B28</f>
        <v/>
      </c>
      <c r="H9" s="194" t="str">
        <f>'Broşür v2'!C28</f>
        <v>{“id”:”wc”}</v>
      </c>
      <c r="I9" s="196" t="str">
        <f>'Broşür v2'!D28</f>
        <v/>
      </c>
      <c r="K9" s="194">
        <f>'Broşür v2'!A47</f>
        <v>0</v>
      </c>
      <c r="L9" s="194" t="str">
        <f>'Broşür v2'!B47</f>
        <v/>
      </c>
      <c r="M9" s="194" t="str">
        <f>'Broşür v2'!C47</f>
        <v>Ali Duman Clinic</v>
      </c>
      <c r="N9" s="196" t="str">
        <f>'Broşür v2'!D47</f>
        <v>Ofisler</v>
      </c>
      <c r="P9" s="194">
        <f>'Broşür v2'!A66</f>
        <v>-1</v>
      </c>
      <c r="Q9" s="194" t="str">
        <f>'Broşür v2'!B66</f>
        <v/>
      </c>
      <c r="R9" s="194" t="str">
        <f>'Broşür v2'!C66</f>
        <v>Bioeksim A.Ş.</v>
      </c>
      <c r="S9" s="196" t="str">
        <f>'Broşür v2'!D66</f>
        <v>Ofisler</v>
      </c>
    </row>
    <row r="10" ht="15.75" customHeight="1">
      <c r="A10" s="194">
        <f>'Broşür v2'!A10</f>
        <v>-3</v>
      </c>
      <c r="B10" s="195" t="str">
        <f>'Broşür v2'!B10</f>
        <v/>
      </c>
      <c r="C10" s="194" t="str">
        <f>'Broşür v2'!C10</f>
        <v>{“id”:”entrance”} Metro</v>
      </c>
      <c r="D10" s="196" t="str">
        <f>'Broşür v2'!D10</f>
        <v/>
      </c>
      <c r="F10" s="194">
        <f>'Broşür v2'!A29</f>
        <v>-2</v>
      </c>
      <c r="G10" s="195" t="str">
        <f>'Broşür v2'!B29</f>
        <v/>
      </c>
      <c r="H10" s="194" t="str">
        <f>'Broşür v2'!C29</f>
        <v>{“id”:”wc”}</v>
      </c>
      <c r="I10" s="196" t="str">
        <f>'Broşür v2'!D29</f>
        <v/>
      </c>
      <c r="K10" s="194">
        <f>'Broşür v2'!A48</f>
        <v>0</v>
      </c>
      <c r="L10" s="195" t="str">
        <f>'Broşür v2'!B48</f>
        <v>34</v>
      </c>
      <c r="M10" s="194" t="str">
        <f>'Broşür v2'!C48</f>
        <v>Alternatif Bank {“id”:”atm”}</v>
      </c>
      <c r="N10" s="196" t="str">
        <f>'Broşür v2'!D48</f>
        <v>Hizmetler</v>
      </c>
      <c r="P10" s="194">
        <f>'Broşür v2'!A67</f>
        <v>-1</v>
      </c>
      <c r="Q10" s="195" t="str">
        <f>'Broşür v2'!B67</f>
        <v>15</v>
      </c>
      <c r="R10" s="194" t="str">
        <f>'Broşür v2'!C67</f>
        <v>Bob {“id”:”valet”} (Levazım/Beymen)</v>
      </c>
      <c r="S10" s="196" t="str">
        <f>'Broşür v2'!D67</f>
        <v>Hizmetler</v>
      </c>
    </row>
    <row r="11" ht="15.75" customHeight="1">
      <c r="A11" s="194">
        <f>'Broşür v2'!A11</f>
        <v>-3</v>
      </c>
      <c r="B11" s="195" t="str">
        <f>'Broşür v2'!B11</f>
        <v/>
      </c>
      <c r="C11" s="194" t="str">
        <f>'Broşür v2'!C11</f>
        <v>{“id”:”entrance”} Metro</v>
      </c>
      <c r="D11" s="196" t="str">
        <f>'Broşür v2'!D11</f>
        <v/>
      </c>
      <c r="F11" s="194">
        <f>'Broşür v2'!A30</f>
        <v>0</v>
      </c>
      <c r="G11" s="195" t="str">
        <f>'Broşür v2'!B30</f>
        <v/>
      </c>
      <c r="H11" s="194" t="str">
        <f>'Broşür v2'!C30</f>
        <v>{“id”:”wc”}</v>
      </c>
      <c r="I11" s="196" t="str">
        <f>'Broşür v2'!D30</f>
        <v/>
      </c>
      <c r="K11" s="194">
        <f>'Broşür v2'!A49</f>
        <v>0</v>
      </c>
      <c r="L11" s="195" t="str">
        <f>'Broşür v2'!B49</f>
        <v>09</v>
      </c>
      <c r="M11" s="194" t="str">
        <f>'Broşür v2'!C49</f>
        <v>Anatoli</v>
      </c>
      <c r="N11" s="196" t="str">
        <f>'Broşür v2'!D49</f>
        <v>Ev &amp; Dekorasyon</v>
      </c>
      <c r="P11" s="194">
        <f>'Broşür v2'!A68</f>
        <v>-3</v>
      </c>
      <c r="Q11" s="195" t="str">
        <f>'Broşür v2'!B68</f>
        <v>02</v>
      </c>
      <c r="R11" s="194" t="str">
        <f>'Broşür v2'!C68</f>
        <v>Bob {“id”:”valet”} (Otopark)</v>
      </c>
      <c r="S11" s="196" t="str">
        <f>'Broşür v2'!D68</f>
        <v>Hizmetler</v>
      </c>
    </row>
    <row r="12" ht="15.75" customHeight="1">
      <c r="A12" s="194">
        <f>'Broşür v2'!A12</f>
        <v>-3</v>
      </c>
      <c r="B12" s="195" t="str">
        <f>'Broşür v2'!B12</f>
        <v/>
      </c>
      <c r="C12" s="194" t="str">
        <f>'Broşür v2'!C12</f>
        <v>{“id”:”entrance”} Otopark</v>
      </c>
      <c r="D12" s="196" t="str">
        <f>'Broşür v2'!D12</f>
        <v/>
      </c>
      <c r="F12" s="194">
        <f>'Broşür v2'!A31</f>
        <v>0</v>
      </c>
      <c r="G12" s="195" t="str">
        <f>'Broşür v2'!B31</f>
        <v/>
      </c>
      <c r="H12" s="194" t="str">
        <f>'Broşür v2'!C31</f>
        <v>{“id”:”wc”}</v>
      </c>
      <c r="I12" s="196" t="str">
        <f>'Broşür v2'!D31</f>
        <v/>
      </c>
      <c r="K12" s="194">
        <f>'Broşür v2'!A50</f>
        <v>1</v>
      </c>
      <c r="L12" s="195" t="str">
        <f>'Broşür v2'!B50</f>
        <v>07</v>
      </c>
      <c r="M12" s="194" t="str">
        <f>'Broşür v2'!C50</f>
        <v>Any</v>
      </c>
      <c r="N12" s="196" t="str">
        <f>'Broşür v2'!D50</f>
        <v>Ev &amp; Dekorasyon</v>
      </c>
      <c r="P12" s="194">
        <f>'Broşür v2'!A69</f>
        <v>0</v>
      </c>
      <c r="Q12" s="195" t="str">
        <f>'Broşür v2'!B69</f>
        <v>05</v>
      </c>
      <c r="R12" s="194" t="str">
        <f>'Broşür v2'!C69</f>
        <v>Bob {“id”:”valet”} (Ulus/Raffles)</v>
      </c>
      <c r="S12" s="196" t="str">
        <f>'Broşür v2'!D69</f>
        <v>Hizmetler</v>
      </c>
    </row>
    <row r="13" ht="15.75" customHeight="1">
      <c r="A13" s="194">
        <f>'Broşür v2'!A13</f>
        <v>0</v>
      </c>
      <c r="B13" s="195" t="str">
        <f>'Broşür v2'!B13</f>
        <v/>
      </c>
      <c r="C13" s="194" t="str">
        <f>'Broşür v2'!C13</f>
        <v>{“id”:”entrance”} Ulus</v>
      </c>
      <c r="D13" s="196" t="str">
        <f>'Broşür v2'!D13</f>
        <v/>
      </c>
      <c r="F13" s="194">
        <f>'Broşür v2'!A32</f>
        <v>0</v>
      </c>
      <c r="G13" s="195" t="str">
        <f>'Broşür v2'!B32</f>
        <v/>
      </c>
      <c r="H13" s="194" t="str">
        <f>'Broşür v2'!C32</f>
        <v>{“id”:”wc”}</v>
      </c>
      <c r="I13" s="196" t="str">
        <f>'Broşür v2'!D32</f>
        <v/>
      </c>
      <c r="K13" s="194">
        <f>'Broşür v2'!A51</f>
        <v>-1</v>
      </c>
      <c r="L13" s="195" t="str">
        <f>'Broşür v2'!B51</f>
        <v>06</v>
      </c>
      <c r="M13" s="194" t="str">
        <f>'Broşür v2'!C51</f>
        <v>Apple</v>
      </c>
      <c r="N13" s="196" t="str">
        <f>'Broşür v2'!D51</f>
        <v>Elektronik</v>
      </c>
      <c r="P13" s="194">
        <f>'Broşür v2'!A70</f>
        <v>-1</v>
      </c>
      <c r="Q13" s="195" t="str">
        <f>'Broşür v2'!B70</f>
        <v>17</v>
      </c>
      <c r="R13" s="194" t="str">
        <f>'Broşür v2'!C70</f>
        <v>Brooks Brothers</v>
      </c>
      <c r="S13" s="196" t="str">
        <f>'Broşür v2'!D70</f>
        <v>Giyim</v>
      </c>
    </row>
    <row r="14" ht="15.75" customHeight="1">
      <c r="A14" s="194">
        <f>'Broşür v2'!A14</f>
        <v>0</v>
      </c>
      <c r="B14" s="195" t="str">
        <f>'Broşür v2'!B14</f>
        <v/>
      </c>
      <c r="C14" s="194" t="str">
        <f>'Broşür v2'!C14</f>
        <v>{“id”:”entrance”} Zincirlikuyu</v>
      </c>
      <c r="D14" s="196" t="str">
        <f>'Broşür v2'!D14</f>
        <v/>
      </c>
      <c r="F14" s="194">
        <f>'Broşür v2'!A33</f>
        <v>0</v>
      </c>
      <c r="G14" s="195" t="str">
        <f>'Broşür v2'!B33</f>
        <v/>
      </c>
      <c r="H14" s="194" t="str">
        <f>'Broşür v2'!C33</f>
        <v>{“id”:”wc”}</v>
      </c>
      <c r="I14" s="196" t="str">
        <f>'Broşür v2'!D33</f>
        <v/>
      </c>
      <c r="K14" s="194">
        <f>'Broşür v2'!A52</f>
        <v>-2</v>
      </c>
      <c r="L14" s="195" t="str">
        <f>'Broşür v2'!B52</f>
        <v>07</v>
      </c>
      <c r="M14" s="194" t="str">
        <f>'Broşür v2'!C52</f>
        <v>Apple</v>
      </c>
      <c r="N14" s="196" t="str">
        <f>'Broşür v2'!D52</f>
        <v>Elektronik</v>
      </c>
      <c r="P14" s="194">
        <f>'Broşür v2'!A71</f>
        <v>-1</v>
      </c>
      <c r="Q14" s="194" t="str">
        <f>'Broşür v2'!B71</f>
        <v/>
      </c>
      <c r="R14" s="194" t="str">
        <f>'Broşür v2'!C71</f>
        <v>Buladı Hukuk Bürosu</v>
      </c>
      <c r="S14" s="196" t="str">
        <f>'Broşür v2'!D71</f>
        <v>Ofisler</v>
      </c>
    </row>
    <row r="15" ht="15.75" customHeight="1">
      <c r="A15" s="194">
        <f>'Broşür v2'!A15</f>
        <v>-2</v>
      </c>
      <c r="B15" s="195" t="str">
        <f>'Broşür v2'!B15</f>
        <v/>
      </c>
      <c r="C15" s="194" t="str">
        <f>'Broşür v2'!C15</f>
        <v>{“id”:”exchange”} Zor</v>
      </c>
      <c r="D15" s="196" t="str">
        <f>'Broşür v2'!D15</f>
        <v>Hizmet Mağazaları</v>
      </c>
      <c r="F15" s="194">
        <f>'Broşür v2'!A34</f>
        <v>1</v>
      </c>
      <c r="G15" s="195" t="str">
        <f>'Broşür v2'!B34</f>
        <v/>
      </c>
      <c r="H15" s="194" t="str">
        <f>'Broşür v2'!C34</f>
        <v>{“id”:”wc”}</v>
      </c>
      <c r="I15" s="196" t="str">
        <f>'Broşür v2'!D34</f>
        <v/>
      </c>
      <c r="K15" s="194">
        <f>'Broşür v2'!A53</f>
        <v>-1</v>
      </c>
      <c r="L15" s="195" t="str">
        <f>'Broşür v2'!B53</f>
        <v>24</v>
      </c>
      <c r="M15" s="194" t="str">
        <f>'Broşür v2'!C53</f>
        <v>Arby's</v>
      </c>
      <c r="N15" s="196" t="str">
        <f>'Broşür v2'!D53</f>
        <v>Fast Food</v>
      </c>
      <c r="P15" s="194">
        <f>'Broşür v2'!A72</f>
        <v>0</v>
      </c>
      <c r="Q15" s="194" t="str">
        <f>'Broşür v2'!B72</f>
        <v/>
      </c>
      <c r="R15" s="194" t="str">
        <f>'Broşür v2'!C72</f>
        <v>Bulgari Turkey</v>
      </c>
      <c r="S15" s="196" t="str">
        <f>'Broşür v2'!D72</f>
        <v>Ofisler</v>
      </c>
    </row>
    <row r="16" ht="15.75" customHeight="1">
      <c r="A16" s="194">
        <f>'Broşür v2'!A16</f>
        <v>-2</v>
      </c>
      <c r="B16" s="195" t="str">
        <f>'Broşür v2'!B16</f>
        <v/>
      </c>
      <c r="C16" s="194" t="str">
        <f>'Broşür v2'!C16</f>
        <v>{“id”:”infirmary”}</v>
      </c>
      <c r="D16" s="196" t="str">
        <f>'Broşür v2'!D16</f>
        <v>Hizmetler</v>
      </c>
      <c r="F16" s="194">
        <f>'Broşür v2'!A35</f>
        <v>1</v>
      </c>
      <c r="G16" s="195" t="str">
        <f>'Broşür v2'!B35</f>
        <v/>
      </c>
      <c r="H16" s="194" t="str">
        <f>'Broşür v2'!C35</f>
        <v>{“id”:”wc”}</v>
      </c>
      <c r="I16" s="196" t="str">
        <f>'Broşür v2'!D35</f>
        <v/>
      </c>
      <c r="K16" s="194">
        <f>'Broşür v2'!A54</f>
        <v>0</v>
      </c>
      <c r="L16" s="195" t="str">
        <f>'Broşür v2'!B54</f>
        <v>29</v>
      </c>
      <c r="M16" s="194" t="str">
        <f>'Broşür v2'!C54</f>
        <v>Arifoğlu</v>
      </c>
      <c r="N16" s="196" t="str">
        <f>'Broşür v2'!D54</f>
        <v>Market</v>
      </c>
      <c r="P16" s="194">
        <f>'Broşür v2'!A73</f>
        <v>0</v>
      </c>
      <c r="Q16" s="195" t="str">
        <f>'Broşür v2'!B73</f>
        <v>19</v>
      </c>
      <c r="R16" s="194" t="str">
        <f>'Broşür v2'!C73</f>
        <v>Burberry</v>
      </c>
      <c r="S16" s="196" t="str">
        <f>'Broşür v2'!D73</f>
        <v>Giyim</v>
      </c>
    </row>
    <row r="17" ht="15.75" customHeight="1">
      <c r="A17" s="194">
        <f>'Broşür v2'!A17</f>
        <v>-2</v>
      </c>
      <c r="B17" s="195" t="str">
        <f>'Broşür v2'!B17</f>
        <v/>
      </c>
      <c r="C17" s="194" t="str">
        <f>'Broşür v2'!C17</f>
        <v>{“id”:”infirmary”}</v>
      </c>
      <c r="D17" s="196" t="str">
        <f>'Broşür v2'!D17</f>
        <v>Hizmetler</v>
      </c>
      <c r="F17" s="194">
        <f>'Broşür v2'!A36</f>
        <v>1</v>
      </c>
      <c r="G17" s="195" t="str">
        <f>'Broşür v2'!B36</f>
        <v/>
      </c>
      <c r="H17" s="194" t="str">
        <f>'Broşür v2'!C36</f>
        <v>{“id”:”wc”}</v>
      </c>
      <c r="I17" s="196" t="str">
        <f>'Broşür v2'!D36</f>
        <v/>
      </c>
      <c r="K17" s="194">
        <f>'Broşür v2'!A55</f>
        <v>0</v>
      </c>
      <c r="L17" s="194" t="str">
        <f>'Broşür v2'!B55</f>
        <v/>
      </c>
      <c r="M17" s="194" t="str">
        <f>'Broşür v2'!C55</f>
        <v>Artı Yatırım Holding A.Ş.</v>
      </c>
      <c r="N17" s="196" t="str">
        <f>'Broşür v2'!D55</f>
        <v>Ofisler</v>
      </c>
      <c r="P17" s="194">
        <f>'Broşür v2'!A74</f>
        <v>-2</v>
      </c>
      <c r="Q17" s="195" t="str">
        <f>'Broşür v2'!B74</f>
        <v>20</v>
      </c>
      <c r="R17" s="194" t="str">
        <f>'Broşür v2'!C74</f>
        <v>Burberry Children</v>
      </c>
      <c r="S17" s="196" t="str">
        <f>'Broşür v2'!D74</f>
        <v>Çocuk</v>
      </c>
    </row>
    <row r="18" ht="15.75" customHeight="1">
      <c r="A18" s="194">
        <f>'Broşür v2'!A18</f>
        <v>-1</v>
      </c>
      <c r="B18" s="195" t="str">
        <f>'Broşür v2'!B18</f>
        <v/>
      </c>
      <c r="C18" s="194" t="str">
        <f>'Broşür v2'!C18</f>
        <v>{“id”:”info”}</v>
      </c>
      <c r="D18" s="196" t="str">
        <f>'Broşür v2'!D18</f>
        <v>Hizmetler</v>
      </c>
      <c r="F18" s="194">
        <f>'Broşür v2'!A37</f>
        <v>0</v>
      </c>
      <c r="G18" s="194" t="str">
        <f>'Broşür v2'!B37</f>
        <v/>
      </c>
      <c r="H18" s="194" t="str">
        <f>'Broşür v2'!C37</f>
        <v>Abdullah Kiğılı</v>
      </c>
      <c r="I18" s="196" t="str">
        <f>'Broşür v2'!D37</f>
        <v>Ofisler</v>
      </c>
      <c r="K18" s="194">
        <f>'Broşür v2'!A56</f>
        <v>-1</v>
      </c>
      <c r="L18" s="195" t="str">
        <f>'Broşür v2'!B56</f>
        <v>14</v>
      </c>
      <c r="M18" s="194" t="str">
        <f>'Broşür v2'!C56</f>
        <v>Atasay</v>
      </c>
      <c r="N18" s="196" t="str">
        <f>'Broşür v2'!D56</f>
        <v>Aksesuar &amp; Mücevher</v>
      </c>
      <c r="P18" s="194">
        <f>'Broşür v2'!A75</f>
        <v>-1</v>
      </c>
      <c r="Q18" s="195" t="str">
        <f>'Broşür v2'!B75</f>
        <v>25</v>
      </c>
      <c r="R18" s="194" t="str">
        <f>'Broşür v2'!C75</f>
        <v>Burger King</v>
      </c>
      <c r="S18" s="196" t="str">
        <f>'Broşür v2'!D75</f>
        <v>Fast Food</v>
      </c>
    </row>
    <row r="19" ht="15.75" customHeight="1">
      <c r="A19" s="194">
        <f>'Broşür v2'!A19</f>
        <v>-2</v>
      </c>
      <c r="B19" s="195" t="str">
        <f>'Broşür v2'!B19</f>
        <v/>
      </c>
      <c r="C19" s="194" t="str">
        <f>'Broşür v2'!C19</f>
        <v>{“id”:”info”}</v>
      </c>
      <c r="D19" s="196" t="str">
        <f>'Broşür v2'!D19</f>
        <v>Hizmetler</v>
      </c>
      <c r="F19" s="194">
        <f>'Broşür v2'!A38</f>
        <v>-2</v>
      </c>
      <c r="G19" s="195" t="str">
        <f>'Broşür v2'!B38</f>
        <v>13</v>
      </c>
      <c r="H19" s="194" t="str">
        <f>'Broşür v2'!C38</f>
        <v>Abdullah Kiğılı Exclusive Cut</v>
      </c>
      <c r="I19" s="196" t="str">
        <f>'Broşür v2'!D38</f>
        <v>Giyim</v>
      </c>
      <c r="K19" s="194">
        <f>'Broşür v2'!A57</f>
        <v>-2</v>
      </c>
      <c r="L19" s="195" t="str">
        <f>'Broşür v2'!B57</f>
        <v>01</v>
      </c>
      <c r="M19" s="194" t="str">
        <f>'Broşür v2'!C57</f>
        <v>Atelier Rebul</v>
      </c>
      <c r="N19" s="196" t="str">
        <f>'Broşür v2'!D57</f>
        <v>Kozmetik &amp; Sağlık</v>
      </c>
      <c r="P19" s="194">
        <f>'Broşür v2'!A76</f>
        <v>0</v>
      </c>
      <c r="Q19" s="195" t="str">
        <f>'Broşür v2'!B76</f>
        <v>08</v>
      </c>
      <c r="R19" s="194" t="str">
        <f>'Broşür v2'!C76</f>
        <v>Bvlgari</v>
      </c>
      <c r="S19" s="196" t="str">
        <f>'Broşür v2'!D76</f>
        <v>Aksesuar &amp; Mücevher</v>
      </c>
    </row>
    <row r="20" ht="15.75" customHeight="1">
      <c r="A20" s="194">
        <f>'Broşür v2'!A20</f>
        <v>-3</v>
      </c>
      <c r="B20" s="195" t="str">
        <f>'Broşür v2'!B20</f>
        <v/>
      </c>
      <c r="C20" s="194" t="str">
        <f>'Broşür v2'!C20</f>
        <v>{“id”:”metro”}{“id”:”metrobus”}</v>
      </c>
      <c r="D20" s="196" t="str">
        <f>'Broşür v2'!D20</f>
        <v/>
      </c>
      <c r="F20" s="194">
        <f>'Broşür v2'!A39</f>
        <v>0</v>
      </c>
      <c r="G20" s="195" t="str">
        <f>'Broşür v2'!B39</f>
        <v>10</v>
      </c>
      <c r="H20" s="194" t="str">
        <f>'Broşür v2'!C39</f>
        <v>Adamo</v>
      </c>
      <c r="I20" s="196" t="str">
        <f>'Broşür v2'!D39</f>
        <v>Giyim</v>
      </c>
      <c r="K20" s="194">
        <f>'Broşür v2'!A58</f>
        <v>0</v>
      </c>
      <c r="L20" s="195" t="str">
        <f>'Broşür v2'!B58</f>
        <v>10</v>
      </c>
      <c r="M20" s="194" t="str">
        <f>'Broşür v2'!C58</f>
        <v>Atilla Karat</v>
      </c>
      <c r="N20" s="196" t="str">
        <f>'Broşür v2'!D58</f>
        <v>Aksesuar &amp; Mücevher</v>
      </c>
      <c r="P20" s="194">
        <f>'Broşür v2'!A77</f>
        <v>-2</v>
      </c>
      <c r="Q20" s="195" t="str">
        <f>'Broşür v2'!B77</f>
        <v>10</v>
      </c>
      <c r="R20" s="194" t="str">
        <f>'Broşür v2'!C77</f>
        <v>Cacharel</v>
      </c>
      <c r="S20" s="196" t="str">
        <f>'Broşür v2'!D77</f>
        <v>Giyim</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